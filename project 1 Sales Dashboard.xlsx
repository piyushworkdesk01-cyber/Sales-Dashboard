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IYUSH\Documents\Excel DEMO products\"/>
    </mc:Choice>
  </mc:AlternateContent>
  <xr:revisionPtr revIDLastSave="0" documentId="13_ncr:1_{A52677A7-C53B-486D-9024-580F957E4E5B}" xr6:coauthVersionLast="47" xr6:coauthVersionMax="47" xr10:uidLastSave="{00000000-0000-0000-0000-000000000000}"/>
  <bookViews>
    <workbookView xWindow="-120" yWindow="-120" windowWidth="20730" windowHeight="11160" activeTab="1" xr2:uid="{06E5A669-D042-4088-A79F-C42622B830C5}"/>
  </bookViews>
  <sheets>
    <sheet name="Sales_Data_Raw" sheetId="1" r:id="rId1"/>
    <sheet name="Table1" sheetId="2" r:id="rId2"/>
    <sheet name="Pivots" sheetId="3" r:id="rId3"/>
    <sheet name=".DASHBOARD" sheetId="8" r:id="rId4"/>
  </sheets>
  <definedNames>
    <definedName name="ExternalData_1" localSheetId="1" hidden="1">Table1!$A$1:$R$1515</definedName>
    <definedName name="Slicer_Channel">#N/A</definedName>
    <definedName name="Slicer_Customer_Segment">#N/A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954203-46CC-4FBC-962F-7E96DFBF14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<sst xmlns="http://schemas.openxmlformats.org/spreadsheetml/2006/main" count="30362" uniqueCount="1709">
  <si>
    <t>Order ID</t>
  </si>
  <si>
    <t>Order Dates</t>
  </si>
  <si>
    <t>Region</t>
  </si>
  <si>
    <t>City</t>
  </si>
  <si>
    <t>Salesperson</t>
  </si>
  <si>
    <t>Customer Segment</t>
  </si>
  <si>
    <t>Category</t>
  </si>
  <si>
    <t>Sub-Category</t>
  </si>
  <si>
    <t>Product</t>
  </si>
  <si>
    <t>Channel</t>
  </si>
  <si>
    <t>Order Status</t>
  </si>
  <si>
    <t>Units Sold</t>
  </si>
  <si>
    <t>Unit Price</t>
  </si>
  <si>
    <t>Discount %</t>
  </si>
  <si>
    <t>Unit Cost</t>
  </si>
  <si>
    <t>ORD-10001</t>
  </si>
  <si>
    <t>West</t>
  </si>
  <si>
    <t>Pune</t>
  </si>
  <si>
    <t>Imran Sheikh</t>
  </si>
  <si>
    <t>Retail</t>
  </si>
  <si>
    <t>Electronics</t>
  </si>
  <si>
    <t>Audio Devices</t>
  </si>
  <si>
    <t>boAt Airdopes 141</t>
  </si>
  <si>
    <t>Online</t>
  </si>
  <si>
    <t>Delivered</t>
  </si>
  <si>
    <t>ORD-10002</t>
  </si>
  <si>
    <t>Prateek Shah</t>
  </si>
  <si>
    <t>Home Appliances</t>
  </si>
  <si>
    <t>Refrigerators</t>
  </si>
  <si>
    <t>LG 260L Double Door</t>
  </si>
  <si>
    <t>ORD-10003</t>
  </si>
  <si>
    <t>Surat</t>
  </si>
  <si>
    <t>Neha Deshpande</t>
  </si>
  <si>
    <t>Laptops</t>
  </si>
  <si>
    <t>Dell Inspiron 3520</t>
  </si>
  <si>
    <t>Pending</t>
  </si>
  <si>
    <t>ORD-10004</t>
  </si>
  <si>
    <t>East</t>
  </si>
  <si>
    <t>Ranchi</t>
  </si>
  <si>
    <t>Sourav Das</t>
  </si>
  <si>
    <t>Offline</t>
  </si>
  <si>
    <t>ORD-10005</t>
  </si>
  <si>
    <t>North</t>
  </si>
  <si>
    <t>Lucknow</t>
  </si>
  <si>
    <t>Simran Kaur</t>
  </si>
  <si>
    <t>Institutional</t>
  </si>
  <si>
    <t>Fashion</t>
  </si>
  <si>
    <t>Apparel</t>
  </si>
  <si>
    <t>Allen Solly Formal Shirt</t>
  </si>
  <si>
    <t>Distributor</t>
  </si>
  <si>
    <t>ORD-10006</t>
  </si>
  <si>
    <t>Mumbai</t>
  </si>
  <si>
    <t>Online Marketplace</t>
  </si>
  <si>
    <t>Air Conditioners</t>
  </si>
  <si>
    <t>Daikin 1.5T Split AC</t>
  </si>
  <si>
    <t>ORD-10007</t>
  </si>
  <si>
    <t>South</t>
  </si>
  <si>
    <t>Kochi</t>
  </si>
  <si>
    <t>Karthik Raman</t>
  </si>
  <si>
    <t>Furniture</t>
  </si>
  <si>
    <t>Tables</t>
  </si>
  <si>
    <t>6-Seater Dining Table</t>
  </si>
  <si>
    <t>ORD-10008</t>
  </si>
  <si>
    <t>ORD-10009</t>
  </si>
  <si>
    <t>Aditya Verma</t>
  </si>
  <si>
    <t>Sony WH-CH720N</t>
  </si>
  <si>
    <t>ORD-10010</t>
  </si>
  <si>
    <t>Kolkata</t>
  </si>
  <si>
    <t>Ritika Ghosh</t>
  </si>
  <si>
    <t>Storage</t>
  </si>
  <si>
    <t>3-Door Wardrobe</t>
  </si>
  <si>
    <t>ORD-10011</t>
  </si>
  <si>
    <t>Coimbatore</t>
  </si>
  <si>
    <t>Sofas</t>
  </si>
  <si>
    <t>Single Seater Recliner</t>
  </si>
  <si>
    <t>ORD-10012</t>
  </si>
  <si>
    <t>Central</t>
  </si>
  <si>
    <t>Ujjain</t>
  </si>
  <si>
    <t>Pooja Chouhan</t>
  </si>
  <si>
    <t>Kitchen Appliances</t>
  </si>
  <si>
    <t>Prestige Mixer Grinder</t>
  </si>
  <si>
    <t>ORD-10013</t>
  </si>
  <si>
    <t>Nagpur</t>
  </si>
  <si>
    <t>Sports &amp; Fitness</t>
  </si>
  <si>
    <t>Fitness Equipment</t>
  </si>
  <si>
    <t>Adjustable Dumbbell Set 10kg</t>
  </si>
  <si>
    <t>ORD-10014</t>
  </si>
  <si>
    <t>Televisions</t>
  </si>
  <si>
    <t>Mi TV 5X 43 inch</t>
  </si>
  <si>
    <t>ORD-10015</t>
  </si>
  <si>
    <t>ORD-10016</t>
  </si>
  <si>
    <t>Anjali Menon</t>
  </si>
  <si>
    <t>Corporate</t>
  </si>
  <si>
    <t>US Polo T-Shirt</t>
  </si>
  <si>
    <t>Returned</t>
  </si>
  <si>
    <t>ORD-10017</t>
  </si>
  <si>
    <t>Gurugram</t>
  </si>
  <si>
    <t>Rohit Malhotra</t>
  </si>
  <si>
    <t>ORD-10018</t>
  </si>
  <si>
    <t>Gwalior</t>
  </si>
  <si>
    <t>Accessories</t>
  </si>
  <si>
    <t>Wildcraft 35L Backpack</t>
  </si>
  <si>
    <t>ORD-10019</t>
  </si>
  <si>
    <t>Visakhapatnam</t>
  </si>
  <si>
    <t>ORD-10020</t>
  </si>
  <si>
    <t>Samsung Crystal 4K 55 inch</t>
  </si>
  <si>
    <t>ORD-10021</t>
  </si>
  <si>
    <t>ORD-10022</t>
  </si>
  <si>
    <t>ORD-10023</t>
  </si>
  <si>
    <t>Mobile Phones</t>
  </si>
  <si>
    <t>iPhone 15</t>
  </si>
  <si>
    <t>ORD-10024</t>
  </si>
  <si>
    <t>Indore</t>
  </si>
  <si>
    <t>3-Seater Fabric Sofa</t>
  </si>
  <si>
    <t>ORD-10025</t>
  </si>
  <si>
    <t>Guwahati</t>
  </si>
  <si>
    <t>ORD-10026</t>
  </si>
  <si>
    <t>ORD-10027</t>
  </si>
  <si>
    <t>ORD-10028</t>
  </si>
  <si>
    <t>Shipped</t>
  </si>
  <si>
    <t>ORD-10029</t>
  </si>
  <si>
    <t>Metal Shoe Rack</t>
  </si>
  <si>
    <t>ORD-10030</t>
  </si>
  <si>
    <t>Jaipur</t>
  </si>
  <si>
    <t>ORD-10031</t>
  </si>
  <si>
    <t>Bhopal</t>
  </si>
  <si>
    <t>ORD-10032</t>
  </si>
  <si>
    <t>Bengaluru</t>
  </si>
  <si>
    <t>ORD-10033</t>
  </si>
  <si>
    <t>ORD-10034</t>
  </si>
  <si>
    <t>Delhi</t>
  </si>
  <si>
    <t>Voltas 1.5T Inverter AC</t>
  </si>
  <si>
    <t>ORD-10035</t>
  </si>
  <si>
    <t>Chennai</t>
  </si>
  <si>
    <t>Divya Nair</t>
  </si>
  <si>
    <t>ORD-10036</t>
  </si>
  <si>
    <t>Activewear</t>
  </si>
  <si>
    <t>Puma Track Pants</t>
  </si>
  <si>
    <t>ORD-10037</t>
  </si>
  <si>
    <t>HP Pavilion 15</t>
  </si>
  <si>
    <t>ORD-10038</t>
  </si>
  <si>
    <t>Samsung 192L Single Door</t>
  </si>
  <si>
    <t>ORD-10039</t>
  </si>
  <si>
    <t>Hyderabad</t>
  </si>
  <si>
    <t>ORD-10040</t>
  </si>
  <si>
    <t>ORD-10041</t>
  </si>
  <si>
    <t>Chandigarh</t>
  </si>
  <si>
    <t>Simran    Kaur</t>
  </si>
  <si>
    <t>ORD-10042</t>
  </si>
  <si>
    <t>ORD-10043</t>
  </si>
  <si>
    <t>Jabalpur</t>
  </si>
  <si>
    <t xml:space="preserve">     Manish Tiwari</t>
  </si>
  <si>
    <t>ORD-10044</t>
  </si>
  <si>
    <t>Ahmedabad</t>
  </si>
  <si>
    <t>Office Chairs</t>
  </si>
  <si>
    <t>Green Soul Ergonomic Chair</t>
  </si>
  <si>
    <t>ORD-10045</t>
  </si>
  <si>
    <t>ORD-10046</t>
  </si>
  <si>
    <t>ORD-10047</t>
  </si>
  <si>
    <t>Redmi Note 14</t>
  </si>
  <si>
    <t>ORD-10048</t>
  </si>
  <si>
    <t>Patna</t>
  </si>
  <si>
    <t>ORD-10049</t>
  </si>
  <si>
    <t>ORD-10050</t>
  </si>
  <si>
    <t>ORD-10051</t>
  </si>
  <si>
    <t>ORD-10052</t>
  </si>
  <si>
    <t>Siliguri</t>
  </si>
  <si>
    <t>ORD-10053</t>
  </si>
  <si>
    <t>Philips Air Fryer</t>
  </si>
  <si>
    <t>ORD-10054</t>
  </si>
  <si>
    <t>Manish Tiwari</t>
  </si>
  <si>
    <t>Samsung Galaxy M35</t>
  </si>
  <si>
    <t>ORD-10055</t>
  </si>
  <si>
    <t>ORD-10056</t>
  </si>
  <si>
    <t>ORD-10057</t>
  </si>
  <si>
    <t>ORD-10058</t>
  </si>
  <si>
    <t>Aditya      Verma</t>
  </si>
  <si>
    <t>Fastrack Analog Watch</t>
  </si>
  <si>
    <t>ORD-10059</t>
  </si>
  <si>
    <t>Footwear</t>
  </si>
  <si>
    <t>Nike Revolution 7</t>
  </si>
  <si>
    <t>ORD-10060</t>
  </si>
  <si>
    <t>MacBook Air M3</t>
  </si>
  <si>
    <t>ORD-10061</t>
  </si>
  <si>
    <t>Sports Gear</t>
  </si>
  <si>
    <t>SG Cricket Bat English Willow</t>
  </si>
  <si>
    <t>ORD-10062</t>
  </si>
  <si>
    <t>ORD-10063</t>
  </si>
  <si>
    <t>ORD-10064</t>
  </si>
  <si>
    <t>ORD-10065</t>
  </si>
  <si>
    <t>ORD-10066</t>
  </si>
  <si>
    <t>Nashik</t>
  </si>
  <si>
    <t>ORD-10067</t>
  </si>
  <si>
    <t>ORD-10068</t>
  </si>
  <si>
    <t>ORD-10069</t>
  </si>
  <si>
    <t>Neha         Deshpande</t>
  </si>
  <si>
    <t>Yonex Badminton Racket</t>
  </si>
  <si>
    <t>ORD-10070</t>
  </si>
  <si>
    <t>ORD-10071</t>
  </si>
  <si>
    <t>ORD-10072</t>
  </si>
  <si>
    <t>Study Table Engineered Wood</t>
  </si>
  <si>
    <t>ORD-10073</t>
  </si>
  <si>
    <t>ORD-10074</t>
  </si>
  <si>
    <t>ORD-10075</t>
  </si>
  <si>
    <t>ORD-10076</t>
  </si>
  <si>
    <t>ORD-10077</t>
  </si>
  <si>
    <t>ORD-10078</t>
  </si>
  <si>
    <t>ORD-10079</t>
  </si>
  <si>
    <t>ORD-10080</t>
  </si>
  <si>
    <t>ORD-10081</t>
  </si>
  <si>
    <t>ORD-10082</t>
  </si>
  <si>
    <t>ORD-10083</t>
  </si>
  <si>
    <t>ORD-10084</t>
  </si>
  <si>
    <t>Bhubaneswar</t>
  </si>
  <si>
    <t>Washing Machines</t>
  </si>
  <si>
    <t>IFB Front Load 7kg</t>
  </si>
  <si>
    <t>ORD-10085</t>
  </si>
  <si>
    <t>Raipur</t>
  </si>
  <si>
    <t>ORD-10086</t>
  </si>
  <si>
    <t>ORD-10087</t>
  </si>
  <si>
    <t>ORD-10088</t>
  </si>
  <si>
    <t>Campus Running Shoes</t>
  </si>
  <si>
    <t>ORD-10089</t>
  </si>
  <si>
    <t>ORD-10090</t>
  </si>
  <si>
    <t>ORD-10091</t>
  </si>
  <si>
    <t>ORD-10092</t>
  </si>
  <si>
    <t>ORD-10093</t>
  </si>
  <si>
    <t>ORD-10094</t>
  </si>
  <si>
    <t>ORD-10095</t>
  </si>
  <si>
    <t>ORD-10096</t>
  </si>
  <si>
    <t>ORD-10097</t>
  </si>
  <si>
    <t>ORD-10098</t>
  </si>
  <si>
    <t>ORD-10099</t>
  </si>
  <si>
    <t>ORD-10100</t>
  </si>
  <si>
    <t>ORD-10101</t>
  </si>
  <si>
    <t>ORD-10102</t>
  </si>
  <si>
    <t>Bata Formal Shoes</t>
  </si>
  <si>
    <t>ORD-10103</t>
  </si>
  <si>
    <t>ORD-10104</t>
  </si>
  <si>
    <t>ORD-10105</t>
  </si>
  <si>
    <t>ORD-10106</t>
  </si>
  <si>
    <t>ORD-10107</t>
  </si>
  <si>
    <t>ORD-10108</t>
  </si>
  <si>
    <t>ORD-10109</t>
  </si>
  <si>
    <t>ORD-10110</t>
  </si>
  <si>
    <t>ORD-10111</t>
  </si>
  <si>
    <t>ORD-10112</t>
  </si>
  <si>
    <t>ORD-10113</t>
  </si>
  <si>
    <t>ORD-10114</t>
  </si>
  <si>
    <t>Nilkamal Executive Chair</t>
  </si>
  <si>
    <t>ORD-10115</t>
  </si>
  <si>
    <t>ORD-10116</t>
  </si>
  <si>
    <t>Whirlpool Semi Auto 7.5kg</t>
  </si>
  <si>
    <t>ORD-10117</t>
  </si>
  <si>
    <t>ORD-10118</t>
  </si>
  <si>
    <t>ORD-10119</t>
  </si>
  <si>
    <t>ORD-10120</t>
  </si>
  <si>
    <t>ORD-10121</t>
  </si>
  <si>
    <t>ORD-10122</t>
  </si>
  <si>
    <t>Levis 511 Jeans</t>
  </si>
  <si>
    <t>ORD-10123</t>
  </si>
  <si>
    <t>ORD-10124</t>
  </si>
  <si>
    <t>Pigeon Induction Cooktop</t>
  </si>
  <si>
    <t>ORD-10125</t>
  </si>
  <si>
    <t>ORD-10126</t>
  </si>
  <si>
    <t>Noida</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</si>
  <si>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</si>
  <si>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</si>
  <si>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</si>
  <si>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</si>
  <si>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</si>
  <si>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</si>
  <si>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</si>
  <si>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</si>
  <si>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</si>
  <si>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</si>
  <si>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</si>
  <si>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</si>
  <si>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</si>
  <si>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</si>
  <si>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</si>
  <si>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</si>
  <si>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</si>
  <si>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</si>
  <si>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</si>
  <si>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</si>
  <si>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</si>
  <si>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</si>
  <si>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</si>
  <si>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</si>
  <si>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</si>
  <si>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</si>
  <si>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Home Foldable Treadmill</t>
  </si>
  <si>
    <t>ORD-10153</t>
  </si>
  <si>
    <t>ORD-10154</t>
  </si>
  <si>
    <t>ORD-10155</t>
  </si>
  <si>
    <t>ORD-10156</t>
  </si>
  <si>
    <t>ORD-10157</t>
  </si>
  <si>
    <t>ORD-10158</t>
  </si>
  <si>
    <t>ORD-10159</t>
  </si>
  <si>
    <t>ORD-10160</t>
  </si>
  <si>
    <t>ORD-10161</t>
  </si>
  <si>
    <t>ORD-10162</t>
  </si>
  <si>
    <t>ORD-10163</t>
  </si>
  <si>
    <t>ORD-10164</t>
  </si>
  <si>
    <t>ORD-10165</t>
  </si>
  <si>
    <t>ORD-10166</t>
  </si>
  <si>
    <t>Nivia Football Size 5</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</si>
  <si>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</si>
  <si>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</si>
  <si>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</si>
  <si>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</si>
  <si>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</si>
  <si>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</si>
  <si>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</si>
  <si>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</si>
  <si>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</si>
  <si>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</si>
  <si>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</si>
  <si>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</si>
  <si>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</si>
  <si>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</si>
  <si>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</si>
  <si>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</si>
  <si>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</si>
  <si>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</si>
  <si>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</si>
  <si>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</si>
  <si>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</si>
  <si>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</si>
  <si>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</si>
  <si>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</si>
  <si>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</si>
  <si>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</si>
  <si>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 xml:space="preserve">           Karthik Raman</t>
  </si>
  <si>
    <t>ORD-10193</t>
  </si>
  <si>
    <t>ORD-10194</t>
  </si>
  <si>
    <t>ORD-10195</t>
  </si>
  <si>
    <t>ORD-10196</t>
  </si>
  <si>
    <t>ORD-10197</t>
  </si>
  <si>
    <t>ORD-10198</t>
  </si>
  <si>
    <t>ORD-10199</t>
  </si>
  <si>
    <t>ORD-10200</t>
  </si>
  <si>
    <t>ORD-10201</t>
  </si>
  <si>
    <t>ORD-10202</t>
  </si>
  <si>
    <t>ORD-10203</t>
  </si>
  <si>
    <t>ORD-10204</t>
  </si>
  <si>
    <t>ORD-10205</t>
  </si>
  <si>
    <t>ORD-10206</t>
  </si>
  <si>
    <t>ORD-10207</t>
  </si>
  <si>
    <t xml:space="preserve">                    Imran Sheikh</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</si>
  <si>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</si>
  <si>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</si>
  <si>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</si>
  <si>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</si>
  <si>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</si>
  <si>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</si>
  <si>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</si>
  <si>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</si>
  <si>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</si>
  <si>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</si>
  <si>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</si>
  <si>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</si>
  <si>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</si>
  <si>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</si>
  <si>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</si>
  <si>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</si>
  <si>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</si>
  <si>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 xml:space="preserve">               Pooja Chouhan</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</si>
  <si>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</si>
  <si>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</si>
  <si>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</si>
  <si>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</si>
  <si>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</si>
  <si>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</si>
  <si>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</si>
  <si>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</si>
  <si>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</si>
  <si>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</si>
  <si>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</si>
  <si>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</si>
  <si>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</si>
  <si>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</si>
  <si>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</si>
  <si>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</si>
  <si>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</si>
  <si>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</si>
  <si>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</si>
  <si>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</si>
  <si>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</si>
  <si>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</si>
  <si>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</si>
  <si>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</si>
  <si>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</si>
  <si>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</si>
  <si>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</si>
  <si>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</si>
  <si>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</si>
  <si>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</si>
  <si>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</si>
  <si>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</si>
  <si>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</si>
  <si>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</si>
  <si>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</si>
  <si>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</si>
  <si>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Rohit                Malhotra</t>
  </si>
  <si>
    <t>ORD-10260</t>
  </si>
  <si>
    <t>ORD-10261</t>
  </si>
  <si>
    <t>ORD-10262</t>
  </si>
  <si>
    <t>ORD-10263</t>
  </si>
  <si>
    <t>ORD-10264</t>
  </si>
  <si>
    <t>ORD-10265</t>
  </si>
  <si>
    <t>ORD-10266</t>
  </si>
  <si>
    <t>ORD-10267</t>
  </si>
  <si>
    <t>ORD-10268</t>
  </si>
  <si>
    <t>ORD-10269</t>
  </si>
  <si>
    <t>Rohit            Malhotra</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</si>
  <si>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</si>
  <si>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</si>
  <si>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</si>
  <si>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</si>
  <si>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</si>
  <si>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</si>
  <si>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</si>
  <si>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</si>
  <si>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</si>
  <si>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</si>
  <si>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</si>
  <si>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</si>
  <si>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</si>
  <si>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</si>
  <si>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</si>
  <si>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</si>
  <si>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</si>
  <si>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</si>
  <si>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</si>
  <si>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</si>
  <si>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</si>
  <si>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</si>
  <si>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</si>
  <si>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</si>
  <si>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</si>
  <si>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</si>
  <si>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</si>
  <si>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</si>
  <si>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</si>
  <si>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</si>
  <si>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</si>
  <si>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</si>
  <si>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</si>
  <si>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</si>
  <si>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</si>
  <si>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</si>
  <si>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</si>
  <si>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</si>
  <si>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</si>
  <si>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</si>
  <si>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</si>
  <si>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</si>
  <si>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</si>
  <si>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</si>
  <si>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</si>
  <si>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</si>
  <si>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</si>
  <si>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</si>
  <si>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</si>
  <si>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</si>
  <si>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</si>
  <si>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</si>
  <si>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</si>
  <si>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</si>
  <si>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</si>
  <si>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</si>
  <si>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</si>
  <si>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</si>
  <si>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</si>
  <si>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</si>
  <si>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</si>
  <si>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</si>
  <si>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</si>
  <si>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</si>
  <si>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</si>
  <si>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</si>
  <si>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</si>
  <si>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</si>
  <si>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</si>
  <si>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</si>
  <si>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</si>
  <si>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</si>
  <si>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</si>
  <si>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</si>
  <si>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</si>
  <si>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</si>
  <si>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</si>
  <si>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</si>
  <si>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</si>
  <si>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</si>
  <si>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</si>
  <si>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</si>
  <si>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</si>
  <si>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</si>
  <si>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</si>
  <si>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</si>
  <si>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</si>
  <si>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</si>
  <si>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</si>
  <si>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</si>
  <si>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</si>
  <si>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</si>
  <si>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</si>
  <si>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</si>
  <si>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</si>
  <si>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</si>
  <si>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</si>
  <si>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</si>
  <si>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</si>
  <si>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</si>
  <si>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</si>
  <si>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</si>
  <si>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</si>
  <si>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</si>
  <si>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</si>
  <si>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</si>
  <si>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</si>
  <si>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</si>
  <si>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</si>
  <si>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</si>
  <si>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</si>
  <si>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</si>
  <si>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</si>
  <si>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</si>
  <si>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</si>
  <si>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</si>
  <si>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</si>
  <si>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</si>
  <si>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</si>
  <si>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</si>
  <si>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</si>
  <si>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</si>
  <si>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</si>
  <si>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</si>
  <si>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</si>
  <si>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</si>
  <si>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</si>
  <si>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</si>
  <si>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</si>
  <si>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</si>
  <si>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</si>
  <si>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</si>
  <si>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</si>
  <si>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</si>
  <si>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</si>
  <si>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</si>
  <si>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</si>
  <si>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</si>
  <si>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</si>
  <si>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</si>
  <si>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</si>
  <si>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</si>
  <si>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</si>
  <si>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</si>
  <si>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</si>
  <si>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</si>
  <si>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</si>
  <si>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</si>
  <si>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</si>
  <si>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</si>
  <si>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</si>
  <si>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</si>
  <si>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</si>
  <si>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</si>
  <si>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</si>
  <si>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</si>
  <si>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</si>
  <si>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</si>
  <si>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</si>
  <si>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</si>
  <si>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</si>
  <si>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</si>
  <si>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</si>
  <si>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</si>
  <si>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</si>
  <si>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</si>
  <si>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</si>
  <si>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</si>
  <si>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</si>
  <si>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</si>
  <si>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</si>
  <si>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</si>
  <si>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</si>
  <si>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</si>
  <si>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</si>
  <si>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</si>
  <si>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</si>
  <si>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</si>
  <si>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</si>
  <si>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</si>
  <si>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</si>
  <si>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</si>
  <si>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</si>
  <si>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</si>
  <si>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</si>
  <si>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</si>
  <si>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</si>
  <si>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</si>
  <si>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</si>
  <si>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</si>
  <si>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</si>
  <si>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</si>
  <si>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</si>
  <si>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</si>
  <si>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</si>
  <si>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</si>
  <si>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</si>
  <si>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</si>
  <si>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</si>
  <si>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</si>
  <si>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</si>
  <si>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</si>
  <si>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</si>
  <si>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</si>
  <si>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</si>
  <si>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</si>
  <si>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</si>
  <si>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</si>
  <si>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</si>
  <si>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</si>
  <si>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</si>
  <si>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</si>
  <si>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</si>
  <si>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</si>
  <si>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</si>
  <si>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</si>
  <si>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</si>
  <si>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</si>
  <si>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</si>
  <si>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</si>
  <si>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</si>
  <si>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</si>
  <si>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</si>
  <si>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</si>
  <si>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</si>
  <si>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</si>
  <si>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</si>
  <si>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</si>
  <si>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</si>
  <si>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</si>
  <si>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</si>
  <si>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</si>
  <si>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</si>
  <si>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</si>
  <si>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</si>
  <si>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</si>
  <si>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</si>
  <si>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</si>
  <si>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</si>
  <si>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</si>
  <si>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</si>
  <si>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</si>
  <si>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</si>
  <si>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</si>
  <si>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</si>
  <si>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</si>
  <si>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</si>
  <si>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</si>
  <si>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</si>
  <si>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</si>
  <si>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</si>
  <si>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</si>
  <si>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</si>
  <si>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</si>
  <si>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</si>
  <si>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</si>
  <si>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</si>
  <si>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</si>
  <si>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</si>
  <si>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</si>
  <si>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</si>
  <si>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</si>
  <si>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</si>
  <si>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</si>
  <si>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</si>
  <si>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</si>
  <si>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</si>
  <si>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</si>
  <si>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</si>
  <si>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</si>
  <si>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</si>
  <si>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</si>
  <si>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</si>
  <si>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</si>
  <si>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</si>
  <si>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</si>
  <si>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</si>
  <si>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</si>
  <si>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</si>
  <si>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</si>
  <si>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</si>
  <si>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</si>
  <si>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</si>
  <si>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</si>
  <si>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</si>
  <si>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</si>
  <si>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</si>
  <si>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</si>
  <si>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</si>
  <si>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</si>
  <si>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</si>
  <si>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</si>
  <si>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</si>
  <si>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</si>
  <si>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</si>
  <si>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</si>
  <si>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</si>
  <si>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</si>
  <si>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</si>
  <si>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</si>
  <si>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</si>
  <si>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</si>
  <si>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</si>
  <si>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</si>
  <si>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</si>
  <si>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</si>
  <si>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</si>
  <si>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</si>
  <si>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</si>
  <si>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</si>
  <si>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</si>
  <si>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</si>
  <si>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</si>
  <si>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</si>
  <si>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</si>
  <si>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</si>
  <si>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</si>
  <si>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</si>
  <si>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</si>
  <si>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</si>
  <si>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</si>
  <si>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</si>
  <si>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</si>
  <si>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</si>
  <si>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</si>
  <si>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</si>
  <si>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</si>
  <si>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</si>
  <si>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</si>
  <si>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</si>
  <si>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</si>
  <si>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</si>
  <si>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</si>
  <si>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</si>
  <si>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</si>
  <si>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</si>
  <si>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</si>
  <si>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</si>
  <si>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</si>
  <si>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</si>
  <si>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</si>
  <si>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</si>
  <si>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</si>
  <si>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</si>
  <si>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</si>
  <si>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</si>
  <si>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</si>
  <si>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</si>
  <si>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 xml:space="preserve">             Neha Deshpande</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</si>
  <si>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</si>
  <si>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</si>
  <si>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</si>
  <si>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</si>
  <si>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</si>
  <si>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</si>
  <si>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</si>
  <si>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</si>
  <si>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</si>
  <si>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</si>
  <si>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</si>
  <si>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</si>
  <si>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</si>
  <si>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</si>
  <si>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</si>
  <si>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</si>
  <si>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</si>
  <si>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</si>
  <si>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</si>
  <si>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</si>
  <si>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</si>
  <si>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</si>
  <si>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</si>
  <si>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</si>
  <si>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</si>
  <si>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</si>
  <si>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</si>
  <si>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</si>
  <si>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</si>
  <si>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</si>
  <si>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</si>
  <si>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</si>
  <si>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</si>
  <si>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</si>
  <si>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</si>
  <si>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</si>
  <si>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</si>
  <si>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</si>
  <si>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</si>
  <si>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</si>
  <si>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</si>
  <si>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</si>
  <si>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</si>
  <si>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</si>
  <si>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</si>
  <si>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</si>
  <si>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</si>
  <si>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</si>
  <si>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</si>
  <si>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</si>
  <si>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</si>
  <si>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</si>
  <si>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</si>
  <si>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</si>
  <si>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</si>
  <si>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</si>
  <si>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</si>
  <si>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</si>
  <si>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</si>
  <si>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</si>
  <si>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</si>
  <si>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</si>
  <si>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</si>
  <si>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</si>
  <si>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</si>
  <si>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</si>
  <si>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</si>
  <si>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</si>
  <si>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</si>
  <si>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</si>
  <si>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</si>
  <si>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</si>
  <si>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</si>
  <si>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</si>
  <si>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</si>
  <si>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</si>
  <si>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</si>
  <si>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</si>
  <si>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</si>
  <si>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</si>
  <si>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</si>
  <si>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</si>
  <si>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</si>
  <si>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</si>
  <si>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</si>
  <si>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</si>
  <si>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</si>
  <si>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</si>
  <si>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</si>
  <si>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</si>
  <si>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</si>
  <si>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</si>
  <si>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</si>
  <si>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</si>
  <si>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</si>
  <si>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</si>
  <si>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</si>
  <si>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</si>
  <si>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</si>
  <si>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</si>
  <si>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</si>
  <si>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</si>
  <si>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</si>
  <si>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</si>
  <si>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</si>
  <si>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</si>
  <si>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</si>
  <si>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</si>
  <si>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</si>
  <si>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</si>
  <si>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</si>
  <si>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</si>
  <si>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</si>
  <si>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</si>
  <si>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</si>
  <si>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</si>
  <si>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</si>
  <si>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</si>
  <si>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</si>
  <si>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</si>
  <si>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</si>
  <si>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</si>
  <si>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</si>
  <si>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</si>
  <si>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</si>
  <si>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</si>
  <si>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</si>
  <si>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</si>
  <si>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</si>
  <si>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</si>
  <si>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</si>
  <si>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</si>
  <si>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</si>
  <si>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</si>
  <si>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</si>
  <si>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</si>
  <si>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</si>
  <si>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</si>
  <si>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</si>
  <si>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</si>
  <si>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 xml:space="preserve">                 Anjali Menon</t>
  </si>
  <si>
    <t>ORD-10758</t>
  </si>
  <si>
    <t>Ritika              Ghosh</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</si>
  <si>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</si>
  <si>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</si>
  <si>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</si>
  <si>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</si>
  <si>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</si>
  <si>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</si>
  <si>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</si>
  <si>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</si>
  <si>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</si>
  <si>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</si>
  <si>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</si>
  <si>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</si>
  <si>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</si>
  <si>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</si>
  <si>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</si>
  <si>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</si>
  <si>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</si>
  <si>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</si>
  <si>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</si>
  <si>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</si>
  <si>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</si>
  <si>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</si>
  <si>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</si>
  <si>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</si>
  <si>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</si>
  <si>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</si>
  <si>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</si>
  <si>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</si>
  <si>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</si>
  <si>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</si>
  <si>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</si>
  <si>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</si>
  <si>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</si>
  <si>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</si>
  <si>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</si>
  <si>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</si>
  <si>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</si>
  <si>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</si>
  <si>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</si>
  <si>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</si>
  <si>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</si>
  <si>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</si>
  <si>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</si>
  <si>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</si>
  <si>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</si>
  <si>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</si>
  <si>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</si>
  <si>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</si>
  <si>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</si>
  <si>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</si>
  <si>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</si>
  <si>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</si>
  <si>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</si>
  <si>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</si>
  <si>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</si>
  <si>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</si>
  <si>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</si>
  <si>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</si>
  <si>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</si>
  <si>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</si>
  <si>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</si>
  <si>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</si>
  <si>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</si>
  <si>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</si>
  <si>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</si>
  <si>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</si>
  <si>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</si>
  <si>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</si>
  <si>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</si>
  <si>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</si>
  <si>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</si>
  <si>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</si>
  <si>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</si>
  <si>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</si>
  <si>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</si>
  <si>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</si>
  <si>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</si>
  <si>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</si>
  <si>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</si>
  <si>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</si>
  <si>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</si>
  <si>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</si>
  <si>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</si>
  <si>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</si>
  <si>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</si>
  <si>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</si>
  <si>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</si>
  <si>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</si>
  <si>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</si>
  <si>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</si>
  <si>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</si>
  <si>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</si>
  <si>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</si>
  <si>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</si>
  <si>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</si>
  <si>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</si>
  <si>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</si>
  <si>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</si>
  <si>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</si>
  <si>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</si>
  <si>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</si>
  <si>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</si>
  <si>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</si>
  <si>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</si>
  <si>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</si>
  <si>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</si>
  <si>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</si>
  <si>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</si>
  <si>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</si>
  <si>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</si>
  <si>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</si>
  <si>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</si>
  <si>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</si>
  <si>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</si>
  <si>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</si>
  <si>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</si>
  <si>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</si>
  <si>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</si>
  <si>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</si>
  <si>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</si>
  <si>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</si>
  <si>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</si>
  <si>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</si>
  <si>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</si>
  <si>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</si>
  <si>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</si>
  <si>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</si>
  <si>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</si>
  <si>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</si>
  <si>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</si>
  <si>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</si>
  <si>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</si>
  <si>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</si>
  <si>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</si>
  <si>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</si>
  <si>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</si>
  <si>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</si>
  <si>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</si>
  <si>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</si>
  <si>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</si>
  <si>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</si>
  <si>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</si>
  <si>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</si>
  <si>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</si>
  <si>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</si>
  <si>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</si>
  <si>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</si>
  <si>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</si>
  <si>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</si>
  <si>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</si>
  <si>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</si>
  <si>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</si>
  <si>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</si>
  <si>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</si>
  <si>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</si>
  <si>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</si>
  <si>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</si>
  <si>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</si>
  <si>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</si>
  <si>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</si>
  <si>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</si>
  <si>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</si>
  <si>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</si>
  <si>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</si>
  <si>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</si>
  <si>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</si>
  <si>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</si>
  <si>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</si>
  <si>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</si>
  <si>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</si>
  <si>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</si>
  <si>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</si>
  <si>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</si>
  <si>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</si>
  <si>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</si>
  <si>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</si>
  <si>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</si>
  <si>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</si>
  <si>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</si>
  <si>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</si>
  <si>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</si>
  <si>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</si>
  <si>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</si>
  <si>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</si>
  <si>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</si>
  <si>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</si>
  <si>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</si>
  <si>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</si>
  <si>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</si>
  <si>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</si>
  <si>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</si>
  <si>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</si>
  <si>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</si>
  <si>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</si>
  <si>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</si>
  <si>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</si>
  <si>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</si>
  <si>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</si>
  <si>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</si>
  <si>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</si>
  <si>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</si>
  <si>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</si>
  <si>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</si>
  <si>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</si>
  <si>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</si>
  <si>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</si>
  <si>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</si>
  <si>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</si>
  <si>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</si>
  <si>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</si>
  <si>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</si>
  <si>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</si>
  <si>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</si>
  <si>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</si>
  <si>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</si>
  <si>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</si>
  <si>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</si>
  <si>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</si>
  <si>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</si>
  <si>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</si>
  <si>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</si>
  <si>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</si>
  <si>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</si>
  <si>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</si>
  <si>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</si>
  <si>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</si>
  <si>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</si>
  <si>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</si>
  <si>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</si>
  <si>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</si>
  <si>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</si>
  <si>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</si>
  <si>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</si>
  <si>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</si>
  <si>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</si>
  <si>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</si>
  <si>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</si>
  <si>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</si>
  <si>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</si>
  <si>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</si>
  <si>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</si>
  <si>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</si>
  <si>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</si>
  <si>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</si>
  <si>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</si>
  <si>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</si>
  <si>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</si>
  <si>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</si>
  <si>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</si>
  <si>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</si>
  <si>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</si>
  <si>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</si>
  <si>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</si>
  <si>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</si>
  <si>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</si>
  <si>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</si>
  <si>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</si>
  <si>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</si>
  <si>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</si>
  <si>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</si>
  <si>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</si>
  <si>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</si>
  <si>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</si>
  <si>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</si>
  <si>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</si>
  <si>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</si>
  <si>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</si>
  <si>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</si>
  <si>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</si>
  <si>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</si>
  <si>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</si>
  <si>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</si>
  <si>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</si>
  <si>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</si>
  <si>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</si>
  <si>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</si>
  <si>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</si>
  <si>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</si>
  <si>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</si>
  <si>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</si>
  <si>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</si>
  <si>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</si>
  <si>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</si>
  <si>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</si>
  <si>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</si>
  <si>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</si>
  <si>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</si>
  <si>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</si>
  <si>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</si>
  <si>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</si>
  <si>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</si>
  <si>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</si>
  <si>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</si>
  <si>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</si>
  <si>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</si>
  <si>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</si>
  <si>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</si>
  <si>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</si>
  <si>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</si>
  <si>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</si>
  <si>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</si>
  <si>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</si>
  <si>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</si>
  <si>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</si>
  <si>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</si>
  <si>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</si>
  <si>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</si>
  <si>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</si>
  <si>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</si>
  <si>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</si>
  <si>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</si>
  <si>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</si>
  <si>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</si>
  <si>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</si>
  <si>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</si>
  <si>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</si>
  <si>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</si>
  <si>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</si>
  <si>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</si>
  <si>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</si>
  <si>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</si>
  <si>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</si>
  <si>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</si>
  <si>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</si>
  <si>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</si>
  <si>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</si>
  <si>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</si>
  <si>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</si>
  <si>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</si>
  <si>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</si>
  <si>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</si>
  <si>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</si>
  <si>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</si>
  <si>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</si>
  <si>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</si>
  <si>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</si>
  <si>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</si>
  <si>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</si>
  <si>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</si>
  <si>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</si>
  <si>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</si>
  <si>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</si>
  <si>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</si>
  <si>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</si>
  <si>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</si>
  <si>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</si>
  <si>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</si>
  <si>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</si>
  <si>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</si>
  <si>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</si>
  <si>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</si>
  <si>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</si>
  <si>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</si>
  <si>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</si>
  <si>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</si>
  <si>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</si>
  <si>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</si>
  <si>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</si>
  <si>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</si>
  <si>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</si>
  <si>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</si>
  <si>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</si>
  <si>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</si>
  <si>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</si>
  <si>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</si>
  <si>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</si>
  <si>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</si>
  <si>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</si>
  <si>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</si>
  <si>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</si>
  <si>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</si>
  <si>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</si>
  <si>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</si>
  <si>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</si>
  <si>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</si>
  <si>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</si>
  <si>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</si>
  <si>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</si>
  <si>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</si>
  <si>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</si>
  <si>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</si>
  <si>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</si>
  <si>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</si>
  <si>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</si>
  <si>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</si>
  <si>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</si>
  <si>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</si>
  <si>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</si>
  <si>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</si>
  <si>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</si>
  <si>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</si>
  <si>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</si>
  <si>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</si>
  <si>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</si>
  <si>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</si>
  <si>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</si>
  <si>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</si>
  <si>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</si>
  <si>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</si>
  <si>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</si>
  <si>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</si>
  <si>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</si>
  <si>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</si>
  <si>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</si>
  <si>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</si>
  <si>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</si>
  <si>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</si>
  <si>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</si>
  <si>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</si>
  <si>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</si>
  <si>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</si>
  <si>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</si>
  <si>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</si>
  <si>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</si>
  <si>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</si>
  <si>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</si>
  <si>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</si>
  <si>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</si>
  <si>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</si>
  <si>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</si>
  <si>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</si>
  <si>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</si>
  <si>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</si>
  <si>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</si>
  <si>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</si>
  <si>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</si>
  <si>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</si>
  <si>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</si>
  <si>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</si>
  <si>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</si>
  <si>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</si>
  <si>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</si>
  <si>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</si>
  <si>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</si>
  <si>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</si>
  <si>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</si>
  <si>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</si>
  <si>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</si>
  <si>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</si>
  <si>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</si>
  <si>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</si>
  <si>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</si>
  <si>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</si>
  <si>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</si>
  <si>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</si>
  <si>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</si>
  <si>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</si>
  <si>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</si>
  <si>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</si>
  <si>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</si>
  <si>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</si>
  <si>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</si>
  <si>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</si>
  <si>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</si>
  <si>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</si>
  <si>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</si>
  <si>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</si>
  <si>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</si>
  <si>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</si>
  <si>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</si>
  <si>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</si>
  <si>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</si>
  <si>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</si>
  <si>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</si>
  <si>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</si>
  <si>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</si>
  <si>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</si>
  <si>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</si>
  <si>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</si>
  <si>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</si>
  <si>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</si>
  <si>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</si>
  <si>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</si>
  <si>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</si>
  <si>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</si>
  <si>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</si>
  <si>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</si>
  <si>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</si>
  <si>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</si>
  <si>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</si>
  <si>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</si>
  <si>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</si>
  <si>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</si>
  <si>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</si>
  <si>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</si>
  <si>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</si>
  <si>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</si>
  <si>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</si>
  <si>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</si>
  <si>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</si>
  <si>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</si>
  <si>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</si>
  <si>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</si>
  <si>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</si>
  <si>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</si>
  <si>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</si>
  <si>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</si>
  <si>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</si>
  <si>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</si>
  <si>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</si>
  <si>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</si>
  <si>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</si>
  <si>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</si>
  <si>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</si>
  <si>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</si>
  <si>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</si>
  <si>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</si>
  <si>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</si>
  <si>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</si>
  <si>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</si>
  <si>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</si>
  <si>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</si>
  <si>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</si>
  <si>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</si>
  <si>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</si>
  <si>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</si>
  <si>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</si>
  <si>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</si>
  <si>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</si>
  <si>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</si>
  <si>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</si>
  <si>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</si>
  <si>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</si>
  <si>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</si>
  <si>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</si>
  <si>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</si>
  <si>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</si>
  <si>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</si>
  <si>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</si>
  <si>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</si>
  <si>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</si>
  <si>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</si>
  <si>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</si>
  <si>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</si>
  <si>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</si>
  <si>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</si>
  <si>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</si>
  <si>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</si>
  <si>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</si>
  <si>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</si>
  <si>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</si>
  <si>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</si>
  <si>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</si>
  <si>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</si>
  <si>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</si>
  <si>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</si>
  <si>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</si>
  <si>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</si>
  <si>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</si>
  <si>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</si>
  <si>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</si>
  <si>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</si>
  <si>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</si>
  <si>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</si>
  <si>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</si>
  <si>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</si>
  <si>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</si>
  <si>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</si>
  <si>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</si>
  <si>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</si>
  <si>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</si>
  <si>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</si>
  <si>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</si>
  <si>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</si>
  <si>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</si>
  <si>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</si>
  <si>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</si>
  <si>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</si>
  <si>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</si>
  <si>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</si>
  <si>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</si>
  <si>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</si>
  <si>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</si>
  <si>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</si>
  <si>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</si>
  <si>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</si>
  <si>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</si>
  <si>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</si>
  <si>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</si>
  <si>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</si>
  <si>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</si>
  <si>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</si>
  <si>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</si>
  <si>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</si>
  <si>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</si>
  <si>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</si>
  <si>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</si>
  <si>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</si>
  <si>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</si>
  <si>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</si>
  <si>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</si>
  <si>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</si>
  <si>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</si>
  <si>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</si>
  <si>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</si>
  <si>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</si>
  <si>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</si>
  <si>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</si>
  <si>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</si>
  <si>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</si>
  <si>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</si>
  <si>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</si>
  <si>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</si>
  <si>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</si>
  <si>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</si>
  <si>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</si>
  <si>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</si>
  <si>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</si>
  <si>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</si>
  <si>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</si>
  <si>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</si>
  <si>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</si>
  <si>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</si>
  <si>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</si>
  <si>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</si>
  <si>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</si>
  <si>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</si>
  <si>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</si>
  <si>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</si>
  <si>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</si>
  <si>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</si>
  <si>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</si>
  <si>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</si>
  <si>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</si>
  <si>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</si>
  <si>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</si>
  <si>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</si>
  <si>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</si>
  <si>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</si>
  <si>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</si>
  <si>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</si>
  <si>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</si>
  <si>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</si>
  <si>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</si>
  <si>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</si>
  <si>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</si>
  <si>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</si>
  <si>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</si>
  <si>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</si>
  <si>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</si>
  <si>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</si>
  <si>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</si>
  <si>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</si>
  <si>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</si>
  <si>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</si>
  <si>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</si>
  <si>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</si>
  <si>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</si>
  <si>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</si>
  <si>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</si>
  <si>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</si>
  <si>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</si>
  <si>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</si>
  <si>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</si>
  <si>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</si>
  <si>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</si>
  <si>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</si>
  <si>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</si>
  <si>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</si>
  <si>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</si>
  <si>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</si>
  <si>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</si>
  <si>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</si>
  <si>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</si>
  <si>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</si>
  <si>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</si>
  <si>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</si>
  <si>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</si>
  <si>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</si>
  <si>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</si>
  <si>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</si>
  <si>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</si>
  <si>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</si>
  <si>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</si>
  <si>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</si>
  <si>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</si>
  <si>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</si>
  <si>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</si>
  <si>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</si>
  <si>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</si>
  <si>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</si>
  <si>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</si>
  <si>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</si>
  <si>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</si>
  <si>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</si>
  <si>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</si>
  <si>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</si>
  <si>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</si>
  <si>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</si>
  <si>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</si>
  <si>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</si>
  <si>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</si>
  <si>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</si>
  <si>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</si>
  <si>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</si>
  <si>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</si>
  <si>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</si>
  <si>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</si>
  <si>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</si>
  <si>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</si>
  <si>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</si>
  <si>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</si>
  <si>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</si>
  <si>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</si>
  <si>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</si>
  <si>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</si>
  <si>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</si>
  <si>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</si>
  <si>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</si>
  <si>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</si>
  <si>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</si>
  <si>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</si>
  <si>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</si>
  <si>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</si>
  <si>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</si>
  <si>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</si>
  <si>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</si>
  <si>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</si>
  <si>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</si>
  <si>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</si>
  <si>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</si>
  <si>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</si>
  <si>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</si>
  <si>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</si>
  <si>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</si>
  <si>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</si>
  <si>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</si>
  <si>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</si>
  <si>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</si>
  <si>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</si>
  <si>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</si>
  <si>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</si>
  <si>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</si>
  <si>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</si>
  <si>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</si>
  <si>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</si>
  <si>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Manish             Tiwari</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</si>
  <si>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</si>
  <si>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</si>
  <si>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</si>
  <si>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</si>
  <si>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</si>
  <si>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</si>
  <si>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</si>
  <si>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</si>
  <si>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</si>
  <si>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</si>
  <si>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</si>
  <si>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</si>
  <si>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</si>
  <si>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</si>
  <si>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</si>
  <si>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</si>
  <si>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</si>
  <si>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</si>
  <si>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Simran             Kaur</t>
  </si>
  <si>
    <t>ORD-11513</t>
  </si>
  <si>
    <t>ORD-11514</t>
  </si>
  <si>
    <t>Boat Airdopes 141</t>
  </si>
  <si>
    <t>Lg 260L Double Door</t>
  </si>
  <si>
    <t>Daikin 1.5T Split Ac</t>
  </si>
  <si>
    <t>Sony Wh-Ch720N</t>
  </si>
  <si>
    <t>Adjustable Dumbbell Set 10Kg</t>
  </si>
  <si>
    <t>Mi Tv 5X 43 Inch</t>
  </si>
  <si>
    <t>Us Polo T-Shirt</t>
  </si>
  <si>
    <t>Samsung Crystal 4K 55 Inch</t>
  </si>
  <si>
    <t>Iphone 15</t>
  </si>
  <si>
    <t>Voltas 1.5T Inverter Ac</t>
  </si>
  <si>
    <t>Hp Pavilion 15</t>
  </si>
  <si>
    <t>Macbook Air M3</t>
  </si>
  <si>
    <t>Sg Cricket Bat English Willow</t>
  </si>
  <si>
    <t>Ifb Front Load 7Kg</t>
  </si>
  <si>
    <t>Whirlpool Semi Auto 7.5Kg</t>
  </si>
  <si>
    <t>Jbl Flip 6</t>
  </si>
  <si>
    <t>Clean Sales Person</t>
  </si>
  <si>
    <t>Calculated sales</t>
  </si>
  <si>
    <t>Years</t>
  </si>
  <si>
    <t>Month</t>
  </si>
  <si>
    <t>Total cost</t>
  </si>
  <si>
    <t>Profit/Loss</t>
  </si>
  <si>
    <t>Profit Margin</t>
  </si>
  <si>
    <t>Row Labels</t>
  </si>
  <si>
    <t>Grand Total</t>
  </si>
  <si>
    <t>Column Labels</t>
  </si>
  <si>
    <t>Sum of Calculated sales</t>
  </si>
  <si>
    <t>Sum of Profit/Loss</t>
  </si>
  <si>
    <t>Total Orders</t>
  </si>
  <si>
    <t>Jan</t>
  </si>
  <si>
    <t>Feb</t>
  </si>
  <si>
    <t>Mar</t>
  </si>
  <si>
    <t>Apr</t>
  </si>
  <si>
    <t>May</t>
  </si>
  <si>
    <t>Jun</t>
  </si>
  <si>
    <t>Jul</t>
  </si>
  <si>
    <t>Aug</t>
  </si>
  <si>
    <t>Sep</t>
  </si>
  <si>
    <t>Oct</t>
  </si>
  <si>
    <t>Nov</t>
  </si>
  <si>
    <t>Dec</t>
  </si>
  <si>
    <t>SALES DAAHBOARD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</si>
</sst>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mmmm"/>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22"/>
      <color theme="0"/>
      <name val="Aptos Narrow"/>
      <family val="2"/>
      <scheme val="minor"/>
    </font>
    <font>
      <sz val="11"/>
      <color rgb="FFFFFF0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18" fillId="0" borderId="10" xfId="0" applyFont="1" applyBorder="1" applyAlignment="1">
      <alignment horizontal="center"/>
    </xf>
    <xf numFmtId="164" fontId="18" fillId="0" borderId="10" xfId="0" applyNumberFormat="1" applyFont="1" applyBorder="1" applyAlignment="1">
      <alignment horizontal="center"/>
    </xf>
    <xf numFmtId="0" fontId="0" fillId="0" borderId="10" xfId="0" applyBorder="1" applyAlignment="1">
      <alignment horizontal="center"/>
    </xf>
    <xf numFmtId="0" fontId="0" fillId="0" borderId="10" xfId="0" pivotButton="1" applyBorder="1" applyAlignment="1">
      <alignment horizontal="center"/>
    </xf>
    <xf numFmtId="164" fontId="0" fillId="0" borderId="10" xfId="0" applyNumberFormat="1" applyBorder="1" applyAlignment="1">
      <alignment horizontal="center"/>
    </xf>
    <xf numFmtId="0" fontId="16" fillId="0" borderId="10" xfId="0" applyFont="1" applyBorder="1" applyAlignment="1">
      <alignment horizontal="center"/>
    </xf>
    <xf numFmtId="164" fontId="16" fillId="0" borderId="10" xfId="0" applyNumberFormat="1" applyFont="1" applyBorder="1" applyAlignment="1">
      <alignment horizontal="center"/>
    </xf>
    <xf numFmtId="0" fontId="0" fillId="33" borderId="0" xfId="0" applyFill="1" applyAlignment="1">
      <alignment horizontal="center"/>
    </xf>
    <xf numFmtId="0" fontId="19" fillId="33" borderId="0" xfId="0" applyFont="1" applyFill="1"/>
    <xf numFmtId="0" fontId="0" fillId="33" borderId="0" xfId="0"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3">
    <dxf>
      <font>
        <color rgb="FF9C0006"/>
      </font>
      <fill>
        <patternFill>
          <bgColor rgb="FFFFC7CE"/>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5" formatCode="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6" formatCode="mmm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Dashboard.xlsx]Pivots!PivotTable3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rPr>
              <a:t>Sales By Region</a:t>
            </a:r>
          </a:p>
        </c:rich>
      </c:tx>
      <c:layout>
        <c:manualLayout>
          <c:xMode val="edge"/>
          <c:yMode val="edge"/>
          <c:x val="0.38745163693283557"/>
          <c:y val="4.0945716875813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3380800804151"/>
          <c:y val="0.14314351246161341"/>
          <c:w val="0.68226436589043393"/>
          <c:h val="0.57890193416428115"/>
        </c:manualLayout>
      </c:layout>
      <c:barChart>
        <c:barDir val="col"/>
        <c:grouping val="clustered"/>
        <c:varyColors val="0"/>
        <c:ser>
          <c:idx val="0"/>
          <c:order val="0"/>
          <c:tx>
            <c:strRef>
              <c:f>Pivots!$C$21</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Pivots!$B$22:$B$27</c:f>
              <c:strCache>
                <c:ptCount val="5"/>
                <c:pt idx="0">
                  <c:v>Central</c:v>
                </c:pt>
                <c:pt idx="1">
                  <c:v>East</c:v>
                </c:pt>
                <c:pt idx="2">
                  <c:v>North</c:v>
                </c:pt>
                <c:pt idx="3">
                  <c:v>South</c:v>
                </c:pt>
                <c:pt idx="4">
                  <c:v>West</c:v>
                </c:pt>
              </c:strCache>
            </c:strRef>
          </c:cat>
          <c:val>
            <c:numRef>
              <c:f>Pivots!$C$22:$C$27</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5ED5-4F90-9ED1-ECB7CBA8B5D6}"/>
            </c:ext>
          </c:extLst>
        </c:ser>
        <c:dLbls>
          <c:showLegendKey val="0"/>
          <c:showVal val="0"/>
          <c:showCatName val="0"/>
          <c:showSerName val="0"/>
          <c:showPercent val="0"/>
          <c:showBubbleSize val="0"/>
        </c:dLbls>
        <c:gapWidth val="100"/>
        <c:overlap val="-24"/>
        <c:axId val="37385295"/>
        <c:axId val="1108867551"/>
      </c:barChart>
      <c:catAx>
        <c:axId val="373852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Region</a:t>
                </a:r>
              </a:p>
            </c:rich>
          </c:tx>
          <c:layout>
            <c:manualLayout>
              <c:xMode val="edge"/>
              <c:yMode val="edge"/>
              <c:x val="0.49032374821990493"/>
              <c:y val="0.91455944891500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8867551"/>
        <c:crosses val="autoZero"/>
        <c:auto val="1"/>
        <c:lblAlgn val="ctr"/>
        <c:lblOffset val="100"/>
        <c:noMultiLvlLbl val="0"/>
      </c:catAx>
      <c:valAx>
        <c:axId val="11088675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Sales</a:t>
                </a:r>
              </a:p>
            </c:rich>
          </c:tx>
          <c:layout>
            <c:manualLayout>
              <c:xMode val="edge"/>
              <c:yMode val="edge"/>
              <c:x val="1.1262260282191888E-2"/>
              <c:y val="0.4107268045891340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3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Dashboard.xlsx]Pivots!PivotTable4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 by category</a:t>
            </a:r>
          </a:p>
        </c:rich>
      </c:tx>
      <c:layout>
        <c:manualLayout>
          <c:xMode val="edge"/>
          <c:yMode val="edge"/>
          <c:x val="1.5537063821894874E-2"/>
          <c:y val="2.7258151868685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49833479095636"/>
          <c:y val="0.25665925732449896"/>
          <c:w val="0.54701512286918852"/>
          <c:h val="0.63900512257397346"/>
        </c:manualLayout>
      </c:layout>
      <c:barChart>
        <c:barDir val="bar"/>
        <c:grouping val="clustered"/>
        <c:varyColors val="0"/>
        <c:ser>
          <c:idx val="0"/>
          <c:order val="0"/>
          <c:tx>
            <c:strRef>
              <c:f>Pivots!$G$10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Pivots!$F$11:$F$16</c:f>
              <c:strCache>
                <c:ptCount val="5"/>
                <c:pt idx="0">
                  <c:v>Electronics</c:v>
                </c:pt>
                <c:pt idx="1">
                  <c:v>Fashion</c:v>
                </c:pt>
                <c:pt idx="2">
                  <c:v>Furniture</c:v>
                </c:pt>
                <c:pt idx="3">
                  <c:v>Home Appliances</c:v>
                </c:pt>
                <c:pt idx="4">
                  <c:v>Sports &amp; Fitness</c:v>
                </c:pt>
              </c:strCache>
            </c:strRef>
          </c:cat>
          <c:val>
            <c:numRef>
              <c:f>Pivots!$G$11:$G$16</c:f>
              <c:numCache>
                <c:formatCode>"₹"\ #,##0.00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0-F063-4159-83AE-A1CDEFCCF08A}"/>
            </c:ext>
          </c:extLst>
        </c:ser>
        <c:dLbls>
          <c:showLegendKey val="0"/>
          <c:showVal val="1"/>
          <c:showCatName val="0"/>
          <c:showSerName val="0"/>
          <c:showPercent val="0"/>
          <c:showBubbleSize val="0"/>
        </c:dLbls>
        <c:gapWidth val="182"/>
        <c:axId val="619934207"/>
        <c:axId val="2065197279"/>
      </c:barChart>
      <c:catAx>
        <c:axId val="61993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5197279"/>
        <c:crosses val="autoZero"/>
        <c:auto val="1"/>
        <c:lblAlgn val="ctr"/>
        <c:lblOffset val="100"/>
        <c:noMultiLvlLbl val="0"/>
      </c:catAx>
      <c:valAx>
        <c:axId val="2065197279"/>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3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Dashboard.xlsx]Pivots!PivotTable2</c:name>
    <c:fmtId val="1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solidFill>
                  <a:srgbClr val="002060"/>
                </a:solidFill>
              </a:rPr>
              <a:t>Sales's Performance Trend</a:t>
            </a:r>
          </a:p>
          <a:p>
            <a:pPr>
              <a:defRPr/>
            </a:pPr>
            <a:endParaRPr lang="en-IN"/>
          </a:p>
        </c:rich>
      </c:tx>
      <c:layout>
        <c:manualLayout>
          <c:xMode val="edge"/>
          <c:yMode val="edge"/>
          <c:x val="0.33493635281649203"/>
          <c:y val="3.219484071340000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6456411950552"/>
          <c:y val="0.13333461688920314"/>
          <c:w val="0.74931729121303325"/>
          <c:h val="0.69490110347881562"/>
        </c:manualLayout>
      </c:layout>
      <c:lineChart>
        <c:grouping val="standard"/>
        <c:varyColors val="0"/>
        <c:ser>
          <c:idx val="0"/>
          <c:order val="0"/>
          <c:tx>
            <c:strRef>
              <c:f>Pivots!$C$5:$C$6</c:f>
              <c:strCache>
                <c:ptCount val="1"/>
                <c:pt idx="0">
                  <c:v>2024</c:v>
                </c:pt>
              </c:strCache>
            </c:strRef>
          </c:tx>
          <c:spPr>
            <a:ln w="38100" cap="rnd">
              <a:solidFill>
                <a:schemeClr val="accent1"/>
              </a:solidFill>
              <a:round/>
            </a:ln>
            <a:effectLst/>
          </c:spPr>
          <c:marker>
            <c:symbol val="circle"/>
            <c:size val="8"/>
            <c:spPr>
              <a:solidFill>
                <a:schemeClr val="accent1"/>
              </a:solidFill>
              <a:ln>
                <a:noFill/>
              </a:ln>
              <a:effectLst/>
            </c:spPr>
          </c:marke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CD6E-430F-A959-A4B30D499195}"/>
            </c:ext>
          </c:extLst>
        </c:ser>
        <c:ser>
          <c:idx val="1"/>
          <c:order val="1"/>
          <c:tx>
            <c:strRef>
              <c:f>Pivots!$D$5:$D$6</c:f>
              <c:strCache>
                <c:ptCount val="1"/>
                <c:pt idx="0">
                  <c:v>2025</c:v>
                </c:pt>
              </c:strCache>
            </c:strRef>
          </c:tx>
          <c:spPr>
            <a:ln w="38100" cap="rnd">
              <a:solidFill>
                <a:schemeClr val="accent2"/>
              </a:solidFill>
              <a:round/>
            </a:ln>
            <a:effectLst/>
          </c:spPr>
          <c:marker>
            <c:symbol val="circle"/>
            <c:size val="8"/>
            <c:spPr>
              <a:solidFill>
                <a:schemeClr val="accent2"/>
              </a:solidFill>
              <a:ln>
                <a:noFill/>
              </a:ln>
              <a:effectLst/>
            </c:spPr>
          </c:marke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Pivots!$D$7:$D$19</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3-CD6E-430F-A959-A4B30D499195}"/>
            </c:ext>
          </c:extLst>
        </c:ser>
        <c:dLbls>
          <c:showLegendKey val="0"/>
          <c:showVal val="0"/>
          <c:showCatName val="0"/>
          <c:showSerName val="0"/>
          <c:showPercent val="0"/>
          <c:showBubbleSize val="0"/>
        </c:dLbls>
        <c:marker val="1"/>
        <c:smooth val="0"/>
        <c:axId val="619897551"/>
        <c:axId val="503634815"/>
      </c:lineChart>
      <c:catAx>
        <c:axId val="619897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503634815"/>
        <c:crosses val="autoZero"/>
        <c:auto val="1"/>
        <c:lblAlgn val="ctr"/>
        <c:lblOffset val="100"/>
        <c:noMultiLvlLbl val="0"/>
      </c:catAx>
      <c:valAx>
        <c:axId val="50363481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sales</a:t>
                </a:r>
              </a:p>
            </c:rich>
          </c:tx>
          <c:layout>
            <c:manualLayout>
              <c:xMode val="edge"/>
              <c:yMode val="edge"/>
              <c:x val="1.8547122328835561E-3"/>
              <c:y val="0.392940985132916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989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Dashboard.xlsx]Pivots!PivotTable5</c:name>
    <c:fmtId val="2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02060"/>
                </a:solidFill>
              </a:rPr>
              <a:t>Profit</a:t>
            </a:r>
            <a:r>
              <a:rPr lang="en-US" baseline="0">
                <a:solidFill>
                  <a:srgbClr val="002060"/>
                </a:solidFill>
              </a:rPr>
              <a:t> By Category</a:t>
            </a:r>
            <a:endParaRPr lang="en-US">
              <a:solidFill>
                <a:srgbClr val="002060"/>
              </a:solidFill>
            </a:endParaRPr>
          </a:p>
        </c:rich>
      </c:tx>
      <c:layout>
        <c:manualLayout>
          <c:xMode val="edge"/>
          <c:yMode val="edge"/>
          <c:x val="2.4955621239273498E-2"/>
          <c:y val="3.1111111111111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Pivots!$G$2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FA-479C-B0AF-D02133A04CC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FA-479C-B0AF-D02133A04CC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4FA-479C-B0AF-D02133A04CC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4FA-479C-B0AF-D02133A04CC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4FA-479C-B0AF-D02133A04C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Pivots!$F$3:$F$8</c:f>
              <c:strCache>
                <c:ptCount val="5"/>
                <c:pt idx="0">
                  <c:v>Electronics</c:v>
                </c:pt>
                <c:pt idx="1">
                  <c:v>Fashion</c:v>
                </c:pt>
                <c:pt idx="2">
                  <c:v>Furniture</c:v>
                </c:pt>
                <c:pt idx="3">
                  <c:v>Home Appliances</c:v>
                </c:pt>
                <c:pt idx="4">
                  <c:v>Sports &amp; Fitness</c:v>
                </c:pt>
              </c:strCache>
            </c:strRef>
          </c:cat>
          <c:val>
            <c:numRef>
              <c:f>Pivots!$G$3:$G$8</c:f>
              <c:numCache>
                <c:formatCode>"₹"\ #,##0.00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A-E4FA-479C-B0AF-D02133A04CC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426118</xdr:colOff>
      <xdr:row>1</xdr:row>
      <xdr:rowOff>317500</xdr:rowOff>
    </xdr:from>
    <xdr:to>
      <xdr:col>6</xdr:col>
      <xdr:colOff>506381</xdr:colOff>
      <xdr:row>1</xdr:row>
      <xdr:rowOff>317500</xdr:rowOff>
    </xdr:to>
    <xdr:cxnSp macro="">
      <xdr:nvCxnSpPr>
        <xdr:cNvPr id="3" name="Straight Connector 2">
          <a:extLst>
            <a:ext uri="{FF2B5EF4-FFF2-40B4-BE49-F238E27FC236}">
              <a16:creationId xmlns:a16="http://schemas.microsoft.com/office/drawing/2014/main" id="{3D6AD25A-9D75-C37A-43FB-4B0C8386E3A1}"/>
            </a:ext>
          </a:extLst>
        </xdr:cNvPr>
        <xdr:cNvCxnSpPr/>
      </xdr:nvCxnSpPr>
      <xdr:spPr>
        <a:xfrm>
          <a:off x="1645986" y="509671"/>
          <a:ext cx="252000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584868</xdr:colOff>
      <xdr:row>1</xdr:row>
      <xdr:rowOff>300790</xdr:rowOff>
    </xdr:from>
    <xdr:to>
      <xdr:col>15</xdr:col>
      <xdr:colOff>142039</xdr:colOff>
      <xdr:row>1</xdr:row>
      <xdr:rowOff>309145</xdr:rowOff>
    </xdr:to>
    <xdr:cxnSp macro="">
      <xdr:nvCxnSpPr>
        <xdr:cNvPr id="9" name="Straight Connector 8">
          <a:extLst>
            <a:ext uri="{FF2B5EF4-FFF2-40B4-BE49-F238E27FC236}">
              <a16:creationId xmlns:a16="http://schemas.microsoft.com/office/drawing/2014/main" id="{89A2DB12-9B32-E2ED-3BD0-E8164084E119}"/>
            </a:ext>
          </a:extLst>
        </xdr:cNvPr>
        <xdr:cNvCxnSpPr/>
      </xdr:nvCxnSpPr>
      <xdr:spPr>
        <a:xfrm>
          <a:off x="6684210" y="492961"/>
          <a:ext cx="2606842" cy="835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158750</xdr:colOff>
      <xdr:row>1</xdr:row>
      <xdr:rowOff>325855</xdr:rowOff>
    </xdr:from>
    <xdr:to>
      <xdr:col>9</xdr:col>
      <xdr:colOff>401052</xdr:colOff>
      <xdr:row>2</xdr:row>
      <xdr:rowOff>150395</xdr:rowOff>
    </xdr:to>
    <xdr:sp macro="" textlink="">
      <xdr:nvSpPr>
        <xdr:cNvPr id="12" name="Rectangle 11">
          <a:extLst>
            <a:ext uri="{FF2B5EF4-FFF2-40B4-BE49-F238E27FC236}">
              <a16:creationId xmlns:a16="http://schemas.microsoft.com/office/drawing/2014/main" id="{B794C3C4-CCFB-F628-D572-07D0C0C05A62}"/>
            </a:ext>
          </a:extLst>
        </xdr:cNvPr>
        <xdr:cNvSpPr/>
      </xdr:nvSpPr>
      <xdr:spPr>
        <a:xfrm>
          <a:off x="5038224" y="518026"/>
          <a:ext cx="852236" cy="183816"/>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FF00"/>
              </a:solidFill>
            </a:rPr>
            <a:t>2024-2025 </a:t>
          </a:r>
          <a:endParaRPr lang="en-IN" sz="1100">
            <a:solidFill>
              <a:srgbClr val="002060"/>
            </a:solidFill>
          </a:endParaRPr>
        </a:p>
      </xdr:txBody>
    </xdr:sp>
    <xdr:clientData/>
  </xdr:twoCellAnchor>
  <xdr:twoCellAnchor>
    <xdr:from>
      <xdr:col>1</xdr:col>
      <xdr:colOff>133684</xdr:colOff>
      <xdr:row>4</xdr:row>
      <xdr:rowOff>41777</xdr:rowOff>
    </xdr:from>
    <xdr:to>
      <xdr:col>6</xdr:col>
      <xdr:colOff>8356</xdr:colOff>
      <xdr:row>7</xdr:row>
      <xdr:rowOff>175460</xdr:rowOff>
    </xdr:to>
    <xdr:sp macro="" textlink="">
      <xdr:nvSpPr>
        <xdr:cNvPr id="14" name="Rectangle: Rounded Corners 13">
          <a:extLst>
            <a:ext uri="{FF2B5EF4-FFF2-40B4-BE49-F238E27FC236}">
              <a16:creationId xmlns:a16="http://schemas.microsoft.com/office/drawing/2014/main" id="{042BE9F1-156C-B590-216A-ADC4F12A57FC}"/>
            </a:ext>
          </a:extLst>
        </xdr:cNvPr>
        <xdr:cNvSpPr/>
      </xdr:nvSpPr>
      <xdr:spPr>
        <a:xfrm>
          <a:off x="743618" y="977566"/>
          <a:ext cx="2924343" cy="710197"/>
        </a:xfrm>
        <a:prstGeom prst="roundRect">
          <a:avLst/>
        </a:prstGeom>
        <a:solidFill>
          <a:sysClr val="window" lastClr="FFFFFF"/>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217237</xdr:colOff>
      <xdr:row>5</xdr:row>
      <xdr:rowOff>25065</xdr:rowOff>
    </xdr:from>
    <xdr:to>
      <xdr:col>1</xdr:col>
      <xdr:colOff>518027</xdr:colOff>
      <xdr:row>6</xdr:row>
      <xdr:rowOff>133684</xdr:rowOff>
    </xdr:to>
    <xdr:sp macro="" textlink="">
      <xdr:nvSpPr>
        <xdr:cNvPr id="15" name="Oval 14">
          <a:extLst>
            <a:ext uri="{FF2B5EF4-FFF2-40B4-BE49-F238E27FC236}">
              <a16:creationId xmlns:a16="http://schemas.microsoft.com/office/drawing/2014/main" id="{4C42ECA0-70F1-2DB4-361C-A6B74979D543}"/>
            </a:ext>
          </a:extLst>
        </xdr:cNvPr>
        <xdr:cNvSpPr/>
      </xdr:nvSpPr>
      <xdr:spPr>
        <a:xfrm>
          <a:off x="827171" y="1153026"/>
          <a:ext cx="300790" cy="300790"/>
        </a:xfrm>
        <a:prstGeom prst="ellipse">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233948</xdr:colOff>
      <xdr:row>5</xdr:row>
      <xdr:rowOff>41776</xdr:rowOff>
    </xdr:from>
    <xdr:to>
      <xdr:col>1</xdr:col>
      <xdr:colOff>509672</xdr:colOff>
      <xdr:row>6</xdr:row>
      <xdr:rowOff>158751</xdr:rowOff>
    </xdr:to>
    <xdr:pic>
      <xdr:nvPicPr>
        <xdr:cNvPr id="17" name="Graphic 16" descr="Rupee">
          <a:extLst>
            <a:ext uri="{FF2B5EF4-FFF2-40B4-BE49-F238E27FC236}">
              <a16:creationId xmlns:a16="http://schemas.microsoft.com/office/drawing/2014/main" id="{409DDDA9-46F4-E7AD-A1A5-2120B54D78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3882" y="1169737"/>
          <a:ext cx="275724" cy="309146"/>
        </a:xfrm>
        <a:prstGeom prst="rect">
          <a:avLst/>
        </a:prstGeom>
      </xdr:spPr>
    </xdr:pic>
    <xdr:clientData/>
  </xdr:twoCellAnchor>
  <xdr:twoCellAnchor>
    <xdr:from>
      <xdr:col>2</xdr:col>
      <xdr:colOff>192171</xdr:colOff>
      <xdr:row>4</xdr:row>
      <xdr:rowOff>91908</xdr:rowOff>
    </xdr:from>
    <xdr:to>
      <xdr:col>5</xdr:col>
      <xdr:colOff>342566</xdr:colOff>
      <xdr:row>7</xdr:row>
      <xdr:rowOff>50131</xdr:rowOff>
    </xdr:to>
    <xdr:sp macro="" textlink="">
      <xdr:nvSpPr>
        <xdr:cNvPr id="18" name="TextBox 17">
          <a:extLst>
            <a:ext uri="{FF2B5EF4-FFF2-40B4-BE49-F238E27FC236}">
              <a16:creationId xmlns:a16="http://schemas.microsoft.com/office/drawing/2014/main" id="{28258D5F-9B0D-02B6-7952-018218CCF7FF}"/>
            </a:ext>
          </a:extLst>
        </xdr:cNvPr>
        <xdr:cNvSpPr txBox="1"/>
      </xdr:nvSpPr>
      <xdr:spPr>
        <a:xfrm>
          <a:off x="1412039" y="1027697"/>
          <a:ext cx="1980198" cy="5347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tx1"/>
              </a:solidFill>
            </a:rPr>
            <a:t>TOTAL SALES</a:t>
          </a:r>
        </a:p>
        <a:p>
          <a:r>
            <a:rPr lang="en-IN" sz="1400" b="1">
              <a:solidFill>
                <a:srgbClr val="002060"/>
              </a:solidFill>
            </a:rPr>
            <a:t>₹13,60,80,968.80</a:t>
          </a:r>
        </a:p>
      </xdr:txBody>
    </xdr:sp>
    <xdr:clientData/>
  </xdr:twoCellAnchor>
  <xdr:twoCellAnchor>
    <xdr:from>
      <xdr:col>6</xdr:col>
      <xdr:colOff>609934</xdr:colOff>
      <xdr:row>3</xdr:row>
      <xdr:rowOff>192171</xdr:rowOff>
    </xdr:from>
    <xdr:to>
      <xdr:col>11</xdr:col>
      <xdr:colOff>484606</xdr:colOff>
      <xdr:row>7</xdr:row>
      <xdr:rowOff>133683</xdr:rowOff>
    </xdr:to>
    <xdr:sp macro="" textlink="">
      <xdr:nvSpPr>
        <xdr:cNvPr id="19" name="Rectangle: Rounded Corners 18">
          <a:extLst>
            <a:ext uri="{FF2B5EF4-FFF2-40B4-BE49-F238E27FC236}">
              <a16:creationId xmlns:a16="http://schemas.microsoft.com/office/drawing/2014/main" id="{2BF1CAFA-4249-45AA-AB3E-A96D4183C33E}"/>
            </a:ext>
          </a:extLst>
        </xdr:cNvPr>
        <xdr:cNvSpPr/>
      </xdr:nvSpPr>
      <xdr:spPr>
        <a:xfrm>
          <a:off x="4269539" y="935789"/>
          <a:ext cx="2924343" cy="710197"/>
        </a:xfrm>
        <a:prstGeom prst="roundRect">
          <a:avLst/>
        </a:prstGeom>
        <a:solidFill>
          <a:sysClr val="window" lastClr="FFFFFF"/>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75199</xdr:colOff>
      <xdr:row>5</xdr:row>
      <xdr:rowOff>0</xdr:rowOff>
    </xdr:from>
    <xdr:to>
      <xdr:col>7</xdr:col>
      <xdr:colOff>451185</xdr:colOff>
      <xdr:row>6</xdr:row>
      <xdr:rowOff>183815</xdr:rowOff>
    </xdr:to>
    <xdr:sp macro="" textlink="">
      <xdr:nvSpPr>
        <xdr:cNvPr id="22" name="Oval 21">
          <a:extLst>
            <a:ext uri="{FF2B5EF4-FFF2-40B4-BE49-F238E27FC236}">
              <a16:creationId xmlns:a16="http://schemas.microsoft.com/office/drawing/2014/main" id="{77EAD84B-372A-3716-0DB7-88DA4D9B09BB}"/>
            </a:ext>
          </a:extLst>
        </xdr:cNvPr>
        <xdr:cNvSpPr/>
      </xdr:nvSpPr>
      <xdr:spPr>
        <a:xfrm>
          <a:off x="4344738" y="1127961"/>
          <a:ext cx="375986" cy="375986"/>
        </a:xfrm>
        <a:prstGeom prst="ellips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100264</xdr:colOff>
      <xdr:row>5</xdr:row>
      <xdr:rowOff>83552</xdr:rowOff>
    </xdr:from>
    <xdr:to>
      <xdr:col>7</xdr:col>
      <xdr:colOff>426119</xdr:colOff>
      <xdr:row>6</xdr:row>
      <xdr:rowOff>83552</xdr:rowOff>
    </xdr:to>
    <xdr:pic>
      <xdr:nvPicPr>
        <xdr:cNvPr id="24" name="Graphic 23" descr="Shopping cart">
          <a:extLst>
            <a:ext uri="{FF2B5EF4-FFF2-40B4-BE49-F238E27FC236}">
              <a16:creationId xmlns:a16="http://schemas.microsoft.com/office/drawing/2014/main" id="{19A2E724-96BB-B6F1-38EA-A14450DD73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69803" y="1211513"/>
          <a:ext cx="325855" cy="192171"/>
        </a:xfrm>
        <a:prstGeom prst="rect">
          <a:avLst/>
        </a:prstGeom>
      </xdr:spPr>
    </xdr:pic>
    <xdr:clientData/>
  </xdr:twoCellAnchor>
  <xdr:twoCellAnchor>
    <xdr:from>
      <xdr:col>8</xdr:col>
      <xdr:colOff>0</xdr:colOff>
      <xdr:row>4</xdr:row>
      <xdr:rowOff>167106</xdr:rowOff>
    </xdr:from>
    <xdr:to>
      <xdr:col>11</xdr:col>
      <xdr:colOff>142040</xdr:colOff>
      <xdr:row>7</xdr:row>
      <xdr:rowOff>0</xdr:rowOff>
    </xdr:to>
    <xdr:sp macro="" textlink="">
      <xdr:nvSpPr>
        <xdr:cNvPr id="25" name="TextBox 24">
          <a:extLst>
            <a:ext uri="{FF2B5EF4-FFF2-40B4-BE49-F238E27FC236}">
              <a16:creationId xmlns:a16="http://schemas.microsoft.com/office/drawing/2014/main" id="{73B9F8CC-862D-4E59-ABAE-B5B443814A36}"/>
            </a:ext>
          </a:extLst>
        </xdr:cNvPr>
        <xdr:cNvSpPr txBox="1"/>
      </xdr:nvSpPr>
      <xdr:spPr>
        <a:xfrm>
          <a:off x="4879474" y="1102895"/>
          <a:ext cx="1971842" cy="40940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TOTAL ORDERS</a:t>
          </a:r>
        </a:p>
        <a:p>
          <a:r>
            <a:rPr lang="en-IN" sz="1050" b="1"/>
            <a:t>1514</a:t>
          </a:r>
        </a:p>
        <a:p>
          <a:r>
            <a:rPr lang="en-IN" sz="1050" b="1" baseline="0"/>
            <a:t>   </a:t>
          </a:r>
          <a:endParaRPr lang="en-IN" sz="1050" b="1"/>
        </a:p>
      </xdr:txBody>
    </xdr:sp>
    <xdr:clientData/>
  </xdr:twoCellAnchor>
  <xdr:twoCellAnchor>
    <xdr:from>
      <xdr:col>8</xdr:col>
      <xdr:colOff>16711</xdr:colOff>
      <xdr:row>5</xdr:row>
      <xdr:rowOff>167105</xdr:rowOff>
    </xdr:from>
    <xdr:to>
      <xdr:col>9</xdr:col>
      <xdr:colOff>576513</xdr:colOff>
      <xdr:row>7</xdr:row>
      <xdr:rowOff>116973</xdr:rowOff>
    </xdr:to>
    <xdr:sp macro="" textlink="">
      <xdr:nvSpPr>
        <xdr:cNvPr id="26" name="TextBox 25">
          <a:extLst>
            <a:ext uri="{FF2B5EF4-FFF2-40B4-BE49-F238E27FC236}">
              <a16:creationId xmlns:a16="http://schemas.microsoft.com/office/drawing/2014/main" id="{A8C82008-C0AA-BC69-1A2B-9CB96F41CF57}"/>
            </a:ext>
          </a:extLst>
        </xdr:cNvPr>
        <xdr:cNvSpPr txBox="1"/>
      </xdr:nvSpPr>
      <xdr:spPr>
        <a:xfrm>
          <a:off x="4896185" y="1295066"/>
          <a:ext cx="1169736" cy="3342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3"/>
              </a:solidFill>
            </a:rPr>
            <a:t>1514</a:t>
          </a:r>
        </a:p>
      </xdr:txBody>
    </xdr:sp>
    <xdr:clientData/>
  </xdr:twoCellAnchor>
  <xdr:twoCellAnchor>
    <xdr:from>
      <xdr:col>12</xdr:col>
      <xdr:colOff>534737</xdr:colOff>
      <xdr:row>3</xdr:row>
      <xdr:rowOff>183815</xdr:rowOff>
    </xdr:from>
    <xdr:to>
      <xdr:col>17</xdr:col>
      <xdr:colOff>409409</xdr:colOff>
      <xdr:row>7</xdr:row>
      <xdr:rowOff>125327</xdr:rowOff>
    </xdr:to>
    <xdr:sp macro="" textlink="">
      <xdr:nvSpPr>
        <xdr:cNvPr id="27" name="Rectangle: Rounded Corners 26">
          <a:extLst>
            <a:ext uri="{FF2B5EF4-FFF2-40B4-BE49-F238E27FC236}">
              <a16:creationId xmlns:a16="http://schemas.microsoft.com/office/drawing/2014/main" id="{AF651D4F-40B8-4BFB-A26A-0903DCA1BB1D}"/>
            </a:ext>
          </a:extLst>
        </xdr:cNvPr>
        <xdr:cNvSpPr/>
      </xdr:nvSpPr>
      <xdr:spPr>
        <a:xfrm>
          <a:off x="7853948" y="927433"/>
          <a:ext cx="2924343" cy="710197"/>
        </a:xfrm>
        <a:prstGeom prst="roundRect">
          <a:avLst/>
        </a:prstGeom>
        <a:solidFill>
          <a:sysClr val="window" lastClr="FFFFFF"/>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108618</xdr:colOff>
      <xdr:row>4</xdr:row>
      <xdr:rowOff>142040</xdr:rowOff>
    </xdr:from>
    <xdr:to>
      <xdr:col>13</xdr:col>
      <xdr:colOff>509671</xdr:colOff>
      <xdr:row>6</xdr:row>
      <xdr:rowOff>150394</xdr:rowOff>
    </xdr:to>
    <xdr:sp macro="" textlink="">
      <xdr:nvSpPr>
        <xdr:cNvPr id="28" name="Oval 27">
          <a:extLst>
            <a:ext uri="{FF2B5EF4-FFF2-40B4-BE49-F238E27FC236}">
              <a16:creationId xmlns:a16="http://schemas.microsoft.com/office/drawing/2014/main" id="{D3FAD08F-7918-F8C3-86E2-1D04AD963F7C}"/>
            </a:ext>
          </a:extLst>
        </xdr:cNvPr>
        <xdr:cNvSpPr/>
      </xdr:nvSpPr>
      <xdr:spPr>
        <a:xfrm>
          <a:off x="8037763" y="1077829"/>
          <a:ext cx="401053" cy="392697"/>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116973</xdr:colOff>
      <xdr:row>5</xdr:row>
      <xdr:rowOff>8355</xdr:rowOff>
    </xdr:from>
    <xdr:to>
      <xdr:col>13</xdr:col>
      <xdr:colOff>484605</xdr:colOff>
      <xdr:row>6</xdr:row>
      <xdr:rowOff>108618</xdr:rowOff>
    </xdr:to>
    <xdr:pic>
      <xdr:nvPicPr>
        <xdr:cNvPr id="30" name="Graphic 29" descr="Bar graph with upward trend">
          <a:extLst>
            <a:ext uri="{FF2B5EF4-FFF2-40B4-BE49-F238E27FC236}">
              <a16:creationId xmlns:a16="http://schemas.microsoft.com/office/drawing/2014/main" id="{EAD18B41-20B7-446D-31E5-A6FC7D6F16D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46118" y="1136316"/>
          <a:ext cx="367632" cy="292434"/>
        </a:xfrm>
        <a:prstGeom prst="rect">
          <a:avLst/>
        </a:prstGeom>
      </xdr:spPr>
    </xdr:pic>
    <xdr:clientData/>
  </xdr:twoCellAnchor>
  <xdr:twoCellAnchor>
    <xdr:from>
      <xdr:col>14</xdr:col>
      <xdr:colOff>75197</xdr:colOff>
      <xdr:row>4</xdr:row>
      <xdr:rowOff>91908</xdr:rowOff>
    </xdr:from>
    <xdr:to>
      <xdr:col>16</xdr:col>
      <xdr:colOff>559803</xdr:colOff>
      <xdr:row>6</xdr:row>
      <xdr:rowOff>25065</xdr:rowOff>
    </xdr:to>
    <xdr:sp macro="" textlink="">
      <xdr:nvSpPr>
        <xdr:cNvPr id="31" name="TextBox 30">
          <a:extLst>
            <a:ext uri="{FF2B5EF4-FFF2-40B4-BE49-F238E27FC236}">
              <a16:creationId xmlns:a16="http://schemas.microsoft.com/office/drawing/2014/main" id="{E0240990-8764-F76D-2810-4075027E81F5}"/>
            </a:ext>
          </a:extLst>
        </xdr:cNvPr>
        <xdr:cNvSpPr txBox="1"/>
      </xdr:nvSpPr>
      <xdr:spPr>
        <a:xfrm>
          <a:off x="8614276" y="1027697"/>
          <a:ext cx="1704474" cy="3175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PROFIT/LOSS</a:t>
          </a:r>
        </a:p>
      </xdr:txBody>
    </xdr:sp>
    <xdr:clientData/>
  </xdr:twoCellAnchor>
  <xdr:twoCellAnchor>
    <xdr:from>
      <xdr:col>14</xdr:col>
      <xdr:colOff>75197</xdr:colOff>
      <xdr:row>5</xdr:row>
      <xdr:rowOff>116973</xdr:rowOff>
    </xdr:from>
    <xdr:to>
      <xdr:col>16</xdr:col>
      <xdr:colOff>484606</xdr:colOff>
      <xdr:row>7</xdr:row>
      <xdr:rowOff>8355</xdr:rowOff>
    </xdr:to>
    <xdr:sp macro="" textlink="">
      <xdr:nvSpPr>
        <xdr:cNvPr id="32" name="TextBox 31">
          <a:extLst>
            <a:ext uri="{FF2B5EF4-FFF2-40B4-BE49-F238E27FC236}">
              <a16:creationId xmlns:a16="http://schemas.microsoft.com/office/drawing/2014/main" id="{ABC08312-5B3F-68FF-8BF8-8A6C2DF3BA2E}"/>
            </a:ext>
          </a:extLst>
        </xdr:cNvPr>
        <xdr:cNvSpPr txBox="1"/>
      </xdr:nvSpPr>
      <xdr:spPr>
        <a:xfrm>
          <a:off x="8614276" y="1244934"/>
          <a:ext cx="1629277" cy="27572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rPr>
            <a:t>₹ 3,30,30,648.80</a:t>
          </a:r>
        </a:p>
      </xdr:txBody>
    </xdr:sp>
    <xdr:clientData/>
  </xdr:twoCellAnchor>
  <xdr:twoCellAnchor>
    <xdr:from>
      <xdr:col>2</xdr:col>
      <xdr:colOff>401053</xdr:colOff>
      <xdr:row>9</xdr:row>
      <xdr:rowOff>66841</xdr:rowOff>
    </xdr:from>
    <xdr:to>
      <xdr:col>12</xdr:col>
      <xdr:colOff>526381</xdr:colOff>
      <xdr:row>20</xdr:row>
      <xdr:rowOff>192170</xdr:rowOff>
    </xdr:to>
    <xdr:graphicFrame macro="">
      <xdr:nvGraphicFramePr>
        <xdr:cNvPr id="33" name="Chart 32">
          <a:extLst>
            <a:ext uri="{FF2B5EF4-FFF2-40B4-BE49-F238E27FC236}">
              <a16:creationId xmlns:a16="http://schemas.microsoft.com/office/drawing/2014/main" id="{BB0FCC52-3863-47E2-8B1E-D59D36897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100264</xdr:colOff>
      <xdr:row>9</xdr:row>
      <xdr:rowOff>25065</xdr:rowOff>
    </xdr:from>
    <xdr:to>
      <xdr:col>2</xdr:col>
      <xdr:colOff>284079</xdr:colOff>
      <xdr:row>17</xdr:row>
      <xdr:rowOff>58486</xdr:rowOff>
    </xdr:to>
    <mc:AlternateContent xmlns:mc="http://schemas.openxmlformats.org/markup-compatibility/2006" xmlns:a14="http://schemas.microsoft.com/office/drawing/2010/main">
      <mc:Choice Requires="a14">
        <xdr:graphicFrame macro="">
          <xdr:nvGraphicFramePr>
            <xdr:cNvPr id="34" name="Customer Segment 2">
              <a:extLst>
                <a:ext uri="{FF2B5EF4-FFF2-40B4-BE49-F238E27FC236}">
                  <a16:creationId xmlns:a16="http://schemas.microsoft.com/office/drawing/2014/main" id="{F2ED26E4-FBFA-4E68-983B-B91E51DCC3F7}"/>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00264" y="1938494"/>
              <a:ext cx="1397620" cy="1584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104720</xdr:colOff>
      <xdr:row>9</xdr:row>
      <xdr:rowOff>76311</xdr:rowOff>
    </xdr:from>
    <xdr:to>
      <xdr:col>24</xdr:col>
      <xdr:colOff>74083</xdr:colOff>
      <xdr:row>20</xdr:row>
      <xdr:rowOff>158750</xdr:rowOff>
    </xdr:to>
    <xdr:graphicFrame macro="">
      <xdr:nvGraphicFramePr>
        <xdr:cNvPr id="35" name="Chart 34">
          <a:extLst>
            <a:ext uri="{FF2B5EF4-FFF2-40B4-BE49-F238E27FC236}">
              <a16:creationId xmlns:a16="http://schemas.microsoft.com/office/drawing/2014/main" id="{110CBD71-8EF8-4A75-97EC-7417AEA9B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403775</xdr:colOff>
      <xdr:row>22</xdr:row>
      <xdr:rowOff>51766</xdr:rowOff>
    </xdr:from>
    <xdr:to>
      <xdr:col>12</xdr:col>
      <xdr:colOff>538368</xdr:colOff>
      <xdr:row>37</xdr:row>
      <xdr:rowOff>72473</xdr:rowOff>
    </xdr:to>
    <xdr:graphicFrame macro="">
      <xdr:nvGraphicFramePr>
        <xdr:cNvPr id="36" name="Chart 35">
          <a:extLst>
            <a:ext uri="{FF2B5EF4-FFF2-40B4-BE49-F238E27FC236}">
              <a16:creationId xmlns:a16="http://schemas.microsoft.com/office/drawing/2014/main" id="{12AADE65-8150-4103-8CEB-8EEC0507A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88376</xdr:colOff>
      <xdr:row>19</xdr:row>
      <xdr:rowOff>127655</xdr:rowOff>
    </xdr:from>
    <xdr:to>
      <xdr:col>2</xdr:col>
      <xdr:colOff>245490</xdr:colOff>
      <xdr:row>25</xdr:row>
      <xdr:rowOff>151222</xdr:rowOff>
    </xdr:to>
    <mc:AlternateContent xmlns:mc="http://schemas.openxmlformats.org/markup-compatibility/2006" xmlns:a14="http://schemas.microsoft.com/office/drawing/2010/main">
      <mc:Choice Requires="a14">
        <xdr:graphicFrame macro="">
          <xdr:nvGraphicFramePr>
            <xdr:cNvPr id="37" name="Years 2">
              <a:extLst>
                <a:ext uri="{FF2B5EF4-FFF2-40B4-BE49-F238E27FC236}">
                  <a16:creationId xmlns:a16="http://schemas.microsoft.com/office/drawing/2014/main" id="{1EC18CEC-4AF0-4352-B977-9B650AAB94F4}"/>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88376" y="3979801"/>
              <a:ext cx="1370919" cy="1186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98195</xdr:colOff>
      <xdr:row>27</xdr:row>
      <xdr:rowOff>108015</xdr:rowOff>
    </xdr:from>
    <xdr:to>
      <xdr:col>2</xdr:col>
      <xdr:colOff>235669</xdr:colOff>
      <xdr:row>34</xdr:row>
      <xdr:rowOff>95264</xdr:rowOff>
    </xdr:to>
    <mc:AlternateContent xmlns:mc="http://schemas.openxmlformats.org/markup-compatibility/2006" xmlns:a14="http://schemas.microsoft.com/office/drawing/2010/main">
      <mc:Choice Requires="a14">
        <xdr:graphicFrame macro="">
          <xdr:nvGraphicFramePr>
            <xdr:cNvPr id="38" name="Channel 2">
              <a:extLst>
                <a:ext uri="{FF2B5EF4-FFF2-40B4-BE49-F238E27FC236}">
                  <a16:creationId xmlns:a16="http://schemas.microsoft.com/office/drawing/2014/main" id="{0BC85EB4-CD9B-41C3-AB5C-4BC42DEFE2B2}"/>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98195" y="5511134"/>
              <a:ext cx="1351279" cy="1344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147294</xdr:colOff>
      <xdr:row>22</xdr:row>
      <xdr:rowOff>49098</xdr:rowOff>
    </xdr:from>
    <xdr:to>
      <xdr:col>24</xdr:col>
      <xdr:colOff>68738</xdr:colOff>
      <xdr:row>37</xdr:row>
      <xdr:rowOff>49098</xdr:rowOff>
    </xdr:to>
    <xdr:graphicFrame macro="">
      <xdr:nvGraphicFramePr>
        <xdr:cNvPr id="39" name="Chart 38">
          <a:extLst>
            <a:ext uri="{FF2B5EF4-FFF2-40B4-BE49-F238E27FC236}">
              <a16:creationId xmlns:a16="http://schemas.microsoft.com/office/drawing/2014/main" id="{AE667BCB-524C-4371-A8F4-78F1E2B39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efreshedDate="46257.83048113426" createdVersion="8" refreshedVersion="8" minRefreshableVersion="3" recordCount="1514" xr:uid="{EEA48AD9-30F4-4DE9-BB7E-B5E83A8B4455}">
  <cacheSource type="worksheet">
    <worksheetSource name="Table1_1"/>
  </cacheSource>
  <cacheFields count="25">
    <cacheField name="Order ID" numFmtId="0">
      <sharedItems count="1514">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 v="ORD-11002"/>
        <s v="ORD-11003"/>
        <s v="ORD-11004"/>
        <s v="ORD-11005"/>
        <s v="ORD-11006"/>
        <s v="ORD-11007"/>
        <s v="ORD-11008"/>
        <s v="ORD-11009"/>
        <s v="ORD-11010"/>
        <s v="ORD-11011"/>
        <s v="ORD-11012"/>
        <s v="ORD-11013"/>
        <s v="ORD-11014"/>
        <s v="ORD-11015"/>
        <s v="ORD-11016"/>
        <s v="ORD-11017"/>
        <s v="ORD-11018"/>
        <s v="ORD-11019"/>
        <s v="ORD-11020"/>
        <s v="ORD-11021"/>
        <s v="ORD-11022"/>
        <s v="ORD-11023"/>
        <s v="ORD-11024"/>
        <s v="ORD-11025"/>
        <s v="ORD-11026"/>
        <s v="ORD-11027"/>
        <s v="ORD-11028"/>
        <s v="ORD-11029"/>
        <s v="ORD-11030"/>
        <s v="ORD-11031"/>
        <s v="ORD-11032"/>
        <s v="ORD-11033"/>
        <s v="ORD-11034"/>
        <s v="ORD-11035"/>
        <s v="ORD-11036"/>
        <s v="ORD-11037"/>
        <s v="ORD-11038"/>
        <s v="ORD-11039"/>
        <s v="ORD-11040"/>
        <s v="ORD-11041"/>
        <s v="ORD-11042"/>
        <s v="ORD-11043"/>
        <s v="ORD-11044"/>
        <s v="ORD-11045"/>
        <s v="ORD-11046"/>
        <s v="ORD-11047"/>
        <s v="ORD-11048"/>
        <s v="ORD-11049"/>
        <s v="ORD-11050"/>
        <s v="ORD-11051"/>
        <s v="ORD-11052"/>
        <s v="ORD-11053"/>
        <s v="ORD-11054"/>
        <s v="ORD-11055"/>
        <s v="ORD-11056"/>
        <s v="ORD-11057"/>
        <s v="ORD-11058"/>
        <s v="ORD-11059"/>
        <s v="ORD-11060"/>
        <s v="ORD-11061"/>
        <s v="ORD-11062"/>
        <s v="ORD-11063"/>
        <s v="ORD-11064"/>
        <s v="ORD-11065"/>
        <s v="ORD-11066"/>
        <s v="ORD-11067"/>
        <s v="ORD-11068"/>
        <s v="ORD-11069"/>
        <s v="ORD-11070"/>
        <s v="ORD-11071"/>
        <s v="ORD-11072"/>
        <s v="ORD-11073"/>
        <s v="ORD-11074"/>
        <s v="ORD-11075"/>
        <s v="ORD-11076"/>
        <s v="ORD-11077"/>
        <s v="ORD-11078"/>
        <s v="ORD-11079"/>
        <s v="ORD-11080"/>
        <s v="ORD-11081"/>
        <s v="ORD-11082"/>
        <s v="ORD-11083"/>
        <s v="ORD-11084"/>
        <s v="ORD-11085"/>
        <s v="ORD-11086"/>
        <s v="ORD-11087"/>
        <s v="ORD-11088"/>
        <s v="ORD-11089"/>
        <s v="ORD-11090"/>
        <s v="ORD-11091"/>
        <s v="ORD-11092"/>
        <s v="ORD-11093"/>
        <s v="ORD-11094"/>
        <s v="ORD-11095"/>
        <s v="ORD-11096"/>
        <s v="ORD-11097"/>
        <s v="ORD-11098"/>
        <s v="ORD-11099"/>
        <s v="ORD-11100"/>
        <s v="ORD-11101"/>
        <s v="ORD-11102"/>
        <s v="ORD-11103"/>
        <s v="ORD-11104"/>
        <s v="ORD-11105"/>
        <s v="ORD-11106"/>
        <s v="ORD-11107"/>
        <s v="ORD-11108"/>
        <s v="ORD-11109"/>
        <s v="ORD-11110"/>
        <s v="ORD-11111"/>
        <s v="ORD-11112"/>
        <s v="ORD-11113"/>
        <s v="ORD-11114"/>
        <s v="ORD-11115"/>
        <s v="ORD-11116"/>
        <s v="ORD-11117"/>
        <s v="ORD-11118"/>
        <s v="ORD-11119"/>
        <s v="ORD-11120"/>
        <s v="ORD-11121"/>
        <s v="ORD-11122"/>
        <s v="ORD-11123"/>
        <s v="ORD-11124"/>
        <s v="ORD-11125"/>
        <s v="ORD-11126"/>
        <s v="ORD-11127"/>
        <s v="ORD-11128"/>
        <s v="ORD-11129"/>
        <s v="ORD-11130"/>
        <s v="ORD-11131"/>
        <s v="ORD-11132"/>
        <s v="ORD-11133"/>
        <s v="ORD-11134"/>
        <s v="ORD-11135"/>
        <s v="ORD-11136"/>
        <s v="ORD-11137"/>
        <s v="ORD-11138"/>
        <s v="ORD-11139"/>
        <s v="ORD-11140"/>
        <s v="ORD-11141"/>
        <s v="ORD-11142"/>
        <s v="ORD-11143"/>
        <s v="ORD-11144"/>
        <s v="ORD-11145"/>
        <s v="ORD-11146"/>
        <s v="ORD-11147"/>
        <s v="ORD-11148"/>
        <s v="ORD-11149"/>
        <s v="ORD-11150"/>
        <s v="ORD-11151"/>
        <s v="ORD-11152"/>
        <s v="ORD-11153"/>
        <s v="ORD-11154"/>
        <s v="ORD-11155"/>
        <s v="ORD-11156"/>
        <s v="ORD-11157"/>
        <s v="ORD-11158"/>
        <s v="ORD-11159"/>
        <s v="ORD-11160"/>
        <s v="ORD-11161"/>
        <s v="ORD-11162"/>
        <s v="ORD-11163"/>
        <s v="ORD-11164"/>
        <s v="ORD-11165"/>
        <s v="ORD-11166"/>
        <s v="ORD-11167"/>
        <s v="ORD-11168"/>
        <s v="ORD-11169"/>
        <s v="ORD-11170"/>
        <s v="ORD-11171"/>
        <s v="ORD-11172"/>
        <s v="ORD-11173"/>
        <s v="ORD-11174"/>
        <s v="ORD-11175"/>
        <s v="ORD-11176"/>
        <s v="ORD-11177"/>
        <s v="ORD-11178"/>
        <s v="ORD-11179"/>
        <s v="ORD-11180"/>
        <s v="ORD-11181"/>
        <s v="ORD-11182"/>
        <s v="ORD-11183"/>
        <s v="ORD-11184"/>
        <s v="ORD-11185"/>
        <s v="ORD-11186"/>
        <s v="ORD-11187"/>
        <s v="ORD-11188"/>
        <s v="ORD-11189"/>
        <s v="ORD-11190"/>
        <s v="ORD-11191"/>
        <s v="ORD-11192"/>
        <s v="ORD-11193"/>
        <s v="ORD-11194"/>
        <s v="ORD-11195"/>
        <s v="ORD-11196"/>
        <s v="ORD-11197"/>
        <s v="ORD-11198"/>
        <s v="ORD-11199"/>
        <s v="ORD-11200"/>
        <s v="ORD-11201"/>
        <s v="ORD-11202"/>
        <s v="ORD-11203"/>
        <s v="ORD-11204"/>
        <s v="ORD-11205"/>
        <s v="ORD-11206"/>
        <s v="ORD-11207"/>
        <s v="ORD-11208"/>
        <s v="ORD-11209"/>
        <s v="ORD-11210"/>
        <s v="ORD-11211"/>
        <s v="ORD-11212"/>
        <s v="ORD-11213"/>
        <s v="ORD-11214"/>
        <s v="ORD-11215"/>
        <s v="ORD-11216"/>
        <s v="ORD-11217"/>
        <s v="ORD-11218"/>
        <s v="ORD-11219"/>
        <s v="ORD-11220"/>
        <s v="ORD-11221"/>
        <s v="ORD-11222"/>
        <s v="ORD-11223"/>
        <s v="ORD-11224"/>
        <s v="ORD-11225"/>
        <s v="ORD-11226"/>
        <s v="ORD-11227"/>
        <s v="ORD-11228"/>
        <s v="ORD-11229"/>
        <s v="ORD-11230"/>
        <s v="ORD-11231"/>
        <s v="ORD-11232"/>
        <s v="ORD-11233"/>
        <s v="ORD-11234"/>
        <s v="ORD-11235"/>
        <s v="ORD-11236"/>
        <s v="ORD-11237"/>
        <s v="ORD-11238"/>
        <s v="ORD-11239"/>
        <s v="ORD-11240"/>
        <s v="ORD-11241"/>
        <s v="ORD-11242"/>
        <s v="ORD-11243"/>
        <s v="ORD-11244"/>
        <s v="ORD-11245"/>
        <s v="ORD-11246"/>
        <s v="ORD-11247"/>
        <s v="ORD-11248"/>
        <s v="ORD-11249"/>
        <s v="ORD-11250"/>
        <s v="ORD-11251"/>
        <s v="ORD-11252"/>
        <s v="ORD-11253"/>
        <s v="ORD-11254"/>
        <s v="ORD-11255"/>
        <s v="ORD-11256"/>
        <s v="ORD-11257"/>
        <s v="ORD-11258"/>
        <s v="ORD-11259"/>
        <s v="ORD-11260"/>
        <s v="ORD-11261"/>
        <s v="ORD-11262"/>
        <s v="ORD-11263"/>
        <s v="ORD-11264"/>
        <s v="ORD-11265"/>
        <s v="ORD-11266"/>
        <s v="ORD-11267"/>
        <s v="ORD-11268"/>
        <s v="ORD-11269"/>
        <s v="ORD-11270"/>
        <s v="ORD-11271"/>
        <s v="ORD-11272"/>
        <s v="ORD-11273"/>
        <s v="ORD-11274"/>
        <s v="ORD-11275"/>
        <s v="ORD-11276"/>
        <s v="ORD-11277"/>
        <s v="ORD-11278"/>
        <s v="ORD-11279"/>
        <s v="ORD-11280"/>
        <s v="ORD-11281"/>
        <s v="ORD-11282"/>
        <s v="ORD-11283"/>
        <s v="ORD-11284"/>
        <s v="ORD-11285"/>
        <s v="ORD-11286"/>
        <s v="ORD-11287"/>
        <s v="ORD-11288"/>
        <s v="ORD-11289"/>
        <s v="ORD-11290"/>
        <s v="ORD-11291"/>
        <s v="ORD-11292"/>
        <s v="ORD-11293"/>
        <s v="ORD-11294"/>
        <s v="ORD-11295"/>
        <s v="ORD-11296"/>
        <s v="ORD-11297"/>
        <s v="ORD-11298"/>
        <s v="ORD-11299"/>
        <s v="ORD-11300"/>
        <s v="ORD-11301"/>
        <s v="ORD-11302"/>
        <s v="ORD-11303"/>
        <s v="ORD-11304"/>
        <s v="ORD-11305"/>
        <s v="ORD-11306"/>
        <s v="ORD-11307"/>
        <s v="ORD-11308"/>
        <s v="ORD-11309"/>
        <s v="ORD-11310"/>
        <s v="ORD-11311"/>
        <s v="ORD-11312"/>
        <s v="ORD-11313"/>
        <s v="ORD-11314"/>
        <s v="ORD-11315"/>
        <s v="ORD-11316"/>
        <s v="ORD-11317"/>
        <s v="ORD-11318"/>
        <s v="ORD-11319"/>
        <s v="ORD-11320"/>
        <s v="ORD-11321"/>
        <s v="ORD-11322"/>
        <s v="ORD-11323"/>
        <s v="ORD-11324"/>
        <s v="ORD-11325"/>
        <s v="ORD-11326"/>
        <s v="ORD-11327"/>
        <s v="ORD-11328"/>
        <s v="ORD-11329"/>
        <s v="ORD-11330"/>
        <s v="ORD-11331"/>
        <s v="ORD-11332"/>
        <s v="ORD-11333"/>
        <s v="ORD-11334"/>
        <s v="ORD-11335"/>
        <s v="ORD-11336"/>
        <s v="ORD-11337"/>
        <s v="ORD-11338"/>
        <s v="ORD-11339"/>
        <s v="ORD-11340"/>
        <s v="ORD-11341"/>
        <s v="ORD-11342"/>
        <s v="ORD-11343"/>
        <s v="ORD-11344"/>
        <s v="ORD-11345"/>
        <s v="ORD-11346"/>
        <s v="ORD-11347"/>
        <s v="ORD-11348"/>
        <s v="ORD-11349"/>
        <s v="ORD-11350"/>
        <s v="ORD-11351"/>
        <s v="ORD-11352"/>
        <s v="ORD-11353"/>
        <s v="ORD-11354"/>
        <s v="ORD-11355"/>
        <s v="ORD-11356"/>
        <s v="ORD-11357"/>
        <s v="ORD-11358"/>
        <s v="ORD-11359"/>
        <s v="ORD-11360"/>
        <s v="ORD-11361"/>
        <s v="ORD-11362"/>
        <s v="ORD-11363"/>
        <s v="ORD-11364"/>
        <s v="ORD-11365"/>
        <s v="ORD-11366"/>
        <s v="ORD-11367"/>
        <s v="ORD-11368"/>
        <s v="ORD-11369"/>
        <s v="ORD-11370"/>
        <s v="ORD-11371"/>
        <s v="ORD-11372"/>
        <s v="ORD-11373"/>
        <s v="ORD-11374"/>
        <s v="ORD-11375"/>
        <s v="ORD-11376"/>
        <s v="ORD-11377"/>
        <s v="ORD-11378"/>
        <s v="ORD-11379"/>
        <s v="ORD-11380"/>
        <s v="ORD-11381"/>
        <s v="ORD-11382"/>
        <s v="ORD-11383"/>
        <s v="ORD-11384"/>
        <s v="ORD-11385"/>
        <s v="ORD-11386"/>
        <s v="ORD-11387"/>
        <s v="ORD-11388"/>
        <s v="ORD-11389"/>
        <s v="ORD-11390"/>
        <s v="ORD-11391"/>
        <s v="ORD-11392"/>
        <s v="ORD-11393"/>
        <s v="ORD-11394"/>
        <s v="ORD-11395"/>
        <s v="ORD-11396"/>
        <s v="ORD-11397"/>
        <s v="ORD-11398"/>
        <s v="ORD-11399"/>
        <s v="ORD-11400"/>
        <s v="ORD-11401"/>
        <s v="ORD-11402"/>
        <s v="ORD-11403"/>
        <s v="ORD-11404"/>
        <s v="ORD-11405"/>
        <s v="ORD-11406"/>
        <s v="ORD-11407"/>
        <s v="ORD-11408"/>
        <s v="ORD-11409"/>
        <s v="ORD-11410"/>
        <s v="ORD-11411"/>
        <s v="ORD-11412"/>
        <s v="ORD-11413"/>
        <s v="ORD-11414"/>
        <s v="ORD-11415"/>
        <s v="ORD-11416"/>
        <s v="ORD-11417"/>
        <s v="ORD-11418"/>
        <s v="ORD-11419"/>
        <s v="ORD-11420"/>
        <s v="ORD-11421"/>
        <s v="ORD-11422"/>
        <s v="ORD-11423"/>
        <s v="ORD-11424"/>
        <s v="ORD-11425"/>
        <s v="ORD-11426"/>
        <s v="ORD-11427"/>
        <s v="ORD-11428"/>
        <s v="ORD-11429"/>
        <s v="ORD-11430"/>
        <s v="ORD-11431"/>
        <s v="ORD-11432"/>
        <s v="ORD-11433"/>
        <s v="ORD-11434"/>
        <s v="ORD-11435"/>
        <s v="ORD-11436"/>
        <s v="ORD-11437"/>
        <s v="ORD-11438"/>
        <s v="ORD-11439"/>
        <s v="ORD-11440"/>
        <s v="ORD-11441"/>
        <s v="ORD-11442"/>
        <s v="ORD-11443"/>
        <s v="ORD-11444"/>
        <s v="ORD-11445"/>
        <s v="ORD-11446"/>
        <s v="ORD-11447"/>
        <s v="ORD-11448"/>
        <s v="ORD-11449"/>
        <s v="ORD-11450"/>
        <s v="ORD-11451"/>
        <s v="ORD-11452"/>
        <s v="ORD-11453"/>
        <s v="ORD-11454"/>
        <s v="ORD-11455"/>
        <s v="ORD-11456"/>
        <s v="ORD-11457"/>
        <s v="ORD-11458"/>
        <s v="ORD-11459"/>
        <s v="ORD-11460"/>
        <s v="ORD-11461"/>
        <s v="ORD-11462"/>
        <s v="ORD-11463"/>
        <s v="ORD-11464"/>
        <s v="ORD-11465"/>
        <s v="ORD-11466"/>
        <s v="ORD-11467"/>
        <s v="ORD-11468"/>
        <s v="ORD-11469"/>
        <s v="ORD-11470"/>
        <s v="ORD-11471"/>
        <s v="ORD-11472"/>
        <s v="ORD-11473"/>
        <s v="ORD-11474"/>
        <s v="ORD-11475"/>
        <s v="ORD-11476"/>
        <s v="ORD-11477"/>
        <s v="ORD-11478"/>
        <s v="ORD-11479"/>
        <s v="ORD-11480"/>
        <s v="ORD-11481"/>
        <s v="ORD-11482"/>
        <s v="ORD-11483"/>
        <s v="ORD-11484"/>
        <s v="ORD-11485"/>
        <s v="ORD-11486"/>
        <s v="ORD-11487"/>
        <s v="ORD-11488"/>
        <s v="ORD-11489"/>
        <s v="ORD-11490"/>
        <s v="ORD-11491"/>
        <s v="ORD-11492"/>
        <s v="ORD-11493"/>
        <s v="ORD-11494"/>
        <s v="ORD-11495"/>
        <s v="ORD-11496"/>
        <s v="ORD-11497"/>
        <s v="ORD-11498"/>
        <s v="ORD-11499"/>
        <s v="ORD-11500"/>
        <s v="ORD-11501"/>
        <s v="ORD-11502"/>
        <s v="ORD-11503"/>
        <s v="ORD-11504"/>
        <s v="ORD-11505"/>
        <s v="ORD-11506"/>
        <s v="ORD-11507"/>
        <s v="ORD-11508"/>
        <s v="ORD-11509"/>
        <s v="ORD-11510"/>
        <s v="ORD-11511"/>
        <s v="ORD-11512"/>
        <s v="ORD-11513"/>
        <s v="ORD-11514"/>
      </sharedItems>
    </cacheField>
    <cacheField name="Order Dates" numFmtId="14">
      <sharedItems containsSemiMixedTypes="0" containsNonDate="0" containsDate="1" containsString="0" minDate="2024-01-01T00:00:00" maxDate="2025-12-31T00:00:00" count="619">
        <d v="2024-01-01T00:00:00"/>
        <d v="2024-01-02T00:00:00"/>
        <d v="2024-01-03T00:00:00"/>
        <d v="2024-01-06T00:00:00"/>
        <d v="2024-01-07T00:00:00"/>
        <d v="2024-01-09T00:00:00"/>
        <d v="2024-01-10T00:00:00"/>
        <d v="2024-01-12T00:00:00"/>
        <d v="2024-01-13T00:00:00"/>
        <d v="2024-01-15T00:00:00"/>
        <d v="2024-01-16T00:00:00"/>
        <d v="2024-01-17T00:00:00"/>
        <d v="2024-01-18T00:00:00"/>
        <d v="2024-01-19T00:00:00"/>
        <d v="2024-01-20T00:00:00"/>
        <d v="2024-01-23T00:00:00"/>
        <d v="2024-01-24T00:00:00"/>
        <d v="2024-01-25T00:00:00"/>
        <d v="2024-01-26T00:00:00"/>
        <d v="2024-01-27T00:00:00"/>
        <d v="2024-01-29T00:00:00"/>
        <d v="2024-01-31T00:00:00"/>
        <d v="2024-02-02T00:00:00"/>
        <d v="2024-02-03T00:00:00"/>
        <d v="2024-02-04T00:00:00"/>
        <d v="2024-02-05T00:00:00"/>
        <d v="2024-02-07T00:00:00"/>
        <d v="2024-02-08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5T00:00:00"/>
        <d v="2024-03-06T00:00:00"/>
        <d v="2024-03-07T00:00:00"/>
        <d v="2024-03-08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8T00:00:00"/>
        <d v="2024-04-19T00:00:00"/>
        <d v="2024-04-20T00:00:00"/>
        <d v="2024-04-21T00:00:00"/>
        <d v="2024-04-22T00:00:00"/>
        <d v="2024-04-24T00:00:00"/>
        <d v="2024-04-25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6T00:00:00"/>
        <d v="2024-05-17T00:00:00"/>
        <d v="2024-05-18T00:00:00"/>
        <d v="2024-05-20T00:00:00"/>
        <d v="2024-05-21T00:00:00"/>
        <d v="2024-05-23T00:00:00"/>
        <d v="2024-05-24T00:00:00"/>
        <d v="2024-05-25T00:00:00"/>
        <d v="2024-05-26T00:00:00"/>
        <d v="2024-05-28T00:00:00"/>
        <d v="2024-05-29T00:00:00"/>
        <d v="2024-05-30T00:00:00"/>
        <d v="2024-06-01T00:00:00"/>
        <d v="2024-06-02T00:00:00"/>
        <d v="2024-06-03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20T00:00:00"/>
        <d v="2024-07-21T00:00:00"/>
        <d v="2024-07-22T00:00:00"/>
        <d v="2024-07-24T00:00:00"/>
        <d v="2024-07-25T00:00:00"/>
        <d v="2024-07-26T00:00:00"/>
        <d v="2024-07-29T00:00:00"/>
        <d v="2024-07-30T00:00:00"/>
        <d v="2024-07-31T00:00:00"/>
        <d v="2024-08-01T00:00:00"/>
        <d v="2024-08-02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7T00:00:00"/>
        <d v="2024-08-29T00:00:00"/>
        <d v="2024-08-30T00:00:00"/>
        <d v="2024-08-31T00:00:00"/>
        <d v="2024-09-01T00:00:00"/>
        <d v="2024-09-03T00:00:00"/>
        <d v="2024-09-04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6T00:00:00"/>
        <d v="2024-09-27T00:00:00"/>
        <d v="2024-09-30T00:00:00"/>
        <d v="2024-10-01T00:00:00"/>
        <d v="2024-10-02T00:00:00"/>
        <d v="2024-10-03T00:00:00"/>
        <d v="2024-10-04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1T00:00:00"/>
        <d v="2024-11-01T00:00:00"/>
        <d v="2024-11-02T00:00:00"/>
        <d v="2024-11-03T00:00:00"/>
        <d v="2024-11-04T00:00:00"/>
        <d v="2024-11-05T00:00:00"/>
        <d v="2024-11-06T00:00:00"/>
        <d v="2024-11-08T00:00:00"/>
        <d v="2024-11-10T00:00:00"/>
        <d v="2024-11-11T00:00:00"/>
        <d v="2024-11-12T00:00:00"/>
        <d v="2024-11-13T00:00:00"/>
        <d v="2024-11-14T00:00:00"/>
        <d v="2024-11-15T00:00:00"/>
        <d v="2024-11-16T00:00:00"/>
        <d v="2024-11-17T00:00:00"/>
        <d v="2024-11-18T00:00:00"/>
        <d v="2024-11-19T00:00:00"/>
        <d v="2024-11-20T00:00:00"/>
        <d v="2024-11-21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7T00:00:00"/>
        <d v="2024-12-18T00:00:00"/>
        <d v="2024-12-19T00:00:00"/>
        <d v="2024-12-20T00:00:00"/>
        <d v="2024-12-21T00:00:00"/>
        <d v="2024-12-22T00:00:00"/>
        <d v="2024-12-23T00:00:00"/>
        <d v="2024-12-25T00:00:00"/>
        <d v="2024-12-27T00:00:00"/>
        <d v="2024-12-28T00:00:00"/>
        <d v="2024-12-30T00:00:00"/>
        <d v="2024-12-31T00:00:00"/>
        <d v="2025-01-01T00:00:00"/>
        <d v="2025-01-02T00:00:00"/>
        <d v="2025-01-03T00:00:00"/>
        <d v="2025-01-04T00:00:00"/>
        <d v="2025-01-05T00:00:00"/>
        <d v="2025-01-06T00:00:00"/>
        <d v="2025-01-09T00:00:00"/>
        <d v="2025-01-10T00:00:00"/>
        <d v="2025-01-11T00:00:00"/>
        <d v="2025-01-12T00:00:00"/>
        <d v="2025-01-13T00:00:00"/>
        <d v="2025-01-15T00:00:00"/>
        <d v="2025-01-16T00:00:00"/>
        <d v="2025-01-17T00:00:00"/>
        <d v="2025-01-18T00:00:00"/>
        <d v="2025-01-20T00:00:00"/>
        <d v="2025-01-21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9T00:00:00"/>
        <d v="2025-02-20T00:00:00"/>
        <d v="2025-02-21T00:00:00"/>
        <d v="2025-02-22T00:00:00"/>
        <d v="2025-02-24T00:00:00"/>
        <d v="2025-02-25T00:00:00"/>
        <d v="2025-02-27T00:00:00"/>
        <d v="2025-02-28T00:00:00"/>
        <d v="2025-03-01T00:00:00"/>
        <d v="2025-03-02T00:00:00"/>
        <d v="2025-03-03T00:00:00"/>
        <d v="2025-03-04T00:00:00"/>
        <d v="2025-03-06T00:00:00"/>
        <d v="2025-03-07T00:00:00"/>
        <d v="2025-03-08T00:00:00"/>
        <d v="2025-03-09T00:00:00"/>
        <d v="2025-03-11T00:00:00"/>
        <d v="2025-03-12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4T00:00:00"/>
        <d v="2025-04-25T00:00:00"/>
        <d v="2025-04-26T00:00:00"/>
        <d v="2025-04-27T00:00:00"/>
        <d v="2025-04-28T00:00:00"/>
        <d v="2025-04-29T00:00:00"/>
        <d v="2025-05-02T00:00:00"/>
        <d v="2025-05-04T00:00:00"/>
        <d v="2025-05-05T00:00:00"/>
        <d v="2025-05-06T00:00:00"/>
        <d v="2025-05-07T00:00:00"/>
        <d v="2025-05-09T00:00:00"/>
        <d v="2025-05-10T00:00:00"/>
        <d v="2025-05-11T00:00:00"/>
        <d v="2025-05-12T00:00:00"/>
        <d v="2025-05-13T00:00:00"/>
        <d v="2025-05-14T00:00:00"/>
        <d v="2025-05-15T00:00:00"/>
        <d v="2025-05-17T00:00:00"/>
        <d v="2025-05-18T00:00:00"/>
        <d v="2025-05-20T00:00:00"/>
        <d v="2025-05-21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3T00:00:00"/>
        <d v="2025-06-14T00:00:00"/>
        <d v="2025-06-15T00:00:00"/>
        <d v="2025-06-16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6T00:00:00"/>
        <d v="2025-07-07T00:00:00"/>
        <d v="2025-07-08T00:00:00"/>
        <d v="2025-07-09T00:00:00"/>
        <d v="2025-07-11T00:00:00"/>
        <d v="2025-07-12T00:00:00"/>
        <d v="2025-07-13T00:00:00"/>
        <d v="2025-07-14T00:00:00"/>
        <d v="2025-07-15T00:00:00"/>
        <d v="2025-07-16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1T00:00:00"/>
        <d v="2025-09-02T00:00:00"/>
        <d v="2025-09-03T00:00:00"/>
        <d v="2025-09-04T00:00:00"/>
        <d v="2025-09-05T00:00:00"/>
        <d v="2025-09-06T00:00:00"/>
        <d v="2025-09-08T00:00:00"/>
        <d v="2025-09-09T00:00:00"/>
        <d v="2025-09-10T00:00:00"/>
        <d v="2025-09-11T00:00:00"/>
        <d v="2025-09-12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20T00:00:00"/>
        <d v="2025-12-21T00:00:00"/>
        <d v="2025-12-22T00:00:00"/>
        <d v="2025-12-23T00:00:00"/>
        <d v="2025-12-24T00:00:00"/>
        <d v="2025-12-25T00:00:00"/>
        <d v="2025-12-26T00:00:00"/>
        <d v="2025-12-27T00:00:00"/>
        <d v="2025-12-28T00:00:00"/>
        <d v="2025-12-29T00:00:00"/>
        <d v="2025-12-30T00:00:00"/>
      </sharedItems>
      <fieldGroup par="24"/>
    </cacheField>
    <cacheField name="Years" numFmtId="0">
      <sharedItems containsSemiMixedTypes="0" containsString="0" containsNumber="1" containsInteger="1" minValue="2024" maxValue="2025" count="2">
        <n v="2024"/>
        <n v="2025"/>
      </sharedItems>
    </cacheField>
    <cacheField name="Month" numFmtId="166">
      <sharedItems containsSemiMixedTypes="0" containsNonDate="0" containsDate="1" containsString="0" minDate="1899-12-31T00:00:00" maxDate="1900-01-12T00:00:00"/>
    </cacheField>
    <cacheField name="Region" numFmtId="0">
      <sharedItems count="5">
        <s v="West"/>
        <s v="East"/>
        <s v="North"/>
        <s v="South"/>
        <s v="Central"/>
      </sharedItems>
    </cacheField>
    <cacheField name="City" numFmtId="0">
      <sharedItems/>
    </cacheField>
    <cacheField name="Salesperson" numFmtId="0">
      <sharedItems/>
    </cacheField>
    <cacheField name="Clean Sales Person" numFmtId="0">
      <sharedItems/>
    </cacheField>
    <cacheField name="Customer Segment" numFmtId="0">
      <sharedItems count="4">
        <s v="Retail"/>
        <s v="Institutional"/>
        <s v="Online Marketplace"/>
        <s v="Corporate"/>
      </sharedItems>
    </cacheField>
    <cacheField name="Category" numFmtId="0">
      <sharedItems count="5">
        <s v="Electronics"/>
        <s v="Home Appliances"/>
        <s v="Fashion"/>
        <s v="Furniture"/>
        <s v="Sports &amp; Fitness"/>
      </sharedItems>
    </cacheField>
    <cacheField name="Sub-Category" numFmtId="0">
      <sharedItems/>
    </cacheField>
    <cacheField name="Product" numFmtId="0">
      <sharedItems/>
    </cacheField>
    <cacheField name="Channel" numFmtId="0">
      <sharedItems count="3">
        <s v="Online"/>
        <s v="Offline"/>
        <s v="Distributor"/>
      </sharedItems>
    </cacheField>
    <cacheField name="Order Status" numFmtId="0">
      <sharedItems/>
    </cacheField>
    <cacheField name="Units Sold" numFmtId="0">
      <sharedItems containsSemiMixedTypes="0" containsString="0" containsNumber="1" containsInteger="1" minValue="1" maxValue="85"/>
    </cacheField>
    <cacheField name="Unit Price" numFmtId="164">
      <sharedItems containsSemiMixedTypes="0" containsString="0" containsNumber="1" containsInteger="1" minValue="860" maxValue="113040"/>
    </cacheField>
    <cacheField name="Discount %" numFmtId="165">
      <sharedItems containsSemiMixedTypes="0" containsString="0" containsNumber="1" minValue="0" maxValue="0.25"/>
    </cacheField>
    <cacheField name="Unit Cost" numFmtId="164">
      <sharedItems containsSemiMixedTypes="0" containsString="0" containsNumber="1" containsInteger="1" minValue="480" maxValue="88190"/>
    </cacheField>
    <cacheField name="Calculated sales" numFmtId="164">
      <sharedItems containsSemiMixedTypes="0" containsString="0" containsNumber="1" minValue="3505.5" maxValue="644328"/>
    </cacheField>
    <cacheField name="Total cost" numFmtId="164">
      <sharedItems containsSemiMixedTypes="0" containsString="0" containsNumber="1" containsInteger="1" minValue="2280" maxValue="529140"/>
    </cacheField>
    <cacheField name="Profit/Loss" numFmtId="164">
      <sharedItems containsSemiMixedTypes="0" containsString="0" containsNumber="1" minValue="-2730" maxValue="150720"/>
    </cacheField>
    <cacheField name="Profit Margin" numFmtId="0">
      <sharedItems containsSemiMixedTypes="0" containsString="0" containsNumber="1" minValue="-3.9089347079037801E-2" maxValue="0.43770672546857775"/>
    </cacheField>
    <cacheField name="Months (Order Dates)"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 Dates)" numFmtId="0" databaseField="0">
      <fieldGroup base="1">
        <rangePr groupBy="quarters" startDate="2024-01-01T00:00:00" endDate="2025-12-31T00:00:00"/>
        <groupItems count="6">
          <s v="&lt;01-01-2024"/>
          <s v="Qtr1"/>
          <s v="Qtr2"/>
          <s v="Qtr3"/>
          <s v="Qtr4"/>
          <s v="&gt;31-12-2025"/>
        </groupItems>
      </fieldGroup>
    </cacheField>
    <cacheField name="Years (Order Dates)"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5823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x v="0"/>
    <x v="0"/>
    <x v="0"/>
    <d v="1899-12-31T00:00:00"/>
    <x v="0"/>
    <s v="Pune"/>
    <s v="Imran Sheikh"/>
    <s v="Imran Sheikh"/>
    <x v="0"/>
    <x v="0"/>
    <s v="Audio Devices"/>
    <s v="Boat Airdopes 141"/>
    <x v="0"/>
    <s v="Delivered"/>
    <n v="13"/>
    <n v="1930"/>
    <n v="0.1"/>
    <n v="1120"/>
    <n v="22581"/>
    <n v="14560"/>
    <n v="8021"/>
    <n v="0.35521013241220495"/>
  </r>
  <r>
    <x v="1"/>
    <x v="0"/>
    <x v="0"/>
    <d v="1899-12-31T00:00:00"/>
    <x v="0"/>
    <s v="Pune"/>
    <s v="Prateek Shah"/>
    <s v="Prateek Shah"/>
    <x v="0"/>
    <x v="1"/>
    <s v="Refrigerators"/>
    <s v="Lg 260L Double Door"/>
    <x v="0"/>
    <s v="Delivered"/>
    <n v="7"/>
    <n v="29010"/>
    <n v="0.12"/>
    <n v="19150"/>
    <n v="178701.6"/>
    <n v="134050"/>
    <n v="44651.600000000006"/>
    <n v="0.24986681708501773"/>
  </r>
  <r>
    <x v="2"/>
    <x v="0"/>
    <x v="0"/>
    <d v="1899-12-31T00:00:00"/>
    <x v="0"/>
    <s v="Surat"/>
    <s v="Neha Deshpande"/>
    <s v="Neha Deshpande"/>
    <x v="0"/>
    <x v="0"/>
    <s v="Laptops"/>
    <s v="Dell Inspiron 3520"/>
    <x v="0"/>
    <s v="Pending"/>
    <n v="3"/>
    <n v="55230"/>
    <n v="0.1"/>
    <n v="33180"/>
    <n v="149121"/>
    <n v="99540"/>
    <n v="49581"/>
    <n v="0.3324883819180397"/>
  </r>
  <r>
    <x v="3"/>
    <x v="0"/>
    <x v="0"/>
    <d v="1899-12-31T00:00:00"/>
    <x v="1"/>
    <s v="Ranchi"/>
    <s v="Sourav Das"/>
    <s v="Sourav Das"/>
    <x v="0"/>
    <x v="0"/>
    <s v="Audio Devices"/>
    <s v="Boat Airdopes 141"/>
    <x v="1"/>
    <s v="Delivered"/>
    <n v="21"/>
    <n v="1810"/>
    <n v="0.05"/>
    <n v="1230"/>
    <n v="36109.5"/>
    <n v="25830"/>
    <n v="10279.5"/>
    <n v="0.28467577784239606"/>
  </r>
  <r>
    <x v="4"/>
    <x v="1"/>
    <x v="0"/>
    <d v="1899-12-31T00:00:00"/>
    <x v="2"/>
    <s v="Lucknow"/>
    <s v="Simran Kaur"/>
    <s v="Simran Kaur"/>
    <x v="1"/>
    <x v="2"/>
    <s v="Apparel"/>
    <s v="Allen Solly Formal Shirt"/>
    <x v="2"/>
    <s v="Delivered"/>
    <n v="10"/>
    <n v="1840"/>
    <n v="0.12"/>
    <n v="1030"/>
    <n v="16192"/>
    <n v="10300"/>
    <n v="5892"/>
    <n v="0.36388339920948615"/>
  </r>
  <r>
    <x v="5"/>
    <x v="2"/>
    <x v="0"/>
    <d v="1899-12-31T00:00:00"/>
    <x v="0"/>
    <s v="Mumbai"/>
    <s v="Neha Deshpande"/>
    <s v="Neha Deshpande"/>
    <x v="2"/>
    <x v="1"/>
    <s v="Air Conditioners"/>
    <s v="Daikin 1.5T Split Ac"/>
    <x v="1"/>
    <s v="Delivered"/>
    <n v="2"/>
    <n v="44080"/>
    <n v="0.08"/>
    <n v="31330"/>
    <n v="81107.199999999997"/>
    <n v="62660"/>
    <n v="18447.199999999997"/>
    <n v="0.22744219995265522"/>
  </r>
  <r>
    <x v="6"/>
    <x v="2"/>
    <x v="0"/>
    <d v="1899-12-31T00:00:00"/>
    <x v="3"/>
    <s v="Kochi"/>
    <s v="Karthik Raman"/>
    <s v="Karthik Raman"/>
    <x v="0"/>
    <x v="3"/>
    <s v="Tables"/>
    <s v="6-Seater Dining Table"/>
    <x v="1"/>
    <s v="Delivered"/>
    <n v="6"/>
    <n v="25110"/>
    <n v="0.1"/>
    <n v="16730"/>
    <n v="135594"/>
    <n v="100380"/>
    <n v="35214"/>
    <n v="0.25970175671489887"/>
  </r>
  <r>
    <x v="7"/>
    <x v="2"/>
    <x v="0"/>
    <d v="1899-12-31T00:00:00"/>
    <x v="2"/>
    <s v="Lucknow"/>
    <s v="Simran Kaur"/>
    <s v="Simran Kaur"/>
    <x v="0"/>
    <x v="2"/>
    <s v="Apparel"/>
    <s v="Allen Solly Formal Shirt"/>
    <x v="1"/>
    <s v="Delivered"/>
    <n v="39"/>
    <n v="1840"/>
    <n v="0.12"/>
    <n v="1370"/>
    <n v="63148.800000000003"/>
    <n v="53430"/>
    <n v="9718.8000000000029"/>
    <n v="0.153903162055336"/>
  </r>
  <r>
    <x v="8"/>
    <x v="3"/>
    <x v="0"/>
    <d v="1899-12-31T00:00:00"/>
    <x v="2"/>
    <s v="Lucknow"/>
    <s v="Aditya Verma"/>
    <s v="Aditya Verma"/>
    <x v="1"/>
    <x v="0"/>
    <s v="Audio Devices"/>
    <s v="Sony Wh-Ch720N"/>
    <x v="0"/>
    <s v="Delivered"/>
    <n v="4"/>
    <n v="9170"/>
    <n v="0.08"/>
    <n v="7100"/>
    <n v="33745.599999999999"/>
    <n v="28400"/>
    <n v="5345.5999999999985"/>
    <n v="0.15840879996206908"/>
  </r>
  <r>
    <x v="9"/>
    <x v="4"/>
    <x v="0"/>
    <d v="1899-12-31T00:00:00"/>
    <x v="1"/>
    <s v="Kolkata"/>
    <s v="Ritika Ghosh"/>
    <s v="Ritika Ghosh"/>
    <x v="0"/>
    <x v="3"/>
    <s v="Storage"/>
    <s v="3-Door Wardrobe"/>
    <x v="0"/>
    <s v="Delivered"/>
    <n v="8"/>
    <n v="28800"/>
    <n v="0"/>
    <n v="20520"/>
    <n v="230400"/>
    <n v="164160"/>
    <n v="66240"/>
    <n v="0.28749999999999998"/>
  </r>
  <r>
    <x v="10"/>
    <x v="5"/>
    <x v="0"/>
    <d v="1899-12-31T00:00:00"/>
    <x v="3"/>
    <s v="Coimbatore"/>
    <s v="Karthik Raman"/>
    <s v="Karthik Raman"/>
    <x v="0"/>
    <x v="3"/>
    <s v="Sofas"/>
    <s v="Single Seater Recliner"/>
    <x v="0"/>
    <s v="Delivered"/>
    <n v="2"/>
    <n v="43500"/>
    <n v="0.05"/>
    <n v="29520"/>
    <n v="82650"/>
    <n v="59040"/>
    <n v="23610"/>
    <n v="0.28566243194192376"/>
  </r>
  <r>
    <x v="11"/>
    <x v="6"/>
    <x v="0"/>
    <d v="1899-12-31T00:00:00"/>
    <x v="4"/>
    <s v="Ujjain"/>
    <s v="Pooja Chouhan"/>
    <s v="Pooja Chouhan"/>
    <x v="2"/>
    <x v="1"/>
    <s v="Kitchen Appliances"/>
    <s v="Prestige Mixer Grinder"/>
    <x v="0"/>
    <s v="Delivered"/>
    <n v="7"/>
    <n v="4680"/>
    <n v="0.1"/>
    <n v="3250"/>
    <n v="29484"/>
    <n v="22750"/>
    <n v="6734"/>
    <n v="0.22839506172839505"/>
  </r>
  <r>
    <x v="12"/>
    <x v="6"/>
    <x v="0"/>
    <d v="1899-12-31T00:00:00"/>
    <x v="0"/>
    <s v="Nagpur"/>
    <s v="Imran Sheikh"/>
    <s v="Imran Sheikh"/>
    <x v="0"/>
    <x v="4"/>
    <s v="Fitness Equipment"/>
    <s v="Adjustable Dumbbell Set 10Kg"/>
    <x v="0"/>
    <s v="Delivered"/>
    <n v="32"/>
    <n v="2390"/>
    <n v="0.15"/>
    <n v="1600"/>
    <n v="65008"/>
    <n v="51200"/>
    <n v="13808"/>
    <n v="0.21240462712281566"/>
  </r>
  <r>
    <x v="13"/>
    <x v="7"/>
    <x v="0"/>
    <d v="1899-12-31T00:00:00"/>
    <x v="0"/>
    <s v="Mumbai"/>
    <s v="Prateek Shah"/>
    <s v="Prateek Shah"/>
    <x v="0"/>
    <x v="0"/>
    <s v="Televisions"/>
    <s v="Mi Tv 5X 43 Inch"/>
    <x v="1"/>
    <s v="Delivered"/>
    <n v="1"/>
    <n v="33550"/>
    <n v="0.12"/>
    <n v="20980"/>
    <n v="29524"/>
    <n v="20980"/>
    <n v="8544"/>
    <n v="0.28939168134399135"/>
  </r>
  <r>
    <x v="14"/>
    <x v="7"/>
    <x v="0"/>
    <d v="1899-12-31T00:00:00"/>
    <x v="0"/>
    <s v="Mumbai"/>
    <s v="Neha Deshpande"/>
    <s v="Neha Deshpande"/>
    <x v="1"/>
    <x v="1"/>
    <s v="Refrigerators"/>
    <s v="Lg 260L Double Door"/>
    <x v="1"/>
    <s v="Delivered"/>
    <n v="11"/>
    <n v="27950"/>
    <n v="0.05"/>
    <n v="21870"/>
    <n v="292077.5"/>
    <n v="240570"/>
    <n v="51507.5"/>
    <n v="0.1763487430562094"/>
  </r>
  <r>
    <x v="15"/>
    <x v="8"/>
    <x v="0"/>
    <d v="1899-12-31T00:00:00"/>
    <x v="3"/>
    <s v="Coimbatore"/>
    <s v="Anjali Menon"/>
    <s v="Anjali Menon"/>
    <x v="3"/>
    <x v="2"/>
    <s v="Apparel"/>
    <s v="Us Polo T-Shirt"/>
    <x v="2"/>
    <s v="Returned"/>
    <n v="73"/>
    <n v="1250"/>
    <n v="0.2"/>
    <n v="960"/>
    <n v="73000"/>
    <n v="70080"/>
    <n v="2920"/>
    <n v="0.04"/>
  </r>
  <r>
    <x v="16"/>
    <x v="8"/>
    <x v="0"/>
    <d v="1899-12-31T00:00:00"/>
    <x v="2"/>
    <s v="Gurugram"/>
    <s v="Rohit Malhotra"/>
    <s v="Rohit Malhotra"/>
    <x v="0"/>
    <x v="1"/>
    <s v="Refrigerators"/>
    <s v="Lg 260L Double Door"/>
    <x v="1"/>
    <s v="Delivered"/>
    <n v="5"/>
    <n v="28660"/>
    <n v="0.18"/>
    <n v="19420"/>
    <n v="117506.00000000001"/>
    <n v="97100"/>
    <n v="20406.000000000015"/>
    <n v="0.17365921740166471"/>
  </r>
  <r>
    <x v="17"/>
    <x v="8"/>
    <x v="0"/>
    <d v="1899-12-31T00:00:00"/>
    <x v="4"/>
    <s v="Gwalior"/>
    <s v="Pooja Chouhan"/>
    <s v="Pooja Chouhan"/>
    <x v="0"/>
    <x v="2"/>
    <s v="Accessories"/>
    <s v="Wildcraft 35L Backpack"/>
    <x v="1"/>
    <s v="Delivered"/>
    <n v="5"/>
    <n v="1850"/>
    <n v="0.18"/>
    <n v="1390"/>
    <n v="7585.0000000000009"/>
    <n v="6950"/>
    <n v="635.00000000000091"/>
    <n v="8.3717864205669193E-2"/>
  </r>
  <r>
    <x v="18"/>
    <x v="8"/>
    <x v="0"/>
    <d v="1899-12-31T00:00:00"/>
    <x v="3"/>
    <s v="Visakhapatnam"/>
    <s v="Anjali Menon"/>
    <s v="Anjali Menon"/>
    <x v="0"/>
    <x v="2"/>
    <s v="Apparel"/>
    <s v="Allen Solly Formal Shirt"/>
    <x v="0"/>
    <s v="Returned"/>
    <n v="22"/>
    <n v="1850"/>
    <n v="0.05"/>
    <n v="1080"/>
    <n v="38665"/>
    <n v="23760"/>
    <n v="14905"/>
    <n v="0.38549075391180654"/>
  </r>
  <r>
    <x v="19"/>
    <x v="9"/>
    <x v="0"/>
    <d v="1899-12-31T00:00:00"/>
    <x v="4"/>
    <s v="Ujjain"/>
    <s v="Pooja Chouhan"/>
    <s v="Pooja Chouhan"/>
    <x v="0"/>
    <x v="0"/>
    <s v="Televisions"/>
    <s v="Samsung Crystal 4K 55 Inch"/>
    <x v="0"/>
    <s v="Delivered"/>
    <n v="3"/>
    <n v="50210"/>
    <n v="0.2"/>
    <n v="38930"/>
    <n v="120504"/>
    <n v="116790"/>
    <n v="3714"/>
    <n v="3.082055367456682E-2"/>
  </r>
  <r>
    <x v="20"/>
    <x v="9"/>
    <x v="0"/>
    <d v="1899-12-31T00:00:00"/>
    <x v="0"/>
    <s v="Pune"/>
    <s v="Imran Sheikh"/>
    <s v="Imran Sheikh"/>
    <x v="0"/>
    <x v="0"/>
    <s v="Laptops"/>
    <s v="Dell Inspiron 3520"/>
    <x v="0"/>
    <s v="Delivered"/>
    <n v="4"/>
    <n v="56010"/>
    <n v="0.05"/>
    <n v="43350"/>
    <n v="212838"/>
    <n v="173400"/>
    <n v="39438"/>
    <n v="0.18529585882220281"/>
  </r>
  <r>
    <x v="21"/>
    <x v="10"/>
    <x v="0"/>
    <d v="1899-12-31T00:00:00"/>
    <x v="4"/>
    <s v="Gwalior"/>
    <s v="Pooja Chouhan"/>
    <s v="Pooja Chouhan"/>
    <x v="0"/>
    <x v="3"/>
    <s v="Sofas"/>
    <s v="Single Seater Recliner"/>
    <x v="2"/>
    <s v="Delivered"/>
    <n v="1"/>
    <n v="47150"/>
    <n v="0.05"/>
    <n v="28860"/>
    <n v="44792.5"/>
    <n v="28860"/>
    <n v="15932.5"/>
    <n v="0.35569570798682815"/>
  </r>
  <r>
    <x v="22"/>
    <x v="10"/>
    <x v="0"/>
    <d v="1899-12-31T00:00:00"/>
    <x v="3"/>
    <s v="Kochi"/>
    <s v="Anjali Menon"/>
    <s v="Anjali Menon"/>
    <x v="2"/>
    <x v="0"/>
    <s v="Mobile Phones"/>
    <s v="Iphone 15"/>
    <x v="1"/>
    <s v="Delivered"/>
    <n v="1"/>
    <n v="65720"/>
    <n v="0"/>
    <n v="44870"/>
    <n v="65720"/>
    <n v="44870"/>
    <n v="20850"/>
    <n v="0.31725502130249544"/>
  </r>
  <r>
    <x v="23"/>
    <x v="10"/>
    <x v="0"/>
    <d v="1899-12-31T00:00:00"/>
    <x v="4"/>
    <s v="Indore"/>
    <s v="Pooja Chouhan"/>
    <s v="Pooja Chouhan"/>
    <x v="2"/>
    <x v="3"/>
    <s v="Sofas"/>
    <s v="3-Seater Fabric Sofa"/>
    <x v="0"/>
    <s v="Delivered"/>
    <n v="4"/>
    <n v="34510"/>
    <n v="0.05"/>
    <n v="23410"/>
    <n v="131138"/>
    <n v="93640"/>
    <n v="37498"/>
    <n v="0.28594305235705897"/>
  </r>
  <r>
    <x v="24"/>
    <x v="11"/>
    <x v="0"/>
    <d v="1899-12-31T00:00:00"/>
    <x v="1"/>
    <s v="Guwahati"/>
    <s v="Sourav Das"/>
    <s v="Sourav Das"/>
    <x v="0"/>
    <x v="3"/>
    <s v="Sofas"/>
    <s v="Single Seater Recliner"/>
    <x v="2"/>
    <s v="Delivered"/>
    <n v="1"/>
    <n v="46610"/>
    <n v="0.15"/>
    <n v="27550"/>
    <n v="39618.5"/>
    <n v="27550"/>
    <n v="12068.5"/>
    <n v="0.30461779219304114"/>
  </r>
  <r>
    <x v="25"/>
    <x v="11"/>
    <x v="0"/>
    <d v="1899-12-31T00:00:00"/>
    <x v="2"/>
    <s v="Lucknow"/>
    <s v="Rohit Malhotra"/>
    <s v="Rohit Malhotra"/>
    <x v="0"/>
    <x v="3"/>
    <s v="Tables"/>
    <s v="6-Seater Dining Table"/>
    <x v="1"/>
    <s v="Delivered"/>
    <n v="7"/>
    <n v="25110"/>
    <n v="0.15"/>
    <n v="14930"/>
    <n v="149404.5"/>
    <n v="104510"/>
    <n v="44894.5"/>
    <n v="0.30048961042003419"/>
  </r>
  <r>
    <x v="26"/>
    <x v="11"/>
    <x v="0"/>
    <d v="1899-12-31T00:00:00"/>
    <x v="3"/>
    <s v="Visakhapatnam"/>
    <s v="Karthik Raman"/>
    <s v="Karthik Raman"/>
    <x v="0"/>
    <x v="1"/>
    <s v="Air Conditioners"/>
    <s v="Daikin 1.5T Split Ac"/>
    <x v="0"/>
    <s v="Delivered"/>
    <n v="4"/>
    <n v="43380"/>
    <n v="0.25"/>
    <n v="29810"/>
    <n v="130140"/>
    <n v="119240"/>
    <n v="10900"/>
    <n v="8.3755955125249734E-2"/>
  </r>
  <r>
    <x v="27"/>
    <x v="12"/>
    <x v="0"/>
    <d v="1899-12-31T00:00:00"/>
    <x v="3"/>
    <s v="Visakhapatnam"/>
    <s v="Anjali Menon"/>
    <s v="Anjali Menon"/>
    <x v="0"/>
    <x v="0"/>
    <s v="Televisions"/>
    <s v="Samsung Crystal 4K 55 Inch"/>
    <x v="0"/>
    <s v="Shipped"/>
    <n v="4"/>
    <n v="54530"/>
    <n v="0.08"/>
    <n v="31080"/>
    <n v="200670.4"/>
    <n v="124320"/>
    <n v="76350.399999999994"/>
    <n v="0.38047664229502703"/>
  </r>
  <r>
    <x v="28"/>
    <x v="13"/>
    <x v="0"/>
    <d v="1899-12-31T00:00:00"/>
    <x v="2"/>
    <s v="Lucknow"/>
    <s v="Simran Kaur"/>
    <s v="Simran Kaur"/>
    <x v="2"/>
    <x v="3"/>
    <s v="Storage"/>
    <s v="Metal Shoe Rack"/>
    <x v="1"/>
    <s v="Pending"/>
    <n v="9"/>
    <n v="3550"/>
    <n v="0.05"/>
    <n v="2760"/>
    <n v="30352.5"/>
    <n v="24840"/>
    <n v="5512.5"/>
    <n v="0.1816160118606375"/>
  </r>
  <r>
    <x v="29"/>
    <x v="14"/>
    <x v="0"/>
    <d v="1899-12-31T00:00:00"/>
    <x v="2"/>
    <s v="Jaipur"/>
    <s v="Simran Kaur"/>
    <s v="Simran Kaur"/>
    <x v="0"/>
    <x v="2"/>
    <s v="Apparel"/>
    <s v="Allen Solly Formal Shirt"/>
    <x v="0"/>
    <s v="Delivered"/>
    <n v="20"/>
    <n v="1840"/>
    <n v="0.1"/>
    <n v="1320"/>
    <n v="33120"/>
    <n v="26400"/>
    <n v="6720"/>
    <n v="0.20289855072463769"/>
  </r>
  <r>
    <x v="30"/>
    <x v="15"/>
    <x v="0"/>
    <d v="1899-12-31T00:00:00"/>
    <x v="4"/>
    <s v="Bhopal"/>
    <s v="Pooja Chouhan"/>
    <s v="Pooja Chouhan"/>
    <x v="3"/>
    <x v="0"/>
    <s v="Audio Devices"/>
    <s v="Sony Wh-Ch720N"/>
    <x v="0"/>
    <s v="Delivered"/>
    <n v="22"/>
    <n v="8470"/>
    <n v="0.2"/>
    <n v="6470"/>
    <n v="149072"/>
    <n v="142340"/>
    <n v="6732"/>
    <n v="4.5159386068476977E-2"/>
  </r>
  <r>
    <x v="31"/>
    <x v="15"/>
    <x v="0"/>
    <d v="1899-12-31T00:00:00"/>
    <x v="3"/>
    <s v="Bengaluru"/>
    <s v="Anjali Menon"/>
    <s v="Anjali Menon"/>
    <x v="2"/>
    <x v="2"/>
    <s v="Apparel"/>
    <s v="Allen Solly Formal Shirt"/>
    <x v="0"/>
    <s v="Pending"/>
    <n v="15"/>
    <n v="1730"/>
    <n v="0.12"/>
    <n v="1130"/>
    <n v="22836"/>
    <n v="16950"/>
    <n v="5886"/>
    <n v="0.25775091960063057"/>
  </r>
  <r>
    <x v="32"/>
    <x v="16"/>
    <x v="0"/>
    <d v="1899-12-31T00:00:00"/>
    <x v="2"/>
    <s v="Lucknow"/>
    <s v="Aditya Verma"/>
    <s v="Aditya Verma"/>
    <x v="0"/>
    <x v="2"/>
    <s v="Apparel"/>
    <s v="Us Polo T-Shirt"/>
    <x v="0"/>
    <s v="Pending"/>
    <n v="27"/>
    <n v="1260"/>
    <n v="0.18"/>
    <n v="770"/>
    <n v="27896.400000000001"/>
    <n v="20790"/>
    <n v="7106.4000000000015"/>
    <n v="0.25474254742547431"/>
  </r>
  <r>
    <x v="33"/>
    <x v="16"/>
    <x v="0"/>
    <d v="1899-12-31T00:00:00"/>
    <x v="2"/>
    <s v="Delhi"/>
    <s v="Rohit Malhotra"/>
    <s v="Rohit Malhotra"/>
    <x v="0"/>
    <x v="1"/>
    <s v="Air Conditioners"/>
    <s v="Voltas 1.5T Inverter Ac"/>
    <x v="0"/>
    <s v="Delivered"/>
    <n v="2"/>
    <n v="36120"/>
    <n v="0.18"/>
    <n v="27540"/>
    <n v="59236.800000000003"/>
    <n v="55080"/>
    <n v="4156.8000000000029"/>
    <n v="7.0172595413661817E-2"/>
  </r>
  <r>
    <x v="34"/>
    <x v="16"/>
    <x v="0"/>
    <d v="1899-12-31T00:00:00"/>
    <x v="3"/>
    <s v="Chennai"/>
    <s v="Divya Nair"/>
    <s v="Divya Nair"/>
    <x v="3"/>
    <x v="2"/>
    <s v="Apparel"/>
    <s v="Us Polo T-Shirt"/>
    <x v="0"/>
    <s v="Pending"/>
    <n v="14"/>
    <n v="1220"/>
    <n v="0.05"/>
    <n v="930"/>
    <n v="16226"/>
    <n v="13020"/>
    <n v="3206"/>
    <n v="0.19758412424503882"/>
  </r>
  <r>
    <x v="35"/>
    <x v="16"/>
    <x v="0"/>
    <d v="1899-12-31T00:00:00"/>
    <x v="0"/>
    <s v="Pune"/>
    <s v="Prateek Shah"/>
    <s v="Prateek Shah"/>
    <x v="0"/>
    <x v="4"/>
    <s v="Activewear"/>
    <s v="Puma Track Pants"/>
    <x v="2"/>
    <s v="Delivered"/>
    <n v="23"/>
    <n v="1670"/>
    <n v="0.15"/>
    <n v="1260"/>
    <n v="32648.5"/>
    <n v="28980"/>
    <n v="3668.5"/>
    <n v="0.11236350827756252"/>
  </r>
  <r>
    <x v="36"/>
    <x v="17"/>
    <x v="0"/>
    <d v="1899-12-31T00:00:00"/>
    <x v="0"/>
    <s v="Surat"/>
    <s v="Imran Sheikh"/>
    <s v="Imran Sheikh"/>
    <x v="0"/>
    <x v="0"/>
    <s v="Laptops"/>
    <s v="Hp Pavilion 15"/>
    <x v="2"/>
    <s v="Shipped"/>
    <n v="4"/>
    <n v="65160"/>
    <n v="0"/>
    <n v="51390"/>
    <n v="260640"/>
    <n v="205560"/>
    <n v="55080"/>
    <n v="0.21132596685082872"/>
  </r>
  <r>
    <x v="37"/>
    <x v="17"/>
    <x v="0"/>
    <d v="1899-12-31T00:00:00"/>
    <x v="0"/>
    <s v="Surat"/>
    <s v="Imran Sheikh"/>
    <s v="Imran Sheikh"/>
    <x v="0"/>
    <x v="1"/>
    <s v="Refrigerators"/>
    <s v="Samsung 192L Single Door"/>
    <x v="1"/>
    <s v="Delivered"/>
    <n v="1"/>
    <n v="15200"/>
    <n v="0"/>
    <n v="11670"/>
    <n v="15200"/>
    <n v="11670"/>
    <n v="3530"/>
    <n v="0.23223684210526316"/>
  </r>
  <r>
    <x v="38"/>
    <x v="17"/>
    <x v="0"/>
    <d v="1899-12-31T00:00:00"/>
    <x v="3"/>
    <s v="Hyderabad"/>
    <s v="Divya Nair"/>
    <s v="Divya Nair"/>
    <x v="0"/>
    <x v="0"/>
    <s v="Televisions"/>
    <s v="Mi Tv 5X 43 Inch"/>
    <x v="1"/>
    <s v="Returned"/>
    <n v="4"/>
    <n v="34040"/>
    <n v="0.1"/>
    <n v="22450"/>
    <n v="122544"/>
    <n v="89800"/>
    <n v="32744"/>
    <n v="0.26720198459328892"/>
  </r>
  <r>
    <x v="39"/>
    <x v="17"/>
    <x v="0"/>
    <d v="1899-12-31T00:00:00"/>
    <x v="1"/>
    <s v="Guwahati"/>
    <s v="Sourav Das"/>
    <s v="Sourav Das"/>
    <x v="0"/>
    <x v="4"/>
    <s v="Fitness Equipment"/>
    <s v="Adjustable Dumbbell Set 10Kg"/>
    <x v="0"/>
    <s v="Pending"/>
    <n v="29"/>
    <n v="2440"/>
    <n v="0.08"/>
    <n v="1790"/>
    <n v="65099.200000000004"/>
    <n v="51910"/>
    <n v="13189.200000000004"/>
    <n v="0.20260156806842486"/>
  </r>
  <r>
    <x v="40"/>
    <x v="18"/>
    <x v="0"/>
    <d v="1899-12-31T00:00:00"/>
    <x v="2"/>
    <s v="Chandigarh"/>
    <s v="Simran    Kaur"/>
    <s v="Simran Kaur"/>
    <x v="1"/>
    <x v="1"/>
    <s v="Air Conditioners"/>
    <s v="Daikin 1.5T Split Ac"/>
    <x v="1"/>
    <s v="Delivered"/>
    <n v="8"/>
    <n v="40410"/>
    <n v="0.08"/>
    <n v="24830"/>
    <n v="297417.60000000003"/>
    <n v="198640"/>
    <n v="98777.600000000035"/>
    <n v="0.33211753440280611"/>
  </r>
  <r>
    <x v="41"/>
    <x v="18"/>
    <x v="0"/>
    <d v="1899-12-31T00:00:00"/>
    <x v="2"/>
    <s v="Chandigarh"/>
    <s v="Aditya Verma"/>
    <s v="Aditya Verma"/>
    <x v="2"/>
    <x v="2"/>
    <s v="Accessories"/>
    <s v="Wildcraft 35L Backpack"/>
    <x v="0"/>
    <s v="Delivered"/>
    <n v="14"/>
    <n v="1850"/>
    <n v="0.18"/>
    <n v="1450"/>
    <n v="21238"/>
    <n v="20300"/>
    <n v="938"/>
    <n v="4.4166117336849046E-2"/>
  </r>
  <r>
    <x v="42"/>
    <x v="19"/>
    <x v="0"/>
    <d v="1899-12-31T00:00:00"/>
    <x v="4"/>
    <s v="Jabalpur"/>
    <s v="Manish Tiwari"/>
    <s v="Manish Tiwari"/>
    <x v="3"/>
    <x v="0"/>
    <s v="Audio Devices"/>
    <s v="Sony Wh-Ch720N"/>
    <x v="1"/>
    <s v="Delivered"/>
    <n v="20"/>
    <n v="8300"/>
    <n v="0.12"/>
    <n v="5350"/>
    <n v="146080"/>
    <n v="107000"/>
    <n v="39080"/>
    <n v="0.26752464403066811"/>
  </r>
  <r>
    <x v="43"/>
    <x v="20"/>
    <x v="0"/>
    <d v="1899-12-31T00:00:00"/>
    <x v="0"/>
    <s v="Ahmedabad"/>
    <s v="Prateek Shah"/>
    <s v="Prateek Shah"/>
    <x v="0"/>
    <x v="3"/>
    <s v="Office Chairs"/>
    <s v="Green Soul Ergonomic Chair"/>
    <x v="0"/>
    <s v="Delivered"/>
    <n v="4"/>
    <n v="12180"/>
    <n v="0.15"/>
    <n v="8650"/>
    <n v="41412"/>
    <n v="34600"/>
    <n v="6812"/>
    <n v="0.16449338356032067"/>
  </r>
  <r>
    <x v="44"/>
    <x v="20"/>
    <x v="0"/>
    <d v="1899-12-31T00:00:00"/>
    <x v="3"/>
    <s v="Chennai"/>
    <s v="Karthik Raman"/>
    <s v="Karthik Raman"/>
    <x v="3"/>
    <x v="0"/>
    <s v="Laptops"/>
    <s v="Hp Pavilion 15"/>
    <x v="0"/>
    <s v="Delivered"/>
    <n v="2"/>
    <n v="61050"/>
    <n v="0"/>
    <n v="45280"/>
    <n v="122100"/>
    <n v="90560"/>
    <n v="31540"/>
    <n v="0.25831285831285833"/>
  </r>
  <r>
    <x v="45"/>
    <x v="21"/>
    <x v="0"/>
    <d v="1899-12-31T00:00:00"/>
    <x v="3"/>
    <s v="Kochi"/>
    <s v="Divya Nair"/>
    <s v="Divya Nair"/>
    <x v="0"/>
    <x v="2"/>
    <s v="Apparel"/>
    <s v="Us Polo T-Shirt"/>
    <x v="1"/>
    <s v="Delivered"/>
    <n v="35"/>
    <n v="1290"/>
    <n v="0.1"/>
    <n v="750"/>
    <n v="40635"/>
    <n v="26250"/>
    <n v="14385"/>
    <n v="0.35400516795865633"/>
  </r>
  <r>
    <x v="46"/>
    <x v="22"/>
    <x v="0"/>
    <d v="1900-01-01T00:00:00"/>
    <x v="3"/>
    <s v="Chennai"/>
    <s v="Divya Nair"/>
    <s v="Divya Nair"/>
    <x v="2"/>
    <x v="0"/>
    <s v="Mobile Phones"/>
    <s v="Redmi Note 14"/>
    <x v="0"/>
    <s v="Delivered"/>
    <n v="6"/>
    <n v="18340"/>
    <n v="0"/>
    <n v="10960"/>
    <n v="110040"/>
    <n v="65760"/>
    <n v="44280"/>
    <n v="0.40239912758996726"/>
  </r>
  <r>
    <x v="47"/>
    <x v="22"/>
    <x v="0"/>
    <d v="1900-01-01T00:00:00"/>
    <x v="1"/>
    <s v="Patna"/>
    <s v="Sourav Das"/>
    <s v="Sourav Das"/>
    <x v="3"/>
    <x v="1"/>
    <s v="Air Conditioners"/>
    <s v="Voltas 1.5T Inverter Ac"/>
    <x v="0"/>
    <s v="Pending"/>
    <n v="7"/>
    <n v="35270"/>
    <n v="0.15"/>
    <n v="20800"/>
    <n v="209856.5"/>
    <n v="145600"/>
    <n v="64256.5"/>
    <n v="0.30619256491936159"/>
  </r>
  <r>
    <x v="48"/>
    <x v="22"/>
    <x v="0"/>
    <d v="1900-01-01T00:00:00"/>
    <x v="3"/>
    <s v="Coimbatore"/>
    <s v="Anjali Menon"/>
    <s v="Anjali Menon"/>
    <x v="0"/>
    <x v="0"/>
    <s v="Audio Devices"/>
    <s v="Boat Airdopes 141"/>
    <x v="2"/>
    <s v="Delivered"/>
    <n v="35"/>
    <n v="1720"/>
    <n v="0.12"/>
    <n v="1200"/>
    <n v="52976"/>
    <n v="42000"/>
    <n v="10976"/>
    <n v="0.20718816067653276"/>
  </r>
  <r>
    <x v="49"/>
    <x v="23"/>
    <x v="0"/>
    <d v="1900-01-01T00:00:00"/>
    <x v="3"/>
    <s v="Kochi"/>
    <s v="Anjali Menon"/>
    <s v="Anjali Menon"/>
    <x v="0"/>
    <x v="0"/>
    <s v="Laptops"/>
    <s v="Dell Inspiron 3520"/>
    <x v="2"/>
    <s v="Delivered"/>
    <n v="4"/>
    <n v="55710"/>
    <n v="0.18"/>
    <n v="32900"/>
    <n v="182728.80000000002"/>
    <n v="131600"/>
    <n v="51128.800000000017"/>
    <n v="0.27980701454833617"/>
  </r>
  <r>
    <x v="50"/>
    <x v="23"/>
    <x v="0"/>
    <d v="1900-01-01T00:00:00"/>
    <x v="0"/>
    <s v="Mumbai"/>
    <s v="Neha Deshpande"/>
    <s v="Neha Deshpande"/>
    <x v="0"/>
    <x v="1"/>
    <s v="Refrigerators"/>
    <s v="Lg 260L Double Door"/>
    <x v="2"/>
    <s v="Pending"/>
    <n v="6"/>
    <n v="27990"/>
    <n v="0"/>
    <n v="18930"/>
    <n v="167940"/>
    <n v="113580"/>
    <n v="54360"/>
    <n v="0.3236870310825295"/>
  </r>
  <r>
    <x v="51"/>
    <x v="23"/>
    <x v="0"/>
    <d v="1900-01-01T00:00:00"/>
    <x v="1"/>
    <s v="Siliguri"/>
    <s v="Ritika Ghosh"/>
    <s v="Ritika Ghosh"/>
    <x v="3"/>
    <x v="3"/>
    <s v="Storage"/>
    <s v="Metal Shoe Rack"/>
    <x v="2"/>
    <s v="Returned"/>
    <n v="18"/>
    <n v="3650"/>
    <n v="0.15"/>
    <n v="2720"/>
    <n v="55845"/>
    <n v="48960"/>
    <n v="6885"/>
    <n v="0.12328767123287671"/>
  </r>
  <r>
    <x v="52"/>
    <x v="24"/>
    <x v="0"/>
    <d v="1900-01-01T00:00:00"/>
    <x v="0"/>
    <s v="Surat"/>
    <s v="Imran Sheikh"/>
    <s v="Imran Sheikh"/>
    <x v="0"/>
    <x v="1"/>
    <s v="Kitchen Appliances"/>
    <s v="Philips Air Fryer"/>
    <x v="2"/>
    <s v="Delivered"/>
    <n v="14"/>
    <n v="9750"/>
    <n v="0.08"/>
    <n v="6790"/>
    <n v="125580"/>
    <n v="95060"/>
    <n v="30520"/>
    <n v="0.24303232998885171"/>
  </r>
  <r>
    <x v="53"/>
    <x v="25"/>
    <x v="0"/>
    <d v="1900-01-01T00:00:00"/>
    <x v="4"/>
    <s v="Gwalior"/>
    <s v="Manish Tiwari"/>
    <s v="Manish Tiwari"/>
    <x v="0"/>
    <x v="0"/>
    <s v="Mobile Phones"/>
    <s v="Samsung Galaxy M35"/>
    <x v="1"/>
    <s v="Pending"/>
    <n v="7"/>
    <n v="21360"/>
    <n v="0"/>
    <n v="14570"/>
    <n v="149520"/>
    <n v="101990"/>
    <n v="47530"/>
    <n v="0.31788389513108617"/>
  </r>
  <r>
    <x v="54"/>
    <x v="26"/>
    <x v="0"/>
    <d v="1900-01-01T00:00:00"/>
    <x v="3"/>
    <s v="Kochi"/>
    <s v="Anjali Menon"/>
    <s v="Anjali Menon"/>
    <x v="3"/>
    <x v="0"/>
    <s v="Audio Devices"/>
    <s v="Sony Wh-Ch720N"/>
    <x v="1"/>
    <s v="Returned"/>
    <n v="17"/>
    <n v="8910"/>
    <n v="0.05"/>
    <n v="6350"/>
    <n v="143896.5"/>
    <n v="107950"/>
    <n v="35946.5"/>
    <n v="0.2498080217378463"/>
  </r>
  <r>
    <x v="55"/>
    <x v="26"/>
    <x v="0"/>
    <d v="1900-01-01T00:00:00"/>
    <x v="0"/>
    <s v="Pune"/>
    <s v="Neha Deshpande"/>
    <s v="Neha Deshpande"/>
    <x v="3"/>
    <x v="2"/>
    <s v="Accessories"/>
    <s v="Wildcraft 35L Backpack"/>
    <x v="1"/>
    <s v="Pending"/>
    <n v="26"/>
    <n v="1950"/>
    <n v="0.05"/>
    <n v="1430"/>
    <n v="48165"/>
    <n v="37180"/>
    <n v="10985"/>
    <n v="0.22807017543859648"/>
  </r>
  <r>
    <x v="56"/>
    <x v="27"/>
    <x v="0"/>
    <d v="1900-01-01T00:00:00"/>
    <x v="3"/>
    <s v="Coimbatore"/>
    <s v="Divya Nair"/>
    <s v="Divya Nair"/>
    <x v="0"/>
    <x v="3"/>
    <s v="Sofas"/>
    <s v="Single Seater Recliner"/>
    <x v="2"/>
    <s v="Delivered"/>
    <n v="3"/>
    <n v="48550"/>
    <n v="0"/>
    <n v="34160"/>
    <n v="145650"/>
    <n v="102480"/>
    <n v="43170"/>
    <n v="0.29639546858908344"/>
  </r>
  <r>
    <x v="57"/>
    <x v="28"/>
    <x v="0"/>
    <d v="1900-01-01T00:00:00"/>
    <x v="2"/>
    <s v="Gurugram"/>
    <s v="Aditya      Verma"/>
    <s v="Aditya Verma"/>
    <x v="2"/>
    <x v="2"/>
    <s v="Accessories"/>
    <s v="Fastrack Analog Watch"/>
    <x v="0"/>
    <s v="Delivered"/>
    <n v="27"/>
    <n v="2470"/>
    <n v="0.15"/>
    <n v="1660"/>
    <n v="56686.5"/>
    <n v="44820"/>
    <n v="11866.5"/>
    <n v="0.2093355560847821"/>
  </r>
  <r>
    <x v="58"/>
    <x v="28"/>
    <x v="0"/>
    <d v="1900-01-01T00:00:00"/>
    <x v="0"/>
    <s v="Mumbai"/>
    <s v="Prateek Shah"/>
    <s v="Prateek Shah"/>
    <x v="1"/>
    <x v="2"/>
    <s v="Footwear"/>
    <s v="Nike Revolution 7"/>
    <x v="0"/>
    <s v="Delivered"/>
    <n v="9"/>
    <n v="3960"/>
    <n v="0.05"/>
    <n v="2580"/>
    <n v="33858"/>
    <n v="23220"/>
    <n v="10638"/>
    <n v="0.31419457735247208"/>
  </r>
  <r>
    <x v="59"/>
    <x v="29"/>
    <x v="0"/>
    <d v="1900-01-01T00:00:00"/>
    <x v="0"/>
    <s v="Surat"/>
    <s v="Prateek Shah"/>
    <s v="Prateek Shah"/>
    <x v="0"/>
    <x v="0"/>
    <s v="Laptops"/>
    <s v="Macbook Air M3"/>
    <x v="1"/>
    <s v="Delivered"/>
    <n v="2"/>
    <n v="101570"/>
    <n v="0.08"/>
    <n v="72550"/>
    <n v="186888.80000000002"/>
    <n v="145100"/>
    <n v="41788.800000000017"/>
    <n v="0.22360248447204975"/>
  </r>
  <r>
    <x v="60"/>
    <x v="30"/>
    <x v="0"/>
    <d v="1900-01-01T00:00:00"/>
    <x v="1"/>
    <s v="Kolkata"/>
    <s v="Sourav Das"/>
    <s v="Sourav Das"/>
    <x v="0"/>
    <x v="4"/>
    <s v="Sports Gear"/>
    <s v="Sg Cricket Bat English Willow"/>
    <x v="2"/>
    <s v="Pending"/>
    <n v="13"/>
    <n v="4570"/>
    <n v="0.2"/>
    <n v="3570"/>
    <n v="47528"/>
    <n v="46410"/>
    <n v="1118"/>
    <n v="2.3522975929978117E-2"/>
  </r>
  <r>
    <x v="61"/>
    <x v="31"/>
    <x v="0"/>
    <d v="1900-01-01T00:00:00"/>
    <x v="0"/>
    <s v="Surat"/>
    <s v="Neha Deshpande"/>
    <s v="Neha Deshpande"/>
    <x v="2"/>
    <x v="0"/>
    <s v="Audio Devices"/>
    <s v="Sony Wh-Ch720N"/>
    <x v="2"/>
    <s v="Delivered"/>
    <n v="15"/>
    <n v="8460"/>
    <n v="0.08"/>
    <n v="6380"/>
    <n v="116748"/>
    <n v="95700"/>
    <n v="21048"/>
    <n v="0.18028574365299618"/>
  </r>
  <r>
    <x v="62"/>
    <x v="31"/>
    <x v="0"/>
    <d v="1900-01-01T00:00:00"/>
    <x v="2"/>
    <s v="Gurugram"/>
    <s v="Simran Kaur"/>
    <s v="Simran Kaur"/>
    <x v="3"/>
    <x v="0"/>
    <s v="Audio Devices"/>
    <s v="Boat Airdopes 141"/>
    <x v="1"/>
    <s v="Delivered"/>
    <n v="67"/>
    <n v="1770"/>
    <n v="0.18"/>
    <n v="1170"/>
    <n v="97243.8"/>
    <n v="78390"/>
    <n v="18853.800000000003"/>
    <n v="0.19388176932616785"/>
  </r>
  <r>
    <x v="63"/>
    <x v="31"/>
    <x v="0"/>
    <d v="1900-01-01T00:00:00"/>
    <x v="3"/>
    <s v="Chennai"/>
    <s v="Divya Nair"/>
    <s v="Divya Nair"/>
    <x v="0"/>
    <x v="2"/>
    <s v="Accessories"/>
    <s v="Fastrack Analog Watch"/>
    <x v="2"/>
    <s v="Delivered"/>
    <n v="14"/>
    <n v="2510"/>
    <n v="0.25"/>
    <n v="1690"/>
    <n v="26355"/>
    <n v="23660"/>
    <n v="2695"/>
    <n v="0.10225763612217796"/>
  </r>
  <r>
    <x v="64"/>
    <x v="32"/>
    <x v="0"/>
    <d v="1900-01-01T00:00:00"/>
    <x v="4"/>
    <s v="Gwalior"/>
    <s v="Manish Tiwari"/>
    <s v="Manish Tiwari"/>
    <x v="3"/>
    <x v="2"/>
    <s v="Apparel"/>
    <s v="Allen Solly Formal Shirt"/>
    <x v="1"/>
    <s v="Delivered"/>
    <n v="16"/>
    <n v="1850"/>
    <n v="0"/>
    <n v="1210"/>
    <n v="29600"/>
    <n v="19360"/>
    <n v="10240"/>
    <n v="0.34594594594594597"/>
  </r>
  <r>
    <x v="65"/>
    <x v="32"/>
    <x v="0"/>
    <d v="1900-01-01T00:00:00"/>
    <x v="0"/>
    <s v="Nashik"/>
    <s v="Prateek Shah"/>
    <s v="Prateek Shah"/>
    <x v="3"/>
    <x v="2"/>
    <s v="Accessories"/>
    <s v="Wildcraft 35L Backpack"/>
    <x v="2"/>
    <s v="Delivered"/>
    <n v="29"/>
    <n v="1830"/>
    <n v="0.05"/>
    <n v="1060"/>
    <n v="50416.5"/>
    <n v="30740"/>
    <n v="19676.5"/>
    <n v="0.39027897612884671"/>
  </r>
  <r>
    <x v="66"/>
    <x v="32"/>
    <x v="0"/>
    <d v="1900-01-01T00:00:00"/>
    <x v="4"/>
    <s v="Ujjain"/>
    <s v="Manish Tiwari"/>
    <s v="Manish Tiwari"/>
    <x v="1"/>
    <x v="3"/>
    <s v="Storage"/>
    <s v="Metal Shoe Rack"/>
    <x v="0"/>
    <s v="Delivered"/>
    <n v="17"/>
    <n v="3640"/>
    <n v="0.2"/>
    <n v="2840"/>
    <n v="49504"/>
    <n v="48280"/>
    <n v="1224"/>
    <n v="2.4725274725274724E-2"/>
  </r>
  <r>
    <x v="67"/>
    <x v="33"/>
    <x v="0"/>
    <d v="1900-01-01T00:00:00"/>
    <x v="3"/>
    <s v="Bengaluru"/>
    <s v="Karthik Raman"/>
    <s v="Karthik Raman"/>
    <x v="1"/>
    <x v="3"/>
    <s v="Storage"/>
    <s v="Metal Shoe Rack"/>
    <x v="1"/>
    <s v="Delivered"/>
    <n v="29"/>
    <n v="3660"/>
    <n v="0.18"/>
    <n v="2520"/>
    <n v="87034.8"/>
    <n v="73080"/>
    <n v="13954.800000000003"/>
    <n v="0.16033586565373853"/>
  </r>
  <r>
    <x v="68"/>
    <x v="34"/>
    <x v="0"/>
    <d v="1900-01-01T00:00:00"/>
    <x v="0"/>
    <s v="Mumbai"/>
    <s v="Neha         Deshpande"/>
    <s v="Neha Deshpande"/>
    <x v="0"/>
    <x v="4"/>
    <s v="Sports Gear"/>
    <s v="Yonex Badminton Racket"/>
    <x v="1"/>
    <s v="Delivered"/>
    <n v="8"/>
    <n v="3070"/>
    <n v="0.18"/>
    <n v="2260"/>
    <n v="20139.2"/>
    <n v="18080"/>
    <n v="2059.2000000000007"/>
    <n v="0.10224835147374278"/>
  </r>
  <r>
    <x v="69"/>
    <x v="34"/>
    <x v="0"/>
    <d v="1900-01-01T00:00:00"/>
    <x v="2"/>
    <s v="Delhi"/>
    <s v="Rohit Malhotra"/>
    <s v="Rohit Malhotra"/>
    <x v="3"/>
    <x v="2"/>
    <s v="Accessories"/>
    <s v="Wildcraft 35L Backpack"/>
    <x v="0"/>
    <s v="Pending"/>
    <n v="17"/>
    <n v="1820"/>
    <n v="0.2"/>
    <n v="1210"/>
    <n v="24752"/>
    <n v="20570"/>
    <n v="4182"/>
    <n v="0.16895604395604397"/>
  </r>
  <r>
    <x v="70"/>
    <x v="34"/>
    <x v="0"/>
    <d v="1900-01-01T00:00:00"/>
    <x v="0"/>
    <s v="Ahmedabad"/>
    <s v="Prateek Shah"/>
    <s v="Prateek Shah"/>
    <x v="2"/>
    <x v="0"/>
    <s v="Audio Devices"/>
    <s v="Sony Wh-Ch720N"/>
    <x v="1"/>
    <s v="Delivered"/>
    <n v="6"/>
    <n v="8880"/>
    <n v="0"/>
    <n v="6530"/>
    <n v="53280"/>
    <n v="39180"/>
    <n v="14100"/>
    <n v="0.26463963963963966"/>
  </r>
  <r>
    <x v="71"/>
    <x v="34"/>
    <x v="0"/>
    <d v="1900-01-01T00:00:00"/>
    <x v="3"/>
    <s v="Coimbatore"/>
    <s v="Karthik Raman"/>
    <s v="Karthik Raman"/>
    <x v="1"/>
    <x v="3"/>
    <s v="Tables"/>
    <s v="Study Table Engineered Wood"/>
    <x v="2"/>
    <s v="Delivered"/>
    <n v="6"/>
    <n v="9040"/>
    <n v="0"/>
    <n v="5770"/>
    <n v="54240"/>
    <n v="34620"/>
    <n v="19620"/>
    <n v="0.36172566371681414"/>
  </r>
  <r>
    <x v="72"/>
    <x v="35"/>
    <x v="0"/>
    <d v="1900-01-01T00:00:00"/>
    <x v="3"/>
    <s v="Kochi"/>
    <s v="Divya Nair"/>
    <s v="Divya Nair"/>
    <x v="1"/>
    <x v="1"/>
    <s v="Kitchen Appliances"/>
    <s v="Prestige Mixer Grinder"/>
    <x v="1"/>
    <s v="Delivered"/>
    <n v="30"/>
    <n v="4850"/>
    <n v="0.12"/>
    <n v="3370"/>
    <n v="128040"/>
    <n v="101100"/>
    <n v="26940"/>
    <n v="0.21040299906279289"/>
  </r>
  <r>
    <x v="73"/>
    <x v="36"/>
    <x v="0"/>
    <d v="1900-01-01T00:00:00"/>
    <x v="0"/>
    <s v="Nashik"/>
    <s v="Imran Sheikh"/>
    <s v="Imran Sheikh"/>
    <x v="2"/>
    <x v="3"/>
    <s v="Office Chairs"/>
    <s v="Green Soul Ergonomic Chair"/>
    <x v="2"/>
    <s v="Delivered"/>
    <n v="8"/>
    <n v="12580"/>
    <n v="0.08"/>
    <n v="7360"/>
    <n v="92588.800000000003"/>
    <n v="58880"/>
    <n v="33708.800000000003"/>
    <n v="0.36406995230524647"/>
  </r>
  <r>
    <x v="74"/>
    <x v="36"/>
    <x v="0"/>
    <d v="1900-01-01T00:00:00"/>
    <x v="3"/>
    <s v="Kochi"/>
    <s v="Anjali Menon"/>
    <s v="Anjali Menon"/>
    <x v="3"/>
    <x v="0"/>
    <s v="Laptops"/>
    <s v="Dell Inspiron 3520"/>
    <x v="2"/>
    <s v="Delivered"/>
    <n v="2"/>
    <n v="53630"/>
    <n v="0"/>
    <n v="37420"/>
    <n v="107260"/>
    <n v="74840"/>
    <n v="32420"/>
    <n v="0.3022561998881223"/>
  </r>
  <r>
    <x v="75"/>
    <x v="36"/>
    <x v="0"/>
    <d v="1900-01-01T00:00:00"/>
    <x v="0"/>
    <s v="Surat"/>
    <s v="Neha Deshpande"/>
    <s v="Neha Deshpande"/>
    <x v="1"/>
    <x v="3"/>
    <s v="Sofas"/>
    <s v="Single Seater Recliner"/>
    <x v="2"/>
    <s v="Delivered"/>
    <n v="3"/>
    <n v="43420"/>
    <n v="0.12"/>
    <n v="33750"/>
    <n v="114628.8"/>
    <n v="101250"/>
    <n v="13378.800000000003"/>
    <n v="0.11671412419915417"/>
  </r>
  <r>
    <x v="76"/>
    <x v="37"/>
    <x v="0"/>
    <d v="1900-01-01T00:00:00"/>
    <x v="3"/>
    <s v="Chennai"/>
    <s v="Anjali Menon"/>
    <s v="Anjali Menon"/>
    <x v="1"/>
    <x v="0"/>
    <s v="Mobile Phones"/>
    <s v="Iphone 15"/>
    <x v="2"/>
    <s v="Returned"/>
    <n v="6"/>
    <n v="68440"/>
    <n v="0.18"/>
    <n v="54040"/>
    <n v="336724.80000000005"/>
    <n v="324240"/>
    <n v="12484.800000000047"/>
    <n v="3.7077162121709022E-2"/>
  </r>
  <r>
    <x v="77"/>
    <x v="37"/>
    <x v="0"/>
    <d v="1900-01-01T00:00:00"/>
    <x v="3"/>
    <s v="Coimbatore"/>
    <s v="Divya Nair"/>
    <s v="Divya Nair"/>
    <x v="0"/>
    <x v="0"/>
    <s v="Mobile Phones"/>
    <s v="Iphone 15"/>
    <x v="0"/>
    <s v="Shipped"/>
    <n v="4"/>
    <n v="72520"/>
    <n v="0.1"/>
    <n v="56120"/>
    <n v="261072"/>
    <n v="224480"/>
    <n v="36592"/>
    <n v="0.14016056873199731"/>
  </r>
  <r>
    <x v="78"/>
    <x v="37"/>
    <x v="0"/>
    <d v="1900-01-01T00:00:00"/>
    <x v="1"/>
    <s v="Ranchi"/>
    <s v="Sourav Das"/>
    <s v="Sourav Das"/>
    <x v="0"/>
    <x v="2"/>
    <s v="Accessories"/>
    <s v="Wildcraft 35L Backpack"/>
    <x v="1"/>
    <s v="Delivered"/>
    <n v="26"/>
    <n v="1920"/>
    <n v="0.25"/>
    <n v="1230"/>
    <n v="37440"/>
    <n v="31980"/>
    <n v="5460"/>
    <n v="0.14583333333333334"/>
  </r>
  <r>
    <x v="79"/>
    <x v="37"/>
    <x v="0"/>
    <d v="1900-01-01T00:00:00"/>
    <x v="4"/>
    <s v="Bhopal"/>
    <s v="Pooja Chouhan"/>
    <s v="Pooja Chouhan"/>
    <x v="0"/>
    <x v="0"/>
    <s v="Audio Devices"/>
    <s v="Boat Airdopes 141"/>
    <x v="2"/>
    <s v="Returned"/>
    <n v="5"/>
    <n v="1930"/>
    <n v="0.15"/>
    <n v="1150"/>
    <n v="8202.5"/>
    <n v="5750"/>
    <n v="2452.5"/>
    <n v="0.29899420908259677"/>
  </r>
  <r>
    <x v="80"/>
    <x v="38"/>
    <x v="0"/>
    <d v="1900-01-01T00:00:00"/>
    <x v="3"/>
    <s v="Bengaluru"/>
    <s v="Divya Nair"/>
    <s v="Divya Nair"/>
    <x v="0"/>
    <x v="0"/>
    <s v="Mobile Phones"/>
    <s v="Redmi Note 14"/>
    <x v="2"/>
    <s v="Returned"/>
    <n v="7"/>
    <n v="17430"/>
    <n v="0.05"/>
    <n v="12680"/>
    <n v="115909.5"/>
    <n v="88760"/>
    <n v="27149.5"/>
    <n v="0.23423015369749675"/>
  </r>
  <r>
    <x v="81"/>
    <x v="38"/>
    <x v="0"/>
    <d v="1900-01-01T00:00:00"/>
    <x v="3"/>
    <s v="Coimbatore"/>
    <s v="Divya Nair"/>
    <s v="Divya Nair"/>
    <x v="0"/>
    <x v="4"/>
    <s v="Sports Gear"/>
    <s v="Yonex Badminton Racket"/>
    <x v="1"/>
    <s v="Delivered"/>
    <n v="7"/>
    <n v="3380"/>
    <n v="0.08"/>
    <n v="2180"/>
    <n v="21767.200000000001"/>
    <n v="15260"/>
    <n v="6507.2000000000007"/>
    <n v="0.29894520195523544"/>
  </r>
  <r>
    <x v="82"/>
    <x v="39"/>
    <x v="0"/>
    <d v="1900-01-01T00:00:00"/>
    <x v="2"/>
    <s v="Gurugram"/>
    <s v="Rohit Malhotra"/>
    <s v="Rohit Malhotra"/>
    <x v="2"/>
    <x v="2"/>
    <s v="Accessories"/>
    <s v="Fastrack Analog Watch"/>
    <x v="2"/>
    <s v="Delivered"/>
    <n v="32"/>
    <n v="2480"/>
    <n v="0.18"/>
    <n v="1520"/>
    <n v="65075.200000000004"/>
    <n v="48640"/>
    <n v="16435.200000000004"/>
    <n v="0.25255704169944931"/>
  </r>
  <r>
    <x v="83"/>
    <x v="39"/>
    <x v="0"/>
    <d v="1900-01-01T00:00:00"/>
    <x v="1"/>
    <s v="Bhubaneswar"/>
    <s v="Ritika Ghosh"/>
    <s v="Ritika Ghosh"/>
    <x v="1"/>
    <x v="1"/>
    <s v="Washing Machines"/>
    <s v="Ifb Front Load 7Kg"/>
    <x v="1"/>
    <s v="Delivered"/>
    <n v="2"/>
    <n v="34100"/>
    <n v="0.12"/>
    <n v="26210"/>
    <n v="60016"/>
    <n v="52420"/>
    <n v="7596"/>
    <n v="0.12656624900026658"/>
  </r>
  <r>
    <x v="84"/>
    <x v="39"/>
    <x v="0"/>
    <d v="1900-01-01T00:00:00"/>
    <x v="4"/>
    <s v="Raipur"/>
    <s v="Manish Tiwari"/>
    <s v="Manish Tiwari"/>
    <x v="0"/>
    <x v="2"/>
    <s v="Accessories"/>
    <s v="Wildcraft 35L Backpack"/>
    <x v="0"/>
    <s v="Delivered"/>
    <n v="24"/>
    <n v="1900"/>
    <n v="0.12"/>
    <n v="1410"/>
    <n v="40128"/>
    <n v="33840"/>
    <n v="6288"/>
    <n v="0.15669856459330145"/>
  </r>
  <r>
    <x v="85"/>
    <x v="40"/>
    <x v="0"/>
    <d v="1900-01-01T00:00:00"/>
    <x v="2"/>
    <s v="Chandigarh"/>
    <s v="Aditya Verma"/>
    <s v="Aditya Verma"/>
    <x v="3"/>
    <x v="2"/>
    <s v="Apparel"/>
    <s v="Us Polo T-Shirt"/>
    <x v="1"/>
    <s v="Shipped"/>
    <n v="51"/>
    <n v="1250"/>
    <n v="0"/>
    <n v="920"/>
    <n v="63750"/>
    <n v="46920"/>
    <n v="16830"/>
    <n v="0.26400000000000001"/>
  </r>
  <r>
    <x v="86"/>
    <x v="41"/>
    <x v="0"/>
    <d v="1900-01-01T00:00:00"/>
    <x v="2"/>
    <s v="Chandigarh"/>
    <s v="Aditya Verma"/>
    <s v="Aditya Verma"/>
    <x v="2"/>
    <x v="2"/>
    <s v="Apparel"/>
    <s v="Allen Solly Formal Shirt"/>
    <x v="1"/>
    <s v="Pending"/>
    <n v="5"/>
    <n v="1910"/>
    <n v="0.1"/>
    <n v="1350"/>
    <n v="8595"/>
    <n v="6750"/>
    <n v="1845"/>
    <n v="0.21465968586387435"/>
  </r>
  <r>
    <x v="87"/>
    <x v="41"/>
    <x v="0"/>
    <d v="1900-01-01T00:00:00"/>
    <x v="2"/>
    <s v="Lucknow"/>
    <s v="Aditya Verma"/>
    <s v="Aditya Verma"/>
    <x v="0"/>
    <x v="2"/>
    <s v="Footwear"/>
    <s v="Campus Running Shoes"/>
    <x v="0"/>
    <s v="Delivered"/>
    <n v="25"/>
    <n v="1580"/>
    <n v="0.08"/>
    <n v="920"/>
    <n v="36340"/>
    <n v="23000"/>
    <n v="13340"/>
    <n v="0.36708860759493672"/>
  </r>
  <r>
    <x v="88"/>
    <x v="42"/>
    <x v="0"/>
    <d v="1900-01-01T00:00:00"/>
    <x v="2"/>
    <s v="Delhi"/>
    <s v="Simran Kaur"/>
    <s v="Simran Kaur"/>
    <x v="3"/>
    <x v="1"/>
    <s v="Air Conditioners"/>
    <s v="Voltas 1.5T Inverter Ac"/>
    <x v="2"/>
    <s v="Delivered"/>
    <n v="1"/>
    <n v="34480"/>
    <n v="0.2"/>
    <n v="20300"/>
    <n v="27584"/>
    <n v="20300"/>
    <n v="7284"/>
    <n v="0.26406612529002321"/>
  </r>
  <r>
    <x v="89"/>
    <x v="42"/>
    <x v="0"/>
    <d v="1900-01-01T00:00:00"/>
    <x v="4"/>
    <s v="Raipur"/>
    <s v="Pooja Chouhan"/>
    <s v="Pooja Chouhan"/>
    <x v="3"/>
    <x v="1"/>
    <s v="Refrigerators"/>
    <s v="Samsung 192L Single Door"/>
    <x v="0"/>
    <s v="Pending"/>
    <n v="8"/>
    <n v="15700"/>
    <n v="0.12"/>
    <n v="10550"/>
    <n v="110528"/>
    <n v="84400"/>
    <n v="26128"/>
    <n v="0.23639258830341633"/>
  </r>
  <r>
    <x v="90"/>
    <x v="43"/>
    <x v="0"/>
    <d v="1900-01-01T00:00:00"/>
    <x v="3"/>
    <s v="Visakhapatnam"/>
    <s v="Divya Nair"/>
    <s v="Divya Nair"/>
    <x v="3"/>
    <x v="2"/>
    <s v="Apparel"/>
    <s v="Allen Solly Formal Shirt"/>
    <x v="0"/>
    <s v="Delivered"/>
    <n v="65"/>
    <n v="1900"/>
    <n v="0.1"/>
    <n v="1160"/>
    <n v="111150"/>
    <n v="75400"/>
    <n v="35750"/>
    <n v="0.32163742690058478"/>
  </r>
  <r>
    <x v="91"/>
    <x v="44"/>
    <x v="0"/>
    <d v="1900-01-02T00:00:00"/>
    <x v="3"/>
    <s v="Kochi"/>
    <s v="Divya Nair"/>
    <s v="Divya Nair"/>
    <x v="1"/>
    <x v="2"/>
    <s v="Accessories"/>
    <s v="Fastrack Analog Watch"/>
    <x v="0"/>
    <s v="Delivered"/>
    <n v="27"/>
    <n v="2410"/>
    <n v="0.08"/>
    <n v="1470"/>
    <n v="59864.4"/>
    <n v="39690"/>
    <n v="20174.400000000001"/>
    <n v="0.33700162366949304"/>
  </r>
  <r>
    <x v="92"/>
    <x v="45"/>
    <x v="0"/>
    <d v="1900-01-02T00:00:00"/>
    <x v="3"/>
    <s v="Bengaluru"/>
    <s v="Divya Nair"/>
    <s v="Divya Nair"/>
    <x v="3"/>
    <x v="1"/>
    <s v="Refrigerators"/>
    <s v="Samsung 192L Single Door"/>
    <x v="0"/>
    <s v="Delivered"/>
    <n v="15"/>
    <n v="16990"/>
    <n v="0.1"/>
    <n v="13280"/>
    <n v="229365"/>
    <n v="199200"/>
    <n v="30165"/>
    <n v="0.13151527042050878"/>
  </r>
  <r>
    <x v="93"/>
    <x v="45"/>
    <x v="0"/>
    <d v="1900-01-02T00:00:00"/>
    <x v="0"/>
    <s v="Nagpur"/>
    <s v="Imran Sheikh"/>
    <s v="Imran Sheikh"/>
    <x v="2"/>
    <x v="0"/>
    <s v="Audio Devices"/>
    <s v="Boat Airdopes 141"/>
    <x v="0"/>
    <s v="Delivered"/>
    <n v="4"/>
    <n v="1860"/>
    <n v="0.05"/>
    <n v="1340"/>
    <n v="7068"/>
    <n v="5360"/>
    <n v="1708"/>
    <n v="0.24165251839275609"/>
  </r>
  <r>
    <x v="94"/>
    <x v="45"/>
    <x v="0"/>
    <d v="1900-01-02T00:00:00"/>
    <x v="1"/>
    <s v="Bhubaneswar"/>
    <s v="Ritika Ghosh"/>
    <s v="Ritika Ghosh"/>
    <x v="2"/>
    <x v="0"/>
    <s v="Laptops"/>
    <s v="Macbook Air M3"/>
    <x v="1"/>
    <s v="Delivered"/>
    <n v="3"/>
    <n v="110940"/>
    <n v="0.18"/>
    <n v="81580"/>
    <n v="272912.40000000002"/>
    <n v="244740"/>
    <n v="28172.400000000023"/>
    <n v="0.10322872833920342"/>
  </r>
  <r>
    <x v="95"/>
    <x v="46"/>
    <x v="0"/>
    <d v="1900-01-02T00:00:00"/>
    <x v="4"/>
    <s v="Jabalpur"/>
    <s v="Pooja Chouhan"/>
    <s v="Pooja Chouhan"/>
    <x v="0"/>
    <x v="4"/>
    <s v="Fitness Equipment"/>
    <s v="Adjustable Dumbbell Set 10Kg"/>
    <x v="0"/>
    <s v="Delivered"/>
    <n v="37"/>
    <n v="2450"/>
    <n v="0.05"/>
    <n v="1870"/>
    <n v="86117.5"/>
    <n v="69190"/>
    <n v="16927.5"/>
    <n v="0.19656283566058003"/>
  </r>
  <r>
    <x v="96"/>
    <x v="46"/>
    <x v="0"/>
    <d v="1900-01-02T00:00:00"/>
    <x v="0"/>
    <s v="Nagpur"/>
    <s v="Prateek Shah"/>
    <s v="Prateek Shah"/>
    <x v="3"/>
    <x v="4"/>
    <s v="Activewear"/>
    <s v="Puma Track Pants"/>
    <x v="0"/>
    <s v="Delivered"/>
    <n v="50"/>
    <n v="1660"/>
    <n v="0.05"/>
    <n v="1000"/>
    <n v="78850"/>
    <n v="50000"/>
    <n v="28850"/>
    <n v="0.3658845909955612"/>
  </r>
  <r>
    <x v="97"/>
    <x v="46"/>
    <x v="0"/>
    <d v="1900-01-02T00:00:00"/>
    <x v="1"/>
    <s v="Bhubaneswar"/>
    <s v="Sourav Das"/>
    <s v="Sourav Das"/>
    <x v="3"/>
    <x v="3"/>
    <s v="Sofas"/>
    <s v="Single Seater Recliner"/>
    <x v="1"/>
    <s v="Delivered"/>
    <n v="8"/>
    <n v="46300"/>
    <n v="0.05"/>
    <n v="30860"/>
    <n v="351880"/>
    <n v="246880"/>
    <n v="105000"/>
    <n v="0.29839718085711037"/>
  </r>
  <r>
    <x v="98"/>
    <x v="47"/>
    <x v="0"/>
    <d v="1900-01-02T00:00:00"/>
    <x v="4"/>
    <s v="Gwalior"/>
    <s v="Manish Tiwari"/>
    <s v="Manish Tiwari"/>
    <x v="2"/>
    <x v="1"/>
    <s v="Washing Machines"/>
    <s v="Ifb Front Load 7Kg"/>
    <x v="0"/>
    <s v="Delivered"/>
    <n v="2"/>
    <n v="36680"/>
    <n v="0.08"/>
    <n v="22240"/>
    <n v="67491.199999999997"/>
    <n v="44480"/>
    <n v="23011.199999999997"/>
    <n v="0.34095111659001465"/>
  </r>
  <r>
    <x v="99"/>
    <x v="47"/>
    <x v="0"/>
    <d v="1900-01-02T00:00:00"/>
    <x v="3"/>
    <s v="Kochi"/>
    <s v="Karthik Raman"/>
    <s v="Karthik Raman"/>
    <x v="0"/>
    <x v="2"/>
    <s v="Footwear"/>
    <s v="Campus Running Shoes"/>
    <x v="1"/>
    <s v="Delivered"/>
    <n v="26"/>
    <n v="1540"/>
    <n v="0"/>
    <n v="890"/>
    <n v="40040"/>
    <n v="23140"/>
    <n v="16900"/>
    <n v="0.42207792207792205"/>
  </r>
  <r>
    <x v="100"/>
    <x v="47"/>
    <x v="0"/>
    <d v="1900-01-02T00:00:00"/>
    <x v="4"/>
    <s v="Raipur"/>
    <s v="Pooja Chouhan"/>
    <s v="Pooja Chouhan"/>
    <x v="0"/>
    <x v="4"/>
    <s v="Sports Gear"/>
    <s v="Sg Cricket Bat English Willow"/>
    <x v="2"/>
    <s v="Shipped"/>
    <n v="4"/>
    <n v="4480"/>
    <n v="0.25"/>
    <n v="3150"/>
    <n v="13440"/>
    <n v="12600"/>
    <n v="840"/>
    <n v="6.25E-2"/>
  </r>
  <r>
    <x v="101"/>
    <x v="47"/>
    <x v="0"/>
    <d v="1900-01-02T00:00:00"/>
    <x v="4"/>
    <s v="Raipur"/>
    <s v="Pooja Chouhan"/>
    <s v="Pooja Chouhan"/>
    <x v="0"/>
    <x v="2"/>
    <s v="Footwear"/>
    <s v="Bata Formal Shoes"/>
    <x v="2"/>
    <s v="Delivered"/>
    <n v="18"/>
    <n v="2240"/>
    <n v="0.15"/>
    <n v="1680"/>
    <n v="34272"/>
    <n v="30240"/>
    <n v="4032"/>
    <n v="0.11764705882352941"/>
  </r>
  <r>
    <x v="102"/>
    <x v="48"/>
    <x v="0"/>
    <d v="1900-01-02T00:00:00"/>
    <x v="3"/>
    <s v="Coimbatore"/>
    <s v="Anjali Menon"/>
    <s v="Anjali Menon"/>
    <x v="2"/>
    <x v="3"/>
    <s v="Storage"/>
    <s v="3-Door Wardrobe"/>
    <x v="2"/>
    <s v="Pending"/>
    <n v="4"/>
    <n v="29680"/>
    <n v="0.08"/>
    <n v="22840"/>
    <n v="109222.40000000001"/>
    <n v="91360"/>
    <n v="17862.400000000009"/>
    <n v="0.16354154459158568"/>
  </r>
  <r>
    <x v="103"/>
    <x v="48"/>
    <x v="0"/>
    <d v="1900-01-02T00:00:00"/>
    <x v="2"/>
    <s v="Lucknow"/>
    <s v="Rohit Malhotra"/>
    <s v="Rohit Malhotra"/>
    <x v="0"/>
    <x v="3"/>
    <s v="Tables"/>
    <s v="6-Seater Dining Table"/>
    <x v="1"/>
    <s v="Delivered"/>
    <n v="4"/>
    <n v="25750"/>
    <n v="0.1"/>
    <n v="15550"/>
    <n v="92700"/>
    <n v="62200"/>
    <n v="30500"/>
    <n v="0.32901833872707659"/>
  </r>
  <r>
    <x v="104"/>
    <x v="48"/>
    <x v="0"/>
    <d v="1900-01-02T00:00:00"/>
    <x v="0"/>
    <s v="Ahmedabad"/>
    <s v="Imran Sheikh"/>
    <s v="Imran Sheikh"/>
    <x v="0"/>
    <x v="0"/>
    <s v="Audio Devices"/>
    <s v="Sony Wh-Ch720N"/>
    <x v="2"/>
    <s v="Delivered"/>
    <n v="4"/>
    <n v="9000"/>
    <n v="0.08"/>
    <n v="5060"/>
    <n v="33120"/>
    <n v="20240"/>
    <n v="12880"/>
    <n v="0.3888888888888889"/>
  </r>
  <r>
    <x v="105"/>
    <x v="48"/>
    <x v="0"/>
    <d v="1900-01-02T00:00:00"/>
    <x v="3"/>
    <s v="Visakhapatnam"/>
    <s v="Anjali Menon"/>
    <s v="Anjali Menon"/>
    <x v="3"/>
    <x v="2"/>
    <s v="Apparel"/>
    <s v="Allen Solly Formal Shirt"/>
    <x v="2"/>
    <s v="Delivered"/>
    <n v="43"/>
    <n v="1840"/>
    <n v="0.1"/>
    <n v="1180"/>
    <n v="71208"/>
    <n v="50740"/>
    <n v="20468"/>
    <n v="0.28743961352657005"/>
  </r>
  <r>
    <x v="106"/>
    <x v="49"/>
    <x v="0"/>
    <d v="1900-01-02T00:00:00"/>
    <x v="1"/>
    <s v="Kolkata"/>
    <s v="Sourav Das"/>
    <s v="Sourav Das"/>
    <x v="3"/>
    <x v="1"/>
    <s v="Air Conditioners"/>
    <s v="Daikin 1.5T Split Ac"/>
    <x v="1"/>
    <s v="Delivered"/>
    <n v="3"/>
    <n v="43530"/>
    <n v="0"/>
    <n v="31840"/>
    <n v="130590"/>
    <n v="95520"/>
    <n v="35070"/>
    <n v="0.26855042499425685"/>
  </r>
  <r>
    <x v="107"/>
    <x v="50"/>
    <x v="0"/>
    <d v="1900-01-02T00:00:00"/>
    <x v="0"/>
    <s v="Pune"/>
    <s v="Neha Deshpande"/>
    <s v="Neha Deshpande"/>
    <x v="0"/>
    <x v="0"/>
    <s v="Laptops"/>
    <s v="Dell Inspiron 3520"/>
    <x v="0"/>
    <s v="Delivered"/>
    <n v="2"/>
    <n v="57290"/>
    <n v="0.05"/>
    <n v="40040"/>
    <n v="108851"/>
    <n v="80080"/>
    <n v="28771"/>
    <n v="0.26431544037261945"/>
  </r>
  <r>
    <x v="108"/>
    <x v="50"/>
    <x v="0"/>
    <d v="1900-01-02T00:00:00"/>
    <x v="1"/>
    <s v="Patna"/>
    <s v="Ritika Ghosh"/>
    <s v="Ritika Ghosh"/>
    <x v="3"/>
    <x v="0"/>
    <s v="Audio Devices"/>
    <s v="Boat Airdopes 141"/>
    <x v="0"/>
    <s v="Delivered"/>
    <n v="53"/>
    <n v="1840"/>
    <n v="0.12"/>
    <n v="1140"/>
    <n v="85817.600000000006"/>
    <n v="60420"/>
    <n v="25397.600000000006"/>
    <n v="0.29594861660079058"/>
  </r>
  <r>
    <x v="109"/>
    <x v="50"/>
    <x v="0"/>
    <d v="1900-01-02T00:00:00"/>
    <x v="3"/>
    <s v="Kochi"/>
    <s v="Karthik Raman"/>
    <s v="Karthik Raman"/>
    <x v="0"/>
    <x v="1"/>
    <s v="Kitchen Appliances"/>
    <s v="Prestige Mixer Grinder"/>
    <x v="2"/>
    <s v="Delivered"/>
    <n v="4"/>
    <n v="4470"/>
    <n v="0.12"/>
    <n v="2700"/>
    <n v="15734.4"/>
    <n v="10800"/>
    <n v="4934.3999999999996"/>
    <n v="0.31360585723001827"/>
  </r>
  <r>
    <x v="110"/>
    <x v="50"/>
    <x v="0"/>
    <d v="1900-01-02T00:00:00"/>
    <x v="1"/>
    <s v="Siliguri"/>
    <s v="Sourav Das"/>
    <s v="Sourav Das"/>
    <x v="1"/>
    <x v="0"/>
    <s v="Mobile Phones"/>
    <s v="Redmi Note 14"/>
    <x v="0"/>
    <s v="Delivered"/>
    <n v="10"/>
    <n v="18100"/>
    <n v="0.15"/>
    <n v="12170"/>
    <n v="153850"/>
    <n v="121700"/>
    <n v="32150"/>
    <n v="0.2089697757556061"/>
  </r>
  <r>
    <x v="111"/>
    <x v="50"/>
    <x v="0"/>
    <d v="1900-01-02T00:00:00"/>
    <x v="3"/>
    <s v="Kochi"/>
    <s v="Karthik Raman"/>
    <s v="Karthik Raman"/>
    <x v="0"/>
    <x v="1"/>
    <s v="Refrigerators"/>
    <s v="Samsung 192L Single Door"/>
    <x v="1"/>
    <s v="Delivered"/>
    <n v="8"/>
    <n v="15680"/>
    <n v="0.15"/>
    <n v="11550"/>
    <n v="106624"/>
    <n v="92400"/>
    <n v="14224"/>
    <n v="0.13340336134453781"/>
  </r>
  <r>
    <x v="112"/>
    <x v="50"/>
    <x v="0"/>
    <d v="1900-01-02T00:00:00"/>
    <x v="2"/>
    <s v="Lucknow"/>
    <s v="Simran Kaur"/>
    <s v="Simran Kaur"/>
    <x v="2"/>
    <x v="2"/>
    <s v="Footwear"/>
    <s v="Campus Running Shoes"/>
    <x v="0"/>
    <s v="Delivered"/>
    <n v="37"/>
    <n v="1720"/>
    <n v="0"/>
    <n v="980"/>
    <n v="63640"/>
    <n v="36260"/>
    <n v="27380"/>
    <n v="0.43023255813953487"/>
  </r>
  <r>
    <x v="113"/>
    <x v="51"/>
    <x v="0"/>
    <d v="1900-01-02T00:00:00"/>
    <x v="3"/>
    <s v="Coimbatore"/>
    <s v="Karthik Raman"/>
    <s v="Karthik Raman"/>
    <x v="2"/>
    <x v="3"/>
    <s v="Office Chairs"/>
    <s v="Nilkamal Executive Chair"/>
    <x v="2"/>
    <s v="Delivered"/>
    <n v="6"/>
    <n v="6690"/>
    <n v="0"/>
    <n v="4320"/>
    <n v="40140"/>
    <n v="25920"/>
    <n v="14220"/>
    <n v="0.35426008968609868"/>
  </r>
  <r>
    <x v="114"/>
    <x v="51"/>
    <x v="0"/>
    <d v="1900-01-02T00:00:00"/>
    <x v="0"/>
    <s v="Ahmedabad"/>
    <s v="Imran Sheikh"/>
    <s v="Imran Sheikh"/>
    <x v="2"/>
    <x v="1"/>
    <s v="Air Conditioners"/>
    <s v="Daikin 1.5T Split Ac"/>
    <x v="2"/>
    <s v="Shipped"/>
    <n v="1"/>
    <n v="43200"/>
    <n v="0.25"/>
    <n v="31020"/>
    <n v="32400"/>
    <n v="31020"/>
    <n v="1380"/>
    <n v="4.2592592592592592E-2"/>
  </r>
  <r>
    <x v="115"/>
    <x v="52"/>
    <x v="0"/>
    <d v="1900-01-02T00:00:00"/>
    <x v="0"/>
    <s v="Nashik"/>
    <s v="Prateek Shah"/>
    <s v="Prateek Shah"/>
    <x v="3"/>
    <x v="1"/>
    <s v="Washing Machines"/>
    <s v="Whirlpool Semi Auto 7.5Kg"/>
    <x v="0"/>
    <s v="Returned"/>
    <n v="10"/>
    <n v="14630"/>
    <n v="0"/>
    <n v="8300"/>
    <n v="146300"/>
    <n v="83000"/>
    <n v="63300"/>
    <n v="0.43267259056732743"/>
  </r>
  <r>
    <x v="116"/>
    <x v="52"/>
    <x v="0"/>
    <d v="1900-01-02T00:00:00"/>
    <x v="2"/>
    <s v="Chandigarh"/>
    <s v="Simran Kaur"/>
    <s v="Simran Kaur"/>
    <x v="0"/>
    <x v="1"/>
    <s v="Kitchen Appliances"/>
    <s v="Prestige Mixer Grinder"/>
    <x v="0"/>
    <s v="Delivered"/>
    <n v="15"/>
    <n v="4310"/>
    <n v="0"/>
    <n v="3310"/>
    <n v="64650"/>
    <n v="49650"/>
    <n v="15000"/>
    <n v="0.23201856148491878"/>
  </r>
  <r>
    <x v="117"/>
    <x v="52"/>
    <x v="0"/>
    <d v="1900-01-02T00:00:00"/>
    <x v="3"/>
    <s v="Bengaluru"/>
    <s v="Anjali Menon"/>
    <s v="Anjali Menon"/>
    <x v="3"/>
    <x v="1"/>
    <s v="Washing Machines"/>
    <s v="Ifb Front Load 7Kg"/>
    <x v="1"/>
    <s v="Delivered"/>
    <n v="2"/>
    <n v="36190"/>
    <n v="0.2"/>
    <n v="23610"/>
    <n v="57904"/>
    <n v="47220"/>
    <n v="10684"/>
    <n v="0.18451229621442389"/>
  </r>
  <r>
    <x v="118"/>
    <x v="53"/>
    <x v="0"/>
    <d v="1900-01-02T00:00:00"/>
    <x v="2"/>
    <s v="Delhi"/>
    <s v="Aditya Verma"/>
    <s v="Aditya Verma"/>
    <x v="0"/>
    <x v="0"/>
    <s v="Laptops"/>
    <s v="Hp Pavilion 15"/>
    <x v="1"/>
    <s v="Delivered"/>
    <n v="3"/>
    <n v="66760"/>
    <n v="0.12"/>
    <n v="42570"/>
    <n v="176246.39999999999"/>
    <n v="127710"/>
    <n v="48536.399999999994"/>
    <n v="0.27538945476333132"/>
  </r>
  <r>
    <x v="119"/>
    <x v="53"/>
    <x v="0"/>
    <d v="1900-01-02T00:00:00"/>
    <x v="1"/>
    <s v="Patna"/>
    <s v="Sourav Das"/>
    <s v="Sourav Das"/>
    <x v="3"/>
    <x v="1"/>
    <s v="Refrigerators"/>
    <s v="Lg 260L Double Door"/>
    <x v="1"/>
    <s v="Delivered"/>
    <n v="8"/>
    <n v="27160"/>
    <n v="0.2"/>
    <n v="16490"/>
    <n v="173824"/>
    <n v="131920"/>
    <n v="41904"/>
    <n v="0.24107142857142858"/>
  </r>
  <r>
    <x v="120"/>
    <x v="53"/>
    <x v="0"/>
    <d v="1900-01-02T00:00:00"/>
    <x v="2"/>
    <s v="Lucknow"/>
    <s v="Aditya Verma"/>
    <s v="Aditya Verma"/>
    <x v="2"/>
    <x v="1"/>
    <s v="Kitchen Appliances"/>
    <s v="Prestige Mixer Grinder"/>
    <x v="0"/>
    <s v="Delivered"/>
    <n v="3"/>
    <n v="4610"/>
    <n v="0.2"/>
    <n v="2800"/>
    <n v="11064"/>
    <n v="8400"/>
    <n v="2664"/>
    <n v="0.24078091106290672"/>
  </r>
  <r>
    <x v="121"/>
    <x v="54"/>
    <x v="0"/>
    <d v="1900-01-02T00:00:00"/>
    <x v="2"/>
    <s v="Delhi"/>
    <s v="Simran Kaur"/>
    <s v="Simran Kaur"/>
    <x v="0"/>
    <x v="2"/>
    <s v="Apparel"/>
    <s v="Levis 511 Jeans"/>
    <x v="0"/>
    <s v="Delivered"/>
    <n v="7"/>
    <n v="2910"/>
    <n v="0.1"/>
    <n v="2080"/>
    <n v="18333"/>
    <n v="14560"/>
    <n v="3773"/>
    <n v="0.20580374188621611"/>
  </r>
  <r>
    <x v="122"/>
    <x v="55"/>
    <x v="0"/>
    <d v="1900-01-02T00:00:00"/>
    <x v="1"/>
    <s v="Patna"/>
    <s v="Ritika Ghosh"/>
    <s v="Ritika Ghosh"/>
    <x v="0"/>
    <x v="2"/>
    <s v="Footwear"/>
    <s v="Nike Revolution 7"/>
    <x v="0"/>
    <s v="Delivered"/>
    <n v="10"/>
    <n v="3620"/>
    <n v="0.15"/>
    <n v="2220"/>
    <n v="30770"/>
    <n v="22200"/>
    <n v="8570"/>
    <n v="0.2785180370490738"/>
  </r>
  <r>
    <x v="123"/>
    <x v="56"/>
    <x v="0"/>
    <d v="1900-01-02T00:00:00"/>
    <x v="3"/>
    <s v="Kochi"/>
    <s v="Divya Nair"/>
    <s v="Divya Nair"/>
    <x v="0"/>
    <x v="1"/>
    <s v="Kitchen Appliances"/>
    <s v="Pigeon Induction Cooktop"/>
    <x v="1"/>
    <s v="Delivered"/>
    <n v="33"/>
    <n v="2700"/>
    <n v="0.08"/>
    <n v="1600"/>
    <n v="81972"/>
    <n v="52800"/>
    <n v="29172"/>
    <n v="0.35587761674718199"/>
  </r>
  <r>
    <x v="124"/>
    <x v="57"/>
    <x v="0"/>
    <d v="1900-01-02T00:00:00"/>
    <x v="0"/>
    <s v="Nagpur"/>
    <s v="Imran Sheikh"/>
    <s v="Imran Sheikh"/>
    <x v="3"/>
    <x v="3"/>
    <s v="Tables"/>
    <s v="Study Table Engineered Wood"/>
    <x v="2"/>
    <s v="Delivered"/>
    <n v="23"/>
    <n v="9160"/>
    <n v="0.08"/>
    <n v="5540"/>
    <n v="193825.6"/>
    <n v="127420"/>
    <n v="66405.600000000006"/>
    <n v="0.34260489842415037"/>
  </r>
  <r>
    <x v="125"/>
    <x v="57"/>
    <x v="0"/>
    <d v="1900-01-02T00:00:00"/>
    <x v="2"/>
    <s v="Noida"/>
    <s v="Rohit Malhotra"/>
    <s v="Rohit Malhotra"/>
    <x v="1"/>
    <x v="2"/>
    <s v="Accessories"/>
    <s v="Fastrack Analog Watch"/>
    <x v="0"/>
    <s v="Delivered"/>
    <n v="8"/>
    <n v="2680"/>
    <n v="0.2"/>
    <n v="2010"/>
    <n v="17152"/>
    <n v="16080"/>
    <n v="1072"/>
    <n v="6.25E-2"/>
  </r>
  <r>
    <x v="126"/>
    <x v="57"/>
    <x v="0"/>
    <d v="1900-01-02T00:00:00"/>
    <x v="3"/>
    <s v="Kochi"/>
    <s v="Karthik Raman"/>
    <s v="Karthik Raman"/>
    <x v="2"/>
    <x v="1"/>
    <s v="Air Conditioners"/>
    <s v="Voltas 1.5T Inverter Ac"/>
    <x v="2"/>
    <s v="Delivered"/>
    <n v="3"/>
    <n v="35940"/>
    <n v="0.08"/>
    <n v="25380"/>
    <n v="99194.400000000009"/>
    <n v="76140"/>
    <n v="23054.400000000009"/>
    <n v="0.2324163460840532"/>
  </r>
  <r>
    <x v="127"/>
    <x v="58"/>
    <x v="0"/>
    <d v="1900-01-02T00:00:00"/>
    <x v="4"/>
    <s v="Raipur"/>
    <s v="Pooja Chouhan"/>
    <s v="Pooja Chouhan"/>
    <x v="3"/>
    <x v="3"/>
    <s v="Sofas"/>
    <s v="Single Seater Recliner"/>
    <x v="1"/>
    <s v="Delivered"/>
    <n v="3"/>
    <n v="44030"/>
    <n v="0.05"/>
    <n v="25550"/>
    <n v="125485.5"/>
    <n v="76650"/>
    <n v="48835.5"/>
    <n v="0.38917245418793406"/>
  </r>
  <r>
    <x v="128"/>
    <x v="58"/>
    <x v="0"/>
    <d v="1900-01-02T00:00:00"/>
    <x v="2"/>
    <s v="Jaipur"/>
    <s v="Simran Kaur"/>
    <s v="Simran Kaur"/>
    <x v="0"/>
    <x v="1"/>
    <s v="Washing Machines"/>
    <s v="Ifb Front Load 7Kg"/>
    <x v="0"/>
    <s v="Delivered"/>
    <n v="2"/>
    <n v="36250"/>
    <n v="0.12"/>
    <n v="21530"/>
    <n v="63800"/>
    <n v="43060"/>
    <n v="20740"/>
    <n v="0.32507836990595612"/>
  </r>
  <r>
    <x v="129"/>
    <x v="58"/>
    <x v="0"/>
    <d v="1900-01-02T00:00:00"/>
    <x v="1"/>
    <s v="Bhubaneswar"/>
    <s v="Ritika Ghosh"/>
    <s v="Ritika Ghosh"/>
    <x v="0"/>
    <x v="2"/>
    <s v="Footwear"/>
    <s v="Bata Formal Shoes"/>
    <x v="2"/>
    <s v="Delivered"/>
    <n v="32"/>
    <n v="2130"/>
    <n v="0.08"/>
    <n v="1590"/>
    <n v="62707.200000000004"/>
    <n v="50880"/>
    <n v="11827.200000000004"/>
    <n v="0.18860992039191676"/>
  </r>
  <r>
    <x v="130"/>
    <x v="58"/>
    <x v="0"/>
    <d v="1900-01-02T00:00:00"/>
    <x v="0"/>
    <s v="Nashik"/>
    <s v="Prateek Shah"/>
    <s v="Prateek Shah"/>
    <x v="2"/>
    <x v="1"/>
    <s v="Air Conditioners"/>
    <s v="Daikin 1.5T Split Ac"/>
    <x v="0"/>
    <s v="Shipped"/>
    <n v="2"/>
    <n v="40640"/>
    <n v="0.1"/>
    <n v="29210"/>
    <n v="73152"/>
    <n v="58420"/>
    <n v="14732"/>
    <n v="0.2013888888888889"/>
  </r>
  <r>
    <x v="131"/>
    <x v="59"/>
    <x v="0"/>
    <d v="1900-01-02T00:00:00"/>
    <x v="4"/>
    <s v="Raipur"/>
    <s v="Pooja Chouhan"/>
    <s v="Pooja Chouhan"/>
    <x v="2"/>
    <x v="2"/>
    <s v="Footwear"/>
    <s v="Bata Formal Shoes"/>
    <x v="0"/>
    <s v="Delivered"/>
    <n v="22"/>
    <n v="2150"/>
    <n v="0.15"/>
    <n v="1350"/>
    <n v="40205"/>
    <n v="29700"/>
    <n v="10505"/>
    <n v="0.26128590971272231"/>
  </r>
  <r>
    <x v="132"/>
    <x v="59"/>
    <x v="0"/>
    <d v="1900-01-02T00:00:00"/>
    <x v="3"/>
    <s v="Chennai"/>
    <s v="Anjali Menon"/>
    <s v="Anjali Menon"/>
    <x v="0"/>
    <x v="2"/>
    <s v="Apparel"/>
    <s v="Allen Solly Formal Shirt"/>
    <x v="0"/>
    <s v="Delivered"/>
    <n v="32"/>
    <n v="1780"/>
    <n v="0.2"/>
    <n v="1290"/>
    <n v="45568"/>
    <n v="41280"/>
    <n v="4288"/>
    <n v="9.4101123595505612E-2"/>
  </r>
  <r>
    <x v="133"/>
    <x v="59"/>
    <x v="0"/>
    <d v="1900-01-02T00:00:00"/>
    <x v="2"/>
    <s v="Jaipur"/>
    <s v="Aditya Verma"/>
    <s v="Aditya Verma"/>
    <x v="3"/>
    <x v="0"/>
    <s v="Televisions"/>
    <s v="Mi Tv 5X 43 Inch"/>
    <x v="2"/>
    <s v="Delivered"/>
    <n v="2"/>
    <n v="30590"/>
    <n v="0.15"/>
    <n v="20580"/>
    <n v="52003"/>
    <n v="41160"/>
    <n v="10843"/>
    <n v="0.20850720150760532"/>
  </r>
  <r>
    <x v="134"/>
    <x v="60"/>
    <x v="0"/>
    <d v="1900-01-02T00:00:00"/>
    <x v="3"/>
    <s v="Coimbatore"/>
    <s v="Divya Nair"/>
    <s v="Divya Nair"/>
    <x v="3"/>
    <x v="1"/>
    <s v="Kitchen Appliances"/>
    <s v="Pigeon Induction Cooktop"/>
    <x v="0"/>
    <s v="Delivered"/>
    <n v="77"/>
    <n v="2800"/>
    <n v="0.05"/>
    <n v="2010"/>
    <n v="204820"/>
    <n v="154770"/>
    <n v="50050"/>
    <n v="0.24436090225563908"/>
  </r>
  <r>
    <x v="135"/>
    <x v="60"/>
    <x v="0"/>
    <d v="1900-01-02T00:00:00"/>
    <x v="0"/>
    <s v="Ahmedabad"/>
    <s v="Neha Deshpande"/>
    <s v="Neha Deshpande"/>
    <x v="2"/>
    <x v="0"/>
    <s v="Mobile Phones"/>
    <s v="Samsung Galaxy M35"/>
    <x v="2"/>
    <s v="Returned"/>
    <n v="8"/>
    <n v="23110"/>
    <n v="0.2"/>
    <n v="17760"/>
    <n v="147904"/>
    <n v="142080"/>
    <n v="5824"/>
    <n v="3.9376893119861534E-2"/>
  </r>
  <r>
    <x v="136"/>
    <x v="61"/>
    <x v="0"/>
    <d v="1900-01-02T00:00:00"/>
    <x v="0"/>
    <s v="Ahmedabad"/>
    <s v="Prateek Shah"/>
    <s v="Prateek Shah"/>
    <x v="0"/>
    <x v="3"/>
    <s v="Tables"/>
    <s v="6-Seater Dining Table"/>
    <x v="0"/>
    <s v="Delivered"/>
    <n v="5"/>
    <n v="25850"/>
    <n v="0.08"/>
    <n v="19280"/>
    <n v="118910"/>
    <n v="96400"/>
    <n v="22510"/>
    <n v="0.18930283407619208"/>
  </r>
  <r>
    <x v="137"/>
    <x v="61"/>
    <x v="0"/>
    <d v="1900-01-02T00:00:00"/>
    <x v="4"/>
    <s v="Bhopal"/>
    <s v="Manish Tiwari"/>
    <s v="Manish Tiwari"/>
    <x v="0"/>
    <x v="0"/>
    <s v="Mobile Phones"/>
    <s v="Samsung Galaxy M35"/>
    <x v="1"/>
    <s v="Delivered"/>
    <n v="6"/>
    <n v="22570"/>
    <n v="0.18"/>
    <n v="17210"/>
    <n v="111044.40000000001"/>
    <n v="103260"/>
    <n v="7784.4000000000087"/>
    <n v="7.0101689054108157E-2"/>
  </r>
  <r>
    <x v="138"/>
    <x v="61"/>
    <x v="0"/>
    <d v="1900-01-02T00:00:00"/>
    <x v="2"/>
    <s v="Delhi"/>
    <s v="Simran Kaur"/>
    <s v="Simran Kaur"/>
    <x v="1"/>
    <x v="2"/>
    <s v="Accessories"/>
    <s v="Wildcraft 35L Backpack"/>
    <x v="0"/>
    <s v="Delivered"/>
    <n v="43"/>
    <n v="1950"/>
    <n v="0"/>
    <n v="1410"/>
    <n v="83850"/>
    <n v="60630"/>
    <n v="23220"/>
    <n v="0.27692307692307694"/>
  </r>
  <r>
    <x v="139"/>
    <x v="61"/>
    <x v="0"/>
    <d v="1900-01-02T00:00:00"/>
    <x v="3"/>
    <s v="Bengaluru"/>
    <s v="Divya Nair"/>
    <s v="Divya Nair"/>
    <x v="3"/>
    <x v="2"/>
    <s v="Accessories"/>
    <s v="Wildcraft 35L Backpack"/>
    <x v="2"/>
    <s v="Shipped"/>
    <n v="16"/>
    <n v="2010"/>
    <n v="0"/>
    <n v="1170"/>
    <n v="32160"/>
    <n v="18720"/>
    <n v="13440"/>
    <n v="0.41791044776119401"/>
  </r>
  <r>
    <x v="140"/>
    <x v="62"/>
    <x v="0"/>
    <d v="1900-01-02T00:00:00"/>
    <x v="3"/>
    <s v="Bengaluru"/>
    <s v="Karthik Raman"/>
    <s v="Karthik Raman"/>
    <x v="3"/>
    <x v="1"/>
    <s v="Kitchen Appliances"/>
    <s v="Philips Air Fryer"/>
    <x v="0"/>
    <s v="Delivered"/>
    <n v="14"/>
    <n v="10050"/>
    <n v="0"/>
    <n v="7370"/>
    <n v="140700"/>
    <n v="103180"/>
    <n v="37520"/>
    <n v="0.26666666666666666"/>
  </r>
  <r>
    <x v="141"/>
    <x v="62"/>
    <x v="0"/>
    <d v="1900-01-02T00:00:00"/>
    <x v="4"/>
    <s v="Gwalior"/>
    <s v="Manish Tiwari"/>
    <s v="Manish Tiwari"/>
    <x v="3"/>
    <x v="3"/>
    <s v="Storage"/>
    <s v="3-Door Wardrobe"/>
    <x v="2"/>
    <s v="Delivered"/>
    <n v="8"/>
    <n v="28650"/>
    <n v="0.2"/>
    <n v="21940"/>
    <n v="183360"/>
    <n v="175520"/>
    <n v="7840"/>
    <n v="4.2757417102966842E-2"/>
  </r>
  <r>
    <x v="142"/>
    <x v="62"/>
    <x v="0"/>
    <d v="1900-01-02T00:00:00"/>
    <x v="0"/>
    <s v="Surat"/>
    <s v="Imran Sheikh"/>
    <s v="Imran Sheikh"/>
    <x v="2"/>
    <x v="0"/>
    <s v="Laptops"/>
    <s v="Hp Pavilion 15"/>
    <x v="0"/>
    <s v="Delivered"/>
    <n v="2"/>
    <n v="63550"/>
    <n v="0"/>
    <n v="43730"/>
    <n v="127100"/>
    <n v="87460"/>
    <n v="39640"/>
    <n v="0.31188040912667192"/>
  </r>
  <r>
    <x v="143"/>
    <x v="63"/>
    <x v="0"/>
    <d v="1900-01-02T00:00:00"/>
    <x v="2"/>
    <s v="Lucknow"/>
    <s v="Aditya Verma"/>
    <s v="Aditya Verma"/>
    <x v="3"/>
    <x v="2"/>
    <s v="Apparel"/>
    <s v="Allen Solly Formal Shirt"/>
    <x v="0"/>
    <s v="Pending"/>
    <n v="61"/>
    <n v="1850"/>
    <n v="0.12"/>
    <n v="1330"/>
    <n v="99308"/>
    <n v="81130"/>
    <n v="18178"/>
    <n v="0.18304668304668303"/>
  </r>
  <r>
    <x v="144"/>
    <x v="63"/>
    <x v="0"/>
    <d v="1900-01-02T00:00:00"/>
    <x v="3"/>
    <s v="Chennai"/>
    <s v="Divya Nair"/>
    <s v="Divya Nair"/>
    <x v="0"/>
    <x v="2"/>
    <s v="Footwear"/>
    <s v="Nike Revolution 7"/>
    <x v="0"/>
    <s v="Delivered"/>
    <n v="4"/>
    <n v="4040"/>
    <n v="0.08"/>
    <n v="2930"/>
    <n v="14867.2"/>
    <n v="11720"/>
    <n v="3147.2000000000007"/>
    <n v="0.21168747309513564"/>
  </r>
  <r>
    <x v="145"/>
    <x v="63"/>
    <x v="0"/>
    <d v="1900-01-02T00:00:00"/>
    <x v="0"/>
    <s v="Nashik"/>
    <s v="Imran Sheikh"/>
    <s v="Imran Sheikh"/>
    <x v="1"/>
    <x v="0"/>
    <s v="Audio Devices"/>
    <s v="Boat Airdopes 141"/>
    <x v="0"/>
    <s v="Returned"/>
    <n v="69"/>
    <n v="1770"/>
    <n v="0.05"/>
    <n v="1370"/>
    <n v="116023.5"/>
    <n v="94530"/>
    <n v="21493.5"/>
    <n v="0.18525126375260184"/>
  </r>
  <r>
    <x v="146"/>
    <x v="64"/>
    <x v="0"/>
    <d v="1900-01-02T00:00:00"/>
    <x v="3"/>
    <s v="Kochi"/>
    <s v="Anjali Menon"/>
    <s v="Anjali Menon"/>
    <x v="3"/>
    <x v="3"/>
    <s v="Storage"/>
    <s v="Metal Shoe Rack"/>
    <x v="2"/>
    <s v="Pending"/>
    <n v="8"/>
    <n v="3680"/>
    <n v="0.1"/>
    <n v="2150"/>
    <n v="26496"/>
    <n v="17200"/>
    <n v="9296"/>
    <n v="0.35084541062801933"/>
  </r>
  <r>
    <x v="147"/>
    <x v="64"/>
    <x v="0"/>
    <d v="1900-01-02T00:00:00"/>
    <x v="0"/>
    <s v="Ahmedabad"/>
    <s v="Imran Sheikh"/>
    <s v="Imran Sheikh"/>
    <x v="0"/>
    <x v="2"/>
    <s v="Accessories"/>
    <s v="Wildcraft 35L Backpack"/>
    <x v="1"/>
    <s v="Delivered"/>
    <n v="12"/>
    <n v="1970"/>
    <n v="0"/>
    <n v="1230"/>
    <n v="23640"/>
    <n v="14760"/>
    <n v="8880"/>
    <n v="0.37563451776649748"/>
  </r>
  <r>
    <x v="148"/>
    <x v="64"/>
    <x v="0"/>
    <d v="1900-01-02T00:00:00"/>
    <x v="2"/>
    <s v="Delhi"/>
    <s v="Rohit Malhotra"/>
    <s v="Rohit Malhotra"/>
    <x v="0"/>
    <x v="4"/>
    <s v="Sports Gear"/>
    <s v="Sg Cricket Bat English Willow"/>
    <x v="0"/>
    <s v="Delivered"/>
    <n v="5"/>
    <n v="4490"/>
    <n v="0"/>
    <n v="3260"/>
    <n v="22450"/>
    <n v="16300"/>
    <n v="6150"/>
    <n v="0.27394209354120269"/>
  </r>
  <r>
    <x v="149"/>
    <x v="65"/>
    <x v="0"/>
    <d v="1900-01-02T00:00:00"/>
    <x v="0"/>
    <s v="Nashik"/>
    <s v="Imran Sheikh"/>
    <s v="Imran Sheikh"/>
    <x v="1"/>
    <x v="3"/>
    <s v="Tables"/>
    <s v="6-Seater Dining Table"/>
    <x v="1"/>
    <s v="Delivered"/>
    <n v="8"/>
    <n v="23000"/>
    <n v="0.2"/>
    <n v="14550"/>
    <n v="147200"/>
    <n v="116400"/>
    <n v="30800"/>
    <n v="0.20923913043478262"/>
  </r>
  <r>
    <x v="150"/>
    <x v="65"/>
    <x v="0"/>
    <d v="1900-01-02T00:00:00"/>
    <x v="0"/>
    <s v="Nashik"/>
    <s v="Imran Sheikh"/>
    <s v="Imran Sheikh"/>
    <x v="0"/>
    <x v="0"/>
    <s v="Mobile Phones"/>
    <s v="Redmi Note 14"/>
    <x v="2"/>
    <s v="Delivered"/>
    <n v="8"/>
    <n v="18660"/>
    <n v="0.12"/>
    <n v="11670"/>
    <n v="131366.39999999999"/>
    <n v="93360"/>
    <n v="38006.399999999994"/>
    <n v="0.28931598947676113"/>
  </r>
  <r>
    <x v="151"/>
    <x v="66"/>
    <x v="0"/>
    <d v="1900-01-02T00:00:00"/>
    <x v="0"/>
    <s v="Ahmedabad"/>
    <s v="Prateek Shah"/>
    <s v="Prateek Shah"/>
    <x v="2"/>
    <x v="4"/>
    <s v="Fitness Equipment"/>
    <s v="Home Foldable Treadmill"/>
    <x v="0"/>
    <s v="Delivered"/>
    <n v="1"/>
    <n v="44570"/>
    <n v="0"/>
    <n v="25820"/>
    <n v="44570"/>
    <n v="25820"/>
    <n v="18750"/>
    <n v="0.42068656046668162"/>
  </r>
  <r>
    <x v="152"/>
    <x v="67"/>
    <x v="0"/>
    <d v="1900-01-02T00:00:00"/>
    <x v="2"/>
    <s v="Noida"/>
    <s v="Aditya Verma"/>
    <s v="Aditya Verma"/>
    <x v="3"/>
    <x v="0"/>
    <s v="Laptops"/>
    <s v="Hp Pavilion 15"/>
    <x v="1"/>
    <s v="Shipped"/>
    <n v="6"/>
    <n v="62900"/>
    <n v="0.1"/>
    <n v="46700"/>
    <n v="339660"/>
    <n v="280200"/>
    <n v="59460"/>
    <n v="0.175057410351528"/>
  </r>
  <r>
    <x v="153"/>
    <x v="67"/>
    <x v="0"/>
    <d v="1900-01-02T00:00:00"/>
    <x v="2"/>
    <s v="Lucknow"/>
    <s v="Rohit Malhotra"/>
    <s v="Rohit Malhotra"/>
    <x v="3"/>
    <x v="1"/>
    <s v="Refrigerators"/>
    <s v="Samsung 192L Single Door"/>
    <x v="0"/>
    <s v="Pending"/>
    <n v="5"/>
    <n v="16690"/>
    <n v="0.12"/>
    <n v="12740"/>
    <n v="73436"/>
    <n v="63700"/>
    <n v="9736"/>
    <n v="0.13257802712566044"/>
  </r>
  <r>
    <x v="154"/>
    <x v="68"/>
    <x v="0"/>
    <d v="1900-01-02T00:00:00"/>
    <x v="3"/>
    <s v="Hyderabad"/>
    <s v="Karthik Raman"/>
    <s v="Karthik Raman"/>
    <x v="0"/>
    <x v="0"/>
    <s v="Audio Devices"/>
    <s v="Sony Wh-Ch720N"/>
    <x v="0"/>
    <s v="Delivered"/>
    <n v="4"/>
    <n v="8910"/>
    <n v="0"/>
    <n v="5630"/>
    <n v="35640"/>
    <n v="22520"/>
    <n v="13120"/>
    <n v="0.36812570145903478"/>
  </r>
  <r>
    <x v="155"/>
    <x v="68"/>
    <x v="0"/>
    <d v="1900-01-02T00:00:00"/>
    <x v="2"/>
    <s v="Gurugram"/>
    <s v="Rohit Malhotra"/>
    <s v="Rohit Malhotra"/>
    <x v="1"/>
    <x v="0"/>
    <s v="Audio Devices"/>
    <s v="Sony Wh-Ch720N"/>
    <x v="0"/>
    <s v="Delivered"/>
    <n v="20"/>
    <n v="8260"/>
    <n v="0.1"/>
    <n v="5830"/>
    <n v="148680"/>
    <n v="116600"/>
    <n v="32080"/>
    <n v="0.21576540220608018"/>
  </r>
  <r>
    <x v="156"/>
    <x v="68"/>
    <x v="0"/>
    <d v="1900-01-02T00:00:00"/>
    <x v="2"/>
    <s v="Lucknow"/>
    <s v="Simran Kaur"/>
    <s v="Simran Kaur"/>
    <x v="2"/>
    <x v="3"/>
    <s v="Office Chairs"/>
    <s v="Nilkamal Executive Chair"/>
    <x v="2"/>
    <s v="Delivered"/>
    <n v="3"/>
    <n v="6570"/>
    <n v="0.1"/>
    <n v="3680"/>
    <n v="17739"/>
    <n v="11040"/>
    <n v="6699"/>
    <n v="0.37764248266531369"/>
  </r>
  <r>
    <x v="157"/>
    <x v="68"/>
    <x v="0"/>
    <d v="1900-01-02T00:00:00"/>
    <x v="2"/>
    <s v="Delhi"/>
    <s v="Rohit Malhotra"/>
    <s v="Rohit Malhotra"/>
    <x v="3"/>
    <x v="1"/>
    <s v="Washing Machines"/>
    <s v="Whirlpool Semi Auto 7.5Kg"/>
    <x v="0"/>
    <s v="Delivered"/>
    <n v="13"/>
    <n v="13590"/>
    <n v="0.1"/>
    <n v="8920"/>
    <n v="159003"/>
    <n v="115960"/>
    <n v="43043"/>
    <n v="0.27070558417136786"/>
  </r>
  <r>
    <x v="158"/>
    <x v="68"/>
    <x v="0"/>
    <d v="1900-01-02T00:00:00"/>
    <x v="0"/>
    <s v="Ahmedabad"/>
    <s v="Neha Deshpande"/>
    <s v="Neha Deshpande"/>
    <x v="0"/>
    <x v="2"/>
    <s v="Footwear"/>
    <s v="Campus Running Shoes"/>
    <x v="0"/>
    <s v="Delivered"/>
    <n v="25"/>
    <n v="1650"/>
    <n v="0.2"/>
    <n v="960"/>
    <n v="33000"/>
    <n v="24000"/>
    <n v="9000"/>
    <n v="0.27272727272727271"/>
  </r>
  <r>
    <x v="159"/>
    <x v="69"/>
    <x v="0"/>
    <d v="1900-01-02T00:00:00"/>
    <x v="2"/>
    <s v="Noida"/>
    <s v="Simran Kaur"/>
    <s v="Simran Kaur"/>
    <x v="0"/>
    <x v="3"/>
    <s v="Sofas"/>
    <s v="Single Seater Recliner"/>
    <x v="0"/>
    <s v="Delivered"/>
    <n v="3"/>
    <n v="44800"/>
    <n v="0.2"/>
    <n v="31700"/>
    <n v="107520"/>
    <n v="95100"/>
    <n v="12420"/>
    <n v="0.11551339285714286"/>
  </r>
  <r>
    <x v="160"/>
    <x v="70"/>
    <x v="0"/>
    <d v="1900-01-03T00:00:00"/>
    <x v="3"/>
    <s v="Visakhapatnam"/>
    <s v="Karthik Raman"/>
    <s v="Karthik Raman"/>
    <x v="1"/>
    <x v="0"/>
    <s v="Audio Devices"/>
    <s v="Boat Airdopes 141"/>
    <x v="1"/>
    <s v="Delivered"/>
    <n v="43"/>
    <n v="1870"/>
    <n v="0.15"/>
    <n v="1180"/>
    <n v="68348.5"/>
    <n v="50740"/>
    <n v="17608.5"/>
    <n v="0.25762818496382511"/>
  </r>
  <r>
    <x v="161"/>
    <x v="71"/>
    <x v="0"/>
    <d v="1900-01-03T00:00:00"/>
    <x v="3"/>
    <s v="Coimbatore"/>
    <s v="Anjali Menon"/>
    <s v="Anjali Menon"/>
    <x v="0"/>
    <x v="2"/>
    <s v="Accessories"/>
    <s v="Fastrack Analog Watch"/>
    <x v="1"/>
    <s v="Delivered"/>
    <n v="20"/>
    <n v="2640"/>
    <n v="0"/>
    <n v="1530"/>
    <n v="52800"/>
    <n v="30600"/>
    <n v="22200"/>
    <n v="0.42045454545454547"/>
  </r>
  <r>
    <x v="162"/>
    <x v="72"/>
    <x v="0"/>
    <d v="1900-01-03T00:00:00"/>
    <x v="3"/>
    <s v="Visakhapatnam"/>
    <s v="Anjali Menon"/>
    <s v="Anjali Menon"/>
    <x v="2"/>
    <x v="1"/>
    <s v="Air Conditioners"/>
    <s v="Daikin 1.5T Split Ac"/>
    <x v="2"/>
    <s v="Shipped"/>
    <n v="1"/>
    <n v="42490"/>
    <n v="0.1"/>
    <n v="27490"/>
    <n v="38241"/>
    <n v="27490"/>
    <n v="10751"/>
    <n v="0.28113804555320204"/>
  </r>
  <r>
    <x v="163"/>
    <x v="72"/>
    <x v="0"/>
    <d v="1900-01-03T00:00:00"/>
    <x v="1"/>
    <s v="Kolkata"/>
    <s v="Sourav Das"/>
    <s v="Sourav Das"/>
    <x v="3"/>
    <x v="4"/>
    <s v="Activewear"/>
    <s v="Puma Track Pants"/>
    <x v="2"/>
    <s v="Delivered"/>
    <n v="14"/>
    <n v="1680"/>
    <n v="0.2"/>
    <n v="1130"/>
    <n v="18816"/>
    <n v="15820"/>
    <n v="2996"/>
    <n v="0.15922619047619047"/>
  </r>
  <r>
    <x v="164"/>
    <x v="72"/>
    <x v="0"/>
    <d v="1900-01-03T00:00:00"/>
    <x v="3"/>
    <s v="Chennai"/>
    <s v="Karthik Raman"/>
    <s v="Karthik Raman"/>
    <x v="0"/>
    <x v="2"/>
    <s v="Apparel"/>
    <s v="Us Polo T-Shirt"/>
    <x v="1"/>
    <s v="Delivered"/>
    <n v="33"/>
    <n v="1160"/>
    <n v="0"/>
    <n v="820"/>
    <n v="38280"/>
    <n v="27060"/>
    <n v="11220"/>
    <n v="0.29310344827586204"/>
  </r>
  <r>
    <x v="165"/>
    <x v="72"/>
    <x v="0"/>
    <d v="1900-01-03T00:00:00"/>
    <x v="3"/>
    <s v="Chennai"/>
    <s v="Karthik Raman"/>
    <s v="Karthik Raman"/>
    <x v="1"/>
    <x v="4"/>
    <s v="Activewear"/>
    <s v="Nivia Football Size 5"/>
    <x v="1"/>
    <s v="Pending"/>
    <n v="36"/>
    <n v="930"/>
    <n v="0.05"/>
    <n v="580"/>
    <n v="31806"/>
    <n v="20880"/>
    <n v="10926"/>
    <n v="0.34352009054895305"/>
  </r>
  <r>
    <x v="166"/>
    <x v="72"/>
    <x v="0"/>
    <d v="1900-01-03T00:00:00"/>
    <x v="0"/>
    <s v="Pune"/>
    <s v="Neha Deshpande"/>
    <s v="Neha Deshpande"/>
    <x v="0"/>
    <x v="4"/>
    <s v="Activewear"/>
    <s v="Nivia Football Size 5"/>
    <x v="2"/>
    <s v="Returned"/>
    <n v="38"/>
    <n v="860"/>
    <n v="0.1"/>
    <n v="570"/>
    <n v="29412"/>
    <n v="21660"/>
    <n v="7752"/>
    <n v="0.26356589147286824"/>
  </r>
  <r>
    <x v="167"/>
    <x v="73"/>
    <x v="0"/>
    <d v="1900-01-03T00:00:00"/>
    <x v="2"/>
    <s v="Lucknow"/>
    <s v="Aditya Verma"/>
    <s v="Aditya Verma"/>
    <x v="0"/>
    <x v="2"/>
    <s v="Accessories"/>
    <s v="Fastrack Analog Watch"/>
    <x v="1"/>
    <s v="Shipped"/>
    <n v="39"/>
    <n v="2600"/>
    <n v="0.18"/>
    <n v="1550"/>
    <n v="83148"/>
    <n v="60450"/>
    <n v="22698"/>
    <n v="0.27298311444652906"/>
  </r>
  <r>
    <x v="168"/>
    <x v="73"/>
    <x v="0"/>
    <d v="1900-01-03T00:00:00"/>
    <x v="1"/>
    <s v="Bhubaneswar"/>
    <s v="Sourav Das"/>
    <s v="Sourav Das"/>
    <x v="3"/>
    <x v="1"/>
    <s v="Air Conditioners"/>
    <s v="Voltas 1.5T Inverter Ac"/>
    <x v="1"/>
    <s v="Delivered"/>
    <n v="2"/>
    <n v="35070"/>
    <n v="0.08"/>
    <n v="22820"/>
    <n v="64528.800000000003"/>
    <n v="45640"/>
    <n v="18888.800000000003"/>
    <n v="0.29271891000607486"/>
  </r>
  <r>
    <x v="169"/>
    <x v="74"/>
    <x v="0"/>
    <d v="1900-01-03T00:00:00"/>
    <x v="3"/>
    <s v="Hyderabad"/>
    <s v="Karthik Raman"/>
    <s v="Karthik Raman"/>
    <x v="3"/>
    <x v="2"/>
    <s v="Footwear"/>
    <s v="Nike Revolution 7"/>
    <x v="2"/>
    <s v="Delivered"/>
    <n v="17"/>
    <n v="3680"/>
    <n v="0.18"/>
    <n v="2530"/>
    <n v="51299.200000000004"/>
    <n v="43010"/>
    <n v="8289.2000000000044"/>
    <n v="0.1615853658536586"/>
  </r>
  <r>
    <x v="170"/>
    <x v="75"/>
    <x v="0"/>
    <d v="1900-01-03T00:00:00"/>
    <x v="3"/>
    <s v="Coimbatore"/>
    <s v="Anjali Menon"/>
    <s v="Anjali Menon"/>
    <x v="0"/>
    <x v="1"/>
    <s v="Washing Machines"/>
    <s v="Ifb Front Load 7Kg"/>
    <x v="1"/>
    <s v="Pending"/>
    <n v="4"/>
    <n v="33130"/>
    <n v="0.1"/>
    <n v="18810"/>
    <n v="119268"/>
    <n v="75240"/>
    <n v="44028"/>
    <n v="0.36915182613945063"/>
  </r>
  <r>
    <x v="171"/>
    <x v="76"/>
    <x v="0"/>
    <d v="1900-01-03T00:00:00"/>
    <x v="2"/>
    <s v="Lucknow"/>
    <s v="Simran Kaur"/>
    <s v="Simran Kaur"/>
    <x v="0"/>
    <x v="1"/>
    <s v="Washing Machines"/>
    <s v="Ifb Front Load 7Kg"/>
    <x v="1"/>
    <s v="Delivered"/>
    <n v="4"/>
    <n v="34010"/>
    <n v="0.18"/>
    <n v="26300"/>
    <n v="111552.8"/>
    <n v="105200"/>
    <n v="6352.8000000000029"/>
    <n v="5.6948817062413518E-2"/>
  </r>
  <r>
    <x v="172"/>
    <x v="76"/>
    <x v="0"/>
    <d v="1900-01-03T00:00:00"/>
    <x v="3"/>
    <s v="Kochi"/>
    <s v="Karthik Raman"/>
    <s v="Karthik Raman"/>
    <x v="0"/>
    <x v="4"/>
    <s v="Sports Gear"/>
    <s v="Sg Cricket Bat English Willow"/>
    <x v="1"/>
    <s v="Delivered"/>
    <n v="15"/>
    <n v="4710"/>
    <n v="0.1"/>
    <n v="3320"/>
    <n v="63585"/>
    <n v="49800"/>
    <n v="13785"/>
    <n v="0.21679641424864354"/>
  </r>
  <r>
    <x v="173"/>
    <x v="76"/>
    <x v="0"/>
    <d v="1900-01-03T00:00:00"/>
    <x v="4"/>
    <s v="Jabalpur"/>
    <s v="Pooja Chouhan"/>
    <s v="Pooja Chouhan"/>
    <x v="0"/>
    <x v="2"/>
    <s v="Apparel"/>
    <s v="Allen Solly Formal Shirt"/>
    <x v="0"/>
    <s v="Delivered"/>
    <n v="7"/>
    <n v="1820"/>
    <n v="0"/>
    <n v="1160"/>
    <n v="12740"/>
    <n v="8120"/>
    <n v="4620"/>
    <n v="0.36263736263736263"/>
  </r>
  <r>
    <x v="174"/>
    <x v="77"/>
    <x v="0"/>
    <d v="1900-01-03T00:00:00"/>
    <x v="3"/>
    <s v="Kochi"/>
    <s v="Karthik Raman"/>
    <s v="Karthik Raman"/>
    <x v="0"/>
    <x v="0"/>
    <s v="Mobile Phones"/>
    <s v="Iphone 15"/>
    <x v="0"/>
    <s v="Delivered"/>
    <n v="3"/>
    <n v="69780"/>
    <n v="0.12"/>
    <n v="48060"/>
    <n v="184219.2"/>
    <n v="144180"/>
    <n v="40039.200000000012"/>
    <n v="0.2173454232783554"/>
  </r>
  <r>
    <x v="175"/>
    <x v="78"/>
    <x v="0"/>
    <d v="1900-01-03T00:00:00"/>
    <x v="3"/>
    <s v="Chennai"/>
    <s v="Karthik Raman"/>
    <s v="Karthik Raman"/>
    <x v="2"/>
    <x v="3"/>
    <s v="Tables"/>
    <s v="Study Table Engineered Wood"/>
    <x v="0"/>
    <s v="Delivered"/>
    <n v="9"/>
    <n v="8220"/>
    <n v="0.12"/>
    <n v="5360"/>
    <n v="65102.400000000001"/>
    <n v="48240"/>
    <n v="16862.400000000001"/>
    <n v="0.25901349259013495"/>
  </r>
  <r>
    <x v="176"/>
    <x v="78"/>
    <x v="0"/>
    <d v="1900-01-03T00:00:00"/>
    <x v="1"/>
    <s v="Siliguri"/>
    <s v="Ritika Ghosh"/>
    <s v="Ritika Ghosh"/>
    <x v="3"/>
    <x v="1"/>
    <s v="Washing Machines"/>
    <s v="Ifb Front Load 7Kg"/>
    <x v="0"/>
    <s v="Shipped"/>
    <n v="4"/>
    <n v="36560"/>
    <n v="0.05"/>
    <n v="22120"/>
    <n v="138928"/>
    <n v="88480"/>
    <n v="50448"/>
    <n v="0.36312334446619832"/>
  </r>
  <r>
    <x v="177"/>
    <x v="78"/>
    <x v="0"/>
    <d v="1900-01-03T00:00:00"/>
    <x v="4"/>
    <s v="Raipur"/>
    <s v="Manish Tiwari"/>
    <s v="Manish Tiwari"/>
    <x v="1"/>
    <x v="2"/>
    <s v="Footwear"/>
    <s v="Campus Running Shoes"/>
    <x v="1"/>
    <s v="Delivered"/>
    <n v="48"/>
    <n v="1660"/>
    <n v="0.25"/>
    <n v="950"/>
    <n v="59760"/>
    <n v="45600"/>
    <n v="14160"/>
    <n v="0.23694779116465864"/>
  </r>
  <r>
    <x v="178"/>
    <x v="78"/>
    <x v="0"/>
    <d v="1900-01-03T00:00:00"/>
    <x v="0"/>
    <s v="Nagpur"/>
    <s v="Imran Sheikh"/>
    <s v="Imran Sheikh"/>
    <x v="1"/>
    <x v="4"/>
    <s v="Fitness Equipment"/>
    <s v="Adjustable Dumbbell Set 10Kg"/>
    <x v="0"/>
    <s v="Delivered"/>
    <n v="32"/>
    <n v="2340"/>
    <n v="0.1"/>
    <n v="1790"/>
    <n v="67392"/>
    <n v="57280"/>
    <n v="10112"/>
    <n v="0.15004748338081672"/>
  </r>
  <r>
    <x v="179"/>
    <x v="78"/>
    <x v="0"/>
    <d v="1900-01-03T00:00:00"/>
    <x v="0"/>
    <s v="Nagpur"/>
    <s v="Prateek Shah"/>
    <s v="Prateek Shah"/>
    <x v="3"/>
    <x v="0"/>
    <s v="Televisions"/>
    <s v="Mi Tv 5X 43 Inch"/>
    <x v="1"/>
    <s v="Delivered"/>
    <n v="8"/>
    <n v="31740"/>
    <n v="0.2"/>
    <n v="18530"/>
    <n v="203136"/>
    <n v="148240"/>
    <n v="54896"/>
    <n v="0.27024259609325774"/>
  </r>
  <r>
    <x v="180"/>
    <x v="79"/>
    <x v="0"/>
    <d v="1900-01-03T00:00:00"/>
    <x v="0"/>
    <s v="Nagpur"/>
    <s v="Prateek Shah"/>
    <s v="Prateek Shah"/>
    <x v="2"/>
    <x v="2"/>
    <s v="Accessories"/>
    <s v="Wildcraft 35L Backpack"/>
    <x v="1"/>
    <s v="Delivered"/>
    <n v="14"/>
    <n v="1830"/>
    <n v="0.05"/>
    <n v="1430"/>
    <n v="24339"/>
    <n v="20020"/>
    <n v="4319"/>
    <n v="0.17745182628702905"/>
  </r>
  <r>
    <x v="181"/>
    <x v="79"/>
    <x v="0"/>
    <d v="1900-01-03T00:00:00"/>
    <x v="2"/>
    <s v="Noida"/>
    <s v="Aditya Verma"/>
    <s v="Aditya Verma"/>
    <x v="3"/>
    <x v="3"/>
    <s v="Office Chairs"/>
    <s v="Nilkamal Executive Chair"/>
    <x v="1"/>
    <s v="Delivered"/>
    <n v="16"/>
    <n v="6550"/>
    <n v="0.18"/>
    <n v="4650"/>
    <n v="85936"/>
    <n v="74400"/>
    <n v="11536"/>
    <n v="0.13423943399739341"/>
  </r>
  <r>
    <x v="182"/>
    <x v="79"/>
    <x v="0"/>
    <d v="1900-01-03T00:00:00"/>
    <x v="0"/>
    <s v="Nashik"/>
    <s v="Neha Deshpande"/>
    <s v="Neha Deshpande"/>
    <x v="0"/>
    <x v="0"/>
    <s v="Televisions"/>
    <s v="Mi Tv 5X 43 Inch"/>
    <x v="0"/>
    <s v="Delivered"/>
    <n v="2"/>
    <n v="32810"/>
    <n v="0.1"/>
    <n v="20690"/>
    <n v="59058"/>
    <n v="41380"/>
    <n v="17678"/>
    <n v="0.29933285922313657"/>
  </r>
  <r>
    <x v="183"/>
    <x v="80"/>
    <x v="0"/>
    <d v="1900-01-03T00:00:00"/>
    <x v="2"/>
    <s v="Jaipur"/>
    <s v="Simran Kaur"/>
    <s v="Simran Kaur"/>
    <x v="2"/>
    <x v="0"/>
    <s v="Audio Devices"/>
    <s v="Sony Wh-Ch720N"/>
    <x v="0"/>
    <s v="Delivered"/>
    <n v="15"/>
    <n v="8380"/>
    <n v="0"/>
    <n v="5080"/>
    <n v="125700"/>
    <n v="76200"/>
    <n v="49500"/>
    <n v="0.3937947494033413"/>
  </r>
  <r>
    <x v="184"/>
    <x v="81"/>
    <x v="0"/>
    <d v="1900-01-03T00:00:00"/>
    <x v="1"/>
    <s v="Guwahati"/>
    <s v="Ritika Ghosh"/>
    <s v="Ritika Ghosh"/>
    <x v="3"/>
    <x v="0"/>
    <s v="Laptops"/>
    <s v="Dell Inspiron 3520"/>
    <x v="0"/>
    <s v="Delivered"/>
    <n v="6"/>
    <n v="56340"/>
    <n v="0.08"/>
    <n v="36840"/>
    <n v="310996.8"/>
    <n v="221040"/>
    <n v="89956.799999999988"/>
    <n v="0.28925313700976985"/>
  </r>
  <r>
    <x v="185"/>
    <x v="81"/>
    <x v="0"/>
    <d v="1900-01-03T00:00:00"/>
    <x v="0"/>
    <s v="Surat"/>
    <s v="Prateek Shah"/>
    <s v="Prateek Shah"/>
    <x v="2"/>
    <x v="1"/>
    <s v="Air Conditioners"/>
    <s v="Voltas 1.5T Inverter Ac"/>
    <x v="0"/>
    <s v="Pending"/>
    <n v="2"/>
    <n v="34530"/>
    <n v="0"/>
    <n v="26400"/>
    <n v="69060"/>
    <n v="52800"/>
    <n v="16260"/>
    <n v="0.23544743701129453"/>
  </r>
  <r>
    <x v="186"/>
    <x v="82"/>
    <x v="0"/>
    <d v="1900-01-03T00:00:00"/>
    <x v="1"/>
    <s v="Ranchi"/>
    <s v="Sourav Das"/>
    <s v="Sourav Das"/>
    <x v="1"/>
    <x v="1"/>
    <s v="Kitchen Appliances"/>
    <s v="Prestige Mixer Grinder"/>
    <x v="0"/>
    <s v="Shipped"/>
    <n v="16"/>
    <n v="4380"/>
    <n v="0.08"/>
    <n v="3270"/>
    <n v="64473.600000000006"/>
    <n v="52320"/>
    <n v="12153.600000000006"/>
    <n v="0.1885050625372246"/>
  </r>
  <r>
    <x v="187"/>
    <x v="83"/>
    <x v="0"/>
    <d v="1900-01-03T00:00:00"/>
    <x v="0"/>
    <s v="Pune"/>
    <s v="Imran Sheikh"/>
    <s v="Imran Sheikh"/>
    <x v="1"/>
    <x v="0"/>
    <s v="Mobile Phones"/>
    <s v="Iphone 15"/>
    <x v="0"/>
    <s v="Delivered"/>
    <n v="4"/>
    <n v="68260"/>
    <n v="0.05"/>
    <n v="47440"/>
    <n v="259388"/>
    <n v="189760"/>
    <n v="69628"/>
    <n v="0.26843184727126929"/>
  </r>
  <r>
    <x v="188"/>
    <x v="83"/>
    <x v="0"/>
    <d v="1900-01-03T00:00:00"/>
    <x v="4"/>
    <s v="Raipur"/>
    <s v="Pooja Chouhan"/>
    <s v="Pooja Chouhan"/>
    <x v="3"/>
    <x v="4"/>
    <s v="Sports Gear"/>
    <s v="Sg Cricket Bat English Willow"/>
    <x v="0"/>
    <s v="Delivered"/>
    <n v="16"/>
    <n v="4490"/>
    <n v="0.2"/>
    <n v="3210"/>
    <n v="57472"/>
    <n v="51360"/>
    <n v="6112"/>
    <n v="0.10634743875278396"/>
  </r>
  <r>
    <x v="189"/>
    <x v="83"/>
    <x v="0"/>
    <d v="1900-01-03T00:00:00"/>
    <x v="3"/>
    <s v="Coimbatore"/>
    <s v="Divya Nair"/>
    <s v="Divya Nair"/>
    <x v="3"/>
    <x v="0"/>
    <s v="Audio Devices"/>
    <s v="Sony Wh-Ch720N"/>
    <x v="2"/>
    <s v="Delivered"/>
    <n v="3"/>
    <n v="8430"/>
    <n v="0.15"/>
    <n v="5670"/>
    <n v="21496.5"/>
    <n v="17010"/>
    <n v="4486.5"/>
    <n v="0.20870839438978439"/>
  </r>
  <r>
    <x v="190"/>
    <x v="84"/>
    <x v="0"/>
    <d v="1900-01-03T00:00:00"/>
    <x v="1"/>
    <s v="Kolkata"/>
    <s v="Ritika Ghosh"/>
    <s v="Ritika Ghosh"/>
    <x v="3"/>
    <x v="0"/>
    <s v="Audio Devices"/>
    <s v="Boat Airdopes 141"/>
    <x v="0"/>
    <s v="Returned"/>
    <n v="47"/>
    <n v="1810"/>
    <n v="0.1"/>
    <n v="1100"/>
    <n v="76563"/>
    <n v="51700"/>
    <n v="24863"/>
    <n v="0.32473910374462861"/>
  </r>
  <r>
    <x v="191"/>
    <x v="85"/>
    <x v="0"/>
    <d v="1900-01-03T00:00:00"/>
    <x v="3"/>
    <s v="Visakhapatnam"/>
    <s v="Karthik Raman"/>
    <s v="Karthik Raman"/>
    <x v="0"/>
    <x v="1"/>
    <s v="Washing Machines"/>
    <s v="Ifb Front Load 7Kg"/>
    <x v="1"/>
    <s v="Delivered"/>
    <n v="4"/>
    <n v="32410"/>
    <n v="0"/>
    <n v="20450"/>
    <n v="129640"/>
    <n v="81800"/>
    <n v="47840"/>
    <n v="0.36902190681888308"/>
  </r>
  <r>
    <x v="192"/>
    <x v="86"/>
    <x v="0"/>
    <d v="1900-01-03T00:00:00"/>
    <x v="2"/>
    <s v="Lucknow"/>
    <s v="Aditya Verma"/>
    <s v="Aditya Verma"/>
    <x v="0"/>
    <x v="3"/>
    <s v="Sofas"/>
    <s v="3-Seater Fabric Sofa"/>
    <x v="0"/>
    <s v="Delivered"/>
    <n v="4"/>
    <n v="34470"/>
    <n v="0.1"/>
    <n v="20990"/>
    <n v="124092"/>
    <n v="83960"/>
    <n v="40132"/>
    <n v="0.32340521548528511"/>
  </r>
  <r>
    <x v="193"/>
    <x v="86"/>
    <x v="0"/>
    <d v="1900-01-03T00:00:00"/>
    <x v="0"/>
    <s v="Ahmedabad"/>
    <s v="Imran Sheikh"/>
    <s v="Imran Sheikh"/>
    <x v="0"/>
    <x v="0"/>
    <s v="Televisions"/>
    <s v="Mi Tv 5X 43 Inch"/>
    <x v="1"/>
    <s v="Delivered"/>
    <n v="1"/>
    <n v="31750"/>
    <n v="0.08"/>
    <n v="17860"/>
    <n v="29210"/>
    <n v="17860"/>
    <n v="11350"/>
    <n v="0.38856555973981516"/>
  </r>
  <r>
    <x v="194"/>
    <x v="86"/>
    <x v="0"/>
    <d v="1900-01-03T00:00:00"/>
    <x v="1"/>
    <s v="Kolkata"/>
    <s v="Sourav Das"/>
    <s v="Sourav Das"/>
    <x v="0"/>
    <x v="1"/>
    <s v="Kitchen Appliances"/>
    <s v="Pigeon Induction Cooktop"/>
    <x v="0"/>
    <s v="Delivered"/>
    <n v="12"/>
    <n v="2470"/>
    <n v="0.12"/>
    <n v="1520"/>
    <n v="26083.200000000001"/>
    <n v="18240"/>
    <n v="7843.2000000000007"/>
    <n v="0.30069930069930073"/>
  </r>
  <r>
    <x v="195"/>
    <x v="87"/>
    <x v="0"/>
    <d v="1900-01-03T00:00:00"/>
    <x v="3"/>
    <s v="Bengaluru"/>
    <s v="Divya Nair"/>
    <s v="Divya Nair"/>
    <x v="1"/>
    <x v="2"/>
    <s v="Footwear"/>
    <s v="Campus Running Shoes"/>
    <x v="1"/>
    <s v="Delivered"/>
    <n v="70"/>
    <n v="1720"/>
    <n v="0.12"/>
    <n v="1120"/>
    <n v="105952"/>
    <n v="78400"/>
    <n v="27552"/>
    <n v="0.26004228329809725"/>
  </r>
  <r>
    <x v="196"/>
    <x v="88"/>
    <x v="0"/>
    <d v="1900-01-03T00:00:00"/>
    <x v="3"/>
    <s v="Chennai"/>
    <s v="Anjali Menon"/>
    <s v="Anjali Menon"/>
    <x v="2"/>
    <x v="0"/>
    <s v="Laptops"/>
    <s v="Dell Inspiron 3520"/>
    <x v="0"/>
    <s v="Returned"/>
    <n v="3"/>
    <n v="54670"/>
    <n v="0.15"/>
    <n v="31590"/>
    <n v="139408.5"/>
    <n v="94770"/>
    <n v="44638.5"/>
    <n v="0.32019927048924562"/>
  </r>
  <r>
    <x v="197"/>
    <x v="88"/>
    <x v="0"/>
    <d v="1900-01-03T00:00:00"/>
    <x v="2"/>
    <s v="Noida"/>
    <s v="Aditya Verma"/>
    <s v="Aditya Verma"/>
    <x v="3"/>
    <x v="0"/>
    <s v="Televisions"/>
    <s v="Samsung Crystal 4K 55 Inch"/>
    <x v="1"/>
    <s v="Delivered"/>
    <n v="2"/>
    <n v="55270"/>
    <n v="0.18"/>
    <n v="42730"/>
    <n v="90642.8"/>
    <n v="85460"/>
    <n v="5182.8000000000029"/>
    <n v="5.7178286637217766E-2"/>
  </r>
  <r>
    <x v="198"/>
    <x v="89"/>
    <x v="0"/>
    <d v="1900-01-03T00:00:00"/>
    <x v="3"/>
    <s v="Hyderabad"/>
    <s v="Divya Nair"/>
    <s v="Divya Nair"/>
    <x v="0"/>
    <x v="3"/>
    <s v="Sofas"/>
    <s v="Single Seater Recliner"/>
    <x v="2"/>
    <s v="Delivered"/>
    <n v="3"/>
    <n v="42950"/>
    <n v="0.12"/>
    <n v="30320"/>
    <n v="113388"/>
    <n v="90960"/>
    <n v="22428"/>
    <n v="0.19779870885808021"/>
  </r>
  <r>
    <x v="199"/>
    <x v="89"/>
    <x v="0"/>
    <d v="1900-01-03T00:00:00"/>
    <x v="2"/>
    <s v="Noida"/>
    <s v="Rohit Malhotra"/>
    <s v="Rohit Malhotra"/>
    <x v="0"/>
    <x v="2"/>
    <s v="Accessories"/>
    <s v="Fastrack Analog Watch"/>
    <x v="0"/>
    <s v="Delivered"/>
    <n v="28"/>
    <n v="2560"/>
    <n v="0.08"/>
    <n v="1600"/>
    <n v="65945.600000000006"/>
    <n v="44800"/>
    <n v="21145.600000000006"/>
    <n v="0.32065217391304351"/>
  </r>
  <r>
    <x v="200"/>
    <x v="90"/>
    <x v="0"/>
    <d v="1900-01-03T00:00:00"/>
    <x v="3"/>
    <s v="Kochi"/>
    <s v="Anjali Menon"/>
    <s v="Anjali Menon"/>
    <x v="0"/>
    <x v="1"/>
    <s v="Air Conditioners"/>
    <s v="Daikin 1.5T Split Ac"/>
    <x v="1"/>
    <s v="Delivered"/>
    <n v="2"/>
    <n v="42470"/>
    <n v="0.05"/>
    <n v="31170"/>
    <n v="80693"/>
    <n v="62340"/>
    <n v="18353"/>
    <n v="0.22744228123876917"/>
  </r>
  <r>
    <x v="201"/>
    <x v="90"/>
    <x v="0"/>
    <d v="1900-01-03T00:00:00"/>
    <x v="0"/>
    <s v="Nagpur"/>
    <s v="Imran Sheikh"/>
    <s v="Imran Sheikh"/>
    <x v="0"/>
    <x v="2"/>
    <s v="Apparel"/>
    <s v="Allen Solly Formal Shirt"/>
    <x v="0"/>
    <s v="Delivered"/>
    <n v="37"/>
    <n v="1750"/>
    <n v="0"/>
    <n v="1100"/>
    <n v="64750"/>
    <n v="40700"/>
    <n v="24050"/>
    <n v="0.37142857142857144"/>
  </r>
  <r>
    <x v="202"/>
    <x v="90"/>
    <x v="0"/>
    <d v="1900-01-03T00:00:00"/>
    <x v="0"/>
    <s v="Surat"/>
    <s v="Prateek Shah"/>
    <s v="Prateek Shah"/>
    <x v="3"/>
    <x v="0"/>
    <s v="Laptops"/>
    <s v="Dell Inspiron 3520"/>
    <x v="0"/>
    <s v="Delivered"/>
    <n v="4"/>
    <n v="52410"/>
    <n v="0"/>
    <n v="41220"/>
    <n v="209640"/>
    <n v="164880"/>
    <n v="44760"/>
    <n v="0.21350887235260446"/>
  </r>
  <r>
    <x v="203"/>
    <x v="90"/>
    <x v="0"/>
    <d v="1900-01-03T00:00:00"/>
    <x v="2"/>
    <s v="Gurugram"/>
    <s v="Simran Kaur"/>
    <s v="Simran Kaur"/>
    <x v="0"/>
    <x v="2"/>
    <s v="Accessories"/>
    <s v="Wildcraft 35L Backpack"/>
    <x v="1"/>
    <s v="Delivered"/>
    <n v="21"/>
    <n v="1990"/>
    <n v="0.1"/>
    <n v="1130"/>
    <n v="37611"/>
    <n v="23730"/>
    <n v="13881"/>
    <n v="0.36906756002233387"/>
  </r>
  <r>
    <x v="204"/>
    <x v="90"/>
    <x v="0"/>
    <d v="1900-01-03T00:00:00"/>
    <x v="2"/>
    <s v="Lucknow"/>
    <s v="Rohit Malhotra"/>
    <s v="Rohit Malhotra"/>
    <x v="0"/>
    <x v="0"/>
    <s v="Laptops"/>
    <s v="Hp Pavilion 15"/>
    <x v="1"/>
    <s v="Shipped"/>
    <n v="4"/>
    <n v="61350"/>
    <n v="0.08"/>
    <n v="36520"/>
    <n v="225768"/>
    <n v="146080"/>
    <n v="79688"/>
    <n v="0.35296410474469364"/>
  </r>
  <r>
    <x v="205"/>
    <x v="91"/>
    <x v="0"/>
    <d v="1900-01-03T00:00:00"/>
    <x v="4"/>
    <s v="Indore"/>
    <s v="Manish Tiwari"/>
    <s v="Manish Tiwari"/>
    <x v="1"/>
    <x v="2"/>
    <s v="Footwear"/>
    <s v="Bata Formal Shoes"/>
    <x v="0"/>
    <s v="Delivered"/>
    <n v="45"/>
    <n v="2180"/>
    <n v="0.12"/>
    <n v="1370"/>
    <n v="86328"/>
    <n v="61650"/>
    <n v="24678"/>
    <n v="0.28586321934945791"/>
  </r>
  <r>
    <x v="206"/>
    <x v="91"/>
    <x v="0"/>
    <d v="1900-01-03T00:00:00"/>
    <x v="0"/>
    <s v="Nashik"/>
    <s v="Imran Sheikh"/>
    <s v="Imran Sheikh"/>
    <x v="0"/>
    <x v="1"/>
    <s v="Kitchen Appliances"/>
    <s v="Philips Air Fryer"/>
    <x v="1"/>
    <s v="Delivered"/>
    <n v="14"/>
    <n v="9420"/>
    <n v="0.15"/>
    <n v="7150"/>
    <n v="112098"/>
    <n v="100100"/>
    <n v="11998"/>
    <n v="0.10703134757087548"/>
  </r>
  <r>
    <x v="207"/>
    <x v="92"/>
    <x v="0"/>
    <d v="1900-01-03T00:00:00"/>
    <x v="2"/>
    <s v="Jaipur"/>
    <s v="Simran Kaur"/>
    <s v="Simran Kaur"/>
    <x v="2"/>
    <x v="2"/>
    <s v="Accessories"/>
    <s v="Wildcraft 35L Backpack"/>
    <x v="0"/>
    <s v="Returned"/>
    <n v="29"/>
    <n v="1910"/>
    <n v="0.12"/>
    <n v="1230"/>
    <n v="48743.199999999997"/>
    <n v="35670"/>
    <n v="13073.199999999997"/>
    <n v="0.2682056163731556"/>
  </r>
  <r>
    <x v="208"/>
    <x v="92"/>
    <x v="0"/>
    <d v="1900-01-03T00:00:00"/>
    <x v="1"/>
    <s v="Guwahati"/>
    <s v="Sourav Das"/>
    <s v="Sourav Das"/>
    <x v="0"/>
    <x v="4"/>
    <s v="Fitness Equipment"/>
    <s v="Adjustable Dumbbell Set 10Kg"/>
    <x v="1"/>
    <s v="Shipped"/>
    <n v="19"/>
    <n v="2520"/>
    <n v="0.15"/>
    <n v="1490"/>
    <n v="40698"/>
    <n v="28310"/>
    <n v="12388"/>
    <n v="0.30438842203548083"/>
  </r>
  <r>
    <x v="209"/>
    <x v="93"/>
    <x v="0"/>
    <d v="1900-01-03T00:00:00"/>
    <x v="2"/>
    <s v="Lucknow"/>
    <s v="Aditya Verma"/>
    <s v="Aditya Verma"/>
    <x v="2"/>
    <x v="2"/>
    <s v="Apparel"/>
    <s v="Allen Solly Formal Shirt"/>
    <x v="2"/>
    <s v="Delivered"/>
    <n v="40"/>
    <n v="1930"/>
    <n v="0"/>
    <n v="1520"/>
    <n v="77200"/>
    <n v="60800"/>
    <n v="16400"/>
    <n v="0.21243523316062177"/>
  </r>
  <r>
    <x v="210"/>
    <x v="93"/>
    <x v="0"/>
    <d v="1900-01-03T00:00:00"/>
    <x v="2"/>
    <s v="Chandigarh"/>
    <s v="Simran Kaur"/>
    <s v="Simran Kaur"/>
    <x v="0"/>
    <x v="0"/>
    <s v="Mobile Phones"/>
    <s v="Samsung Galaxy M35"/>
    <x v="1"/>
    <s v="Delivered"/>
    <n v="3"/>
    <n v="21430"/>
    <n v="0"/>
    <n v="14830"/>
    <n v="64290"/>
    <n v="44490"/>
    <n v="19800"/>
    <n v="0.30797946803546428"/>
  </r>
  <r>
    <x v="211"/>
    <x v="94"/>
    <x v="0"/>
    <d v="1900-01-03T00:00:00"/>
    <x v="3"/>
    <s v="Visakhapatnam"/>
    <s v="Divya Nair"/>
    <s v="Divya Nair"/>
    <x v="3"/>
    <x v="0"/>
    <s v="Laptops"/>
    <s v="Macbook Air M3"/>
    <x v="1"/>
    <s v="Shipped"/>
    <n v="1"/>
    <n v="105600"/>
    <n v="0.15"/>
    <n v="78440"/>
    <n v="89760"/>
    <n v="78440"/>
    <n v="11320"/>
    <n v="0.12611408199643495"/>
  </r>
  <r>
    <x v="212"/>
    <x v="94"/>
    <x v="0"/>
    <d v="1900-01-03T00:00:00"/>
    <x v="2"/>
    <s v="Lucknow"/>
    <s v="Rohit Malhotra"/>
    <s v="Rohit Malhotra"/>
    <x v="1"/>
    <x v="1"/>
    <s v="Air Conditioners"/>
    <s v="Daikin 1.5T Split Ac"/>
    <x v="0"/>
    <s v="Delivered"/>
    <n v="3"/>
    <n v="45030"/>
    <n v="0"/>
    <n v="32350"/>
    <n v="135090"/>
    <n v="97050"/>
    <n v="38040"/>
    <n v="0.28159005107705976"/>
  </r>
  <r>
    <x v="213"/>
    <x v="95"/>
    <x v="0"/>
    <d v="1900-01-04T00:00:00"/>
    <x v="1"/>
    <s v="Bhubaneswar"/>
    <s v="Sourav Das"/>
    <s v="Sourav Das"/>
    <x v="0"/>
    <x v="2"/>
    <s v="Footwear"/>
    <s v="Bata Formal Shoes"/>
    <x v="1"/>
    <s v="Delivered"/>
    <n v="29"/>
    <n v="2340"/>
    <n v="0.15"/>
    <n v="1530"/>
    <n v="57681"/>
    <n v="44370"/>
    <n v="13311"/>
    <n v="0.23076923076923078"/>
  </r>
  <r>
    <x v="214"/>
    <x v="96"/>
    <x v="0"/>
    <d v="1900-01-04T00:00:00"/>
    <x v="2"/>
    <s v="Delhi"/>
    <s v="Simran Kaur"/>
    <s v="Simran Kaur"/>
    <x v="0"/>
    <x v="4"/>
    <s v="Fitness Equipment"/>
    <s v="Adjustable Dumbbell Set 10Kg"/>
    <x v="1"/>
    <s v="Delivered"/>
    <n v="24"/>
    <n v="2330"/>
    <n v="0.08"/>
    <n v="1400"/>
    <n v="51446.400000000001"/>
    <n v="33600"/>
    <n v="17846.400000000001"/>
    <n v="0.34689307706661693"/>
  </r>
  <r>
    <x v="215"/>
    <x v="96"/>
    <x v="0"/>
    <d v="1900-01-04T00:00:00"/>
    <x v="2"/>
    <s v="Jaipur"/>
    <s v="Aditya Verma"/>
    <s v="Aditya Verma"/>
    <x v="0"/>
    <x v="2"/>
    <s v="Apparel"/>
    <s v="Allen Solly Formal Shirt"/>
    <x v="0"/>
    <s v="Returned"/>
    <n v="38"/>
    <n v="1790"/>
    <n v="0.05"/>
    <n v="1140"/>
    <n v="64619"/>
    <n v="43320"/>
    <n v="21299"/>
    <n v="0.32960893854748602"/>
  </r>
  <r>
    <x v="216"/>
    <x v="97"/>
    <x v="0"/>
    <d v="1900-01-04T00:00:00"/>
    <x v="2"/>
    <s v="Gurugram"/>
    <s v="Rohit Malhotra"/>
    <s v="Rohit Malhotra"/>
    <x v="0"/>
    <x v="2"/>
    <s v="Footwear"/>
    <s v="Bata Formal Shoes"/>
    <x v="0"/>
    <s v="Delivered"/>
    <n v="38"/>
    <n v="2290"/>
    <n v="0.1"/>
    <n v="1320"/>
    <n v="78318"/>
    <n v="50160"/>
    <n v="28158"/>
    <n v="0.35953420669577874"/>
  </r>
  <r>
    <x v="217"/>
    <x v="97"/>
    <x v="0"/>
    <d v="1900-01-04T00:00:00"/>
    <x v="4"/>
    <s v="Jabalpur"/>
    <s v="Manish Tiwari"/>
    <s v="Manish Tiwari"/>
    <x v="0"/>
    <x v="0"/>
    <s v="Audio Devices"/>
    <s v="Jbl Flip 6"/>
    <x v="0"/>
    <s v="Pending"/>
    <n v="6"/>
    <n v="8970"/>
    <n v="0.2"/>
    <n v="7040"/>
    <n v="43056"/>
    <n v="42240"/>
    <n v="816"/>
    <n v="1.89520624303233E-2"/>
  </r>
  <r>
    <x v="218"/>
    <x v="98"/>
    <x v="0"/>
    <d v="1900-01-04T00:00:00"/>
    <x v="0"/>
    <s v="Nagpur"/>
    <s v="Neha Deshpande"/>
    <s v="Neha Deshpande"/>
    <x v="3"/>
    <x v="2"/>
    <s v="Footwear"/>
    <s v="Nike Revolution 7"/>
    <x v="1"/>
    <s v="Delivered"/>
    <n v="6"/>
    <n v="4030"/>
    <n v="0"/>
    <n v="2950"/>
    <n v="24180"/>
    <n v="17700"/>
    <n v="6480"/>
    <n v="0.26799007444168732"/>
  </r>
  <r>
    <x v="219"/>
    <x v="98"/>
    <x v="0"/>
    <d v="1900-01-04T00:00:00"/>
    <x v="0"/>
    <s v="Ahmedabad"/>
    <s v="Prateek Shah"/>
    <s v="Prateek Shah"/>
    <x v="3"/>
    <x v="4"/>
    <s v="Fitness Equipment"/>
    <s v="Home Foldable Treadmill"/>
    <x v="2"/>
    <s v="Delivered"/>
    <n v="4"/>
    <n v="40240"/>
    <n v="0.2"/>
    <n v="30700"/>
    <n v="128768"/>
    <n v="122800"/>
    <n v="5968"/>
    <n v="4.6346918489065608E-2"/>
  </r>
  <r>
    <x v="220"/>
    <x v="98"/>
    <x v="0"/>
    <d v="1900-01-04T00:00:00"/>
    <x v="3"/>
    <s v="Bengaluru"/>
    <s v="Divya Nair"/>
    <s v="Divya Nair"/>
    <x v="2"/>
    <x v="0"/>
    <s v="Mobile Phones"/>
    <s v="Iphone 15"/>
    <x v="2"/>
    <s v="Delivered"/>
    <n v="1"/>
    <n v="70090"/>
    <n v="0"/>
    <n v="46840"/>
    <n v="70090"/>
    <n v="46840"/>
    <n v="23250"/>
    <n v="0.33171636467399057"/>
  </r>
  <r>
    <x v="221"/>
    <x v="98"/>
    <x v="0"/>
    <d v="1900-01-04T00:00:00"/>
    <x v="0"/>
    <s v="Pune"/>
    <s v="Imran Sheikh"/>
    <s v="Imran Sheikh"/>
    <x v="0"/>
    <x v="0"/>
    <s v="Audio Devices"/>
    <s v="Sony Wh-Ch720N"/>
    <x v="0"/>
    <s v="Delivered"/>
    <n v="14"/>
    <n v="8470"/>
    <n v="0.15"/>
    <n v="6170"/>
    <n v="100793"/>
    <n v="86380"/>
    <n v="14413"/>
    <n v="0.14299604139176331"/>
  </r>
  <r>
    <x v="222"/>
    <x v="99"/>
    <x v="0"/>
    <d v="1900-01-04T00:00:00"/>
    <x v="4"/>
    <s v="Ujjain"/>
    <s v="Pooja Chouhan"/>
    <s v="Pooja Chouhan"/>
    <x v="0"/>
    <x v="0"/>
    <s v="Televisions"/>
    <s v="Mi Tv 5X 43 Inch"/>
    <x v="1"/>
    <s v="Delivered"/>
    <n v="3"/>
    <n v="33490"/>
    <n v="0.18"/>
    <n v="24320"/>
    <n v="82385.400000000009"/>
    <n v="72960"/>
    <n v="9425.4000000000087"/>
    <n v="0.11440619333037173"/>
  </r>
  <r>
    <x v="223"/>
    <x v="100"/>
    <x v="0"/>
    <d v="1900-01-04T00:00:00"/>
    <x v="2"/>
    <s v="Delhi"/>
    <s v="Simran Kaur"/>
    <s v="Simran Kaur"/>
    <x v="0"/>
    <x v="4"/>
    <s v="Fitness Equipment"/>
    <s v="Adjustable Dumbbell Set 10Kg"/>
    <x v="1"/>
    <s v="Delivered"/>
    <n v="26"/>
    <n v="2390"/>
    <n v="0.1"/>
    <n v="1340"/>
    <n v="55926"/>
    <n v="34840"/>
    <n v="21086"/>
    <n v="0.37703393770339377"/>
  </r>
  <r>
    <x v="224"/>
    <x v="100"/>
    <x v="0"/>
    <d v="1900-01-04T00:00:00"/>
    <x v="2"/>
    <s v="Lucknow"/>
    <s v="Simran Kaur"/>
    <s v="Simran Kaur"/>
    <x v="1"/>
    <x v="0"/>
    <s v="Laptops"/>
    <s v="Macbook Air M3"/>
    <x v="0"/>
    <s v="Delivered"/>
    <n v="6"/>
    <n v="113040"/>
    <n v="0.05"/>
    <n v="88190"/>
    <n v="644328"/>
    <n v="529140"/>
    <n v="115188"/>
    <n v="0.17877230230565799"/>
  </r>
  <r>
    <x v="225"/>
    <x v="100"/>
    <x v="0"/>
    <d v="1900-01-04T00:00:00"/>
    <x v="3"/>
    <s v="Coimbatore"/>
    <s v="Divya Nair"/>
    <s v="Divya Nair"/>
    <x v="1"/>
    <x v="2"/>
    <s v="Footwear"/>
    <s v="Nike Revolution 7"/>
    <x v="1"/>
    <s v="Delivered"/>
    <n v="14"/>
    <n v="3690"/>
    <n v="0.2"/>
    <n v="2240"/>
    <n v="41328"/>
    <n v="31360"/>
    <n v="9968"/>
    <n v="0.24119241192411925"/>
  </r>
  <r>
    <x v="226"/>
    <x v="101"/>
    <x v="0"/>
    <d v="1900-01-04T00:00:00"/>
    <x v="3"/>
    <s v="Coimbatore"/>
    <s v="Anjali Menon"/>
    <s v="Anjali Menon"/>
    <x v="0"/>
    <x v="3"/>
    <s v="Sofas"/>
    <s v="3-Seater Fabric Sofa"/>
    <x v="0"/>
    <s v="Delivered"/>
    <n v="1"/>
    <n v="31730"/>
    <n v="0.1"/>
    <n v="22860"/>
    <n v="28557"/>
    <n v="22860"/>
    <n v="5697"/>
    <n v="0.19949574535140246"/>
  </r>
  <r>
    <x v="227"/>
    <x v="102"/>
    <x v="0"/>
    <d v="1900-01-04T00:00:00"/>
    <x v="2"/>
    <s v="Delhi"/>
    <s v="Simran Kaur"/>
    <s v="Simran Kaur"/>
    <x v="0"/>
    <x v="3"/>
    <s v="Office Chairs"/>
    <s v="Green Soul Ergonomic Chair"/>
    <x v="0"/>
    <s v="Delivered"/>
    <n v="4"/>
    <n v="12580"/>
    <n v="0.1"/>
    <n v="9030"/>
    <n v="45288"/>
    <n v="36120"/>
    <n v="9168"/>
    <n v="0.20243773184949657"/>
  </r>
  <r>
    <x v="228"/>
    <x v="102"/>
    <x v="0"/>
    <d v="1900-01-04T00:00:00"/>
    <x v="2"/>
    <s v="Gurugram"/>
    <s v="Aditya Verma"/>
    <s v="Aditya Verma"/>
    <x v="0"/>
    <x v="0"/>
    <s v="Mobile Phones"/>
    <s v="Iphone 15"/>
    <x v="1"/>
    <s v="Delivered"/>
    <n v="1"/>
    <n v="71260"/>
    <n v="0.15"/>
    <n v="54860"/>
    <n v="60571"/>
    <n v="54860"/>
    <n v="5711"/>
    <n v="9.4286044476729794E-2"/>
  </r>
  <r>
    <x v="229"/>
    <x v="102"/>
    <x v="0"/>
    <d v="1900-01-04T00:00:00"/>
    <x v="3"/>
    <s v="Chennai"/>
    <s v="Karthik Raman"/>
    <s v="Karthik Raman"/>
    <x v="0"/>
    <x v="1"/>
    <s v="Air Conditioners"/>
    <s v="Voltas 1.5T Inverter Ac"/>
    <x v="0"/>
    <s v="Delivered"/>
    <n v="4"/>
    <n v="37280"/>
    <n v="0.1"/>
    <n v="26310"/>
    <n v="134208"/>
    <n v="105240"/>
    <n v="28968"/>
    <n v="0.21584406294706723"/>
  </r>
  <r>
    <x v="230"/>
    <x v="102"/>
    <x v="0"/>
    <d v="1900-01-04T00:00:00"/>
    <x v="3"/>
    <s v="Hyderabad"/>
    <s v="Divya Nair"/>
    <s v="Divya Nair"/>
    <x v="0"/>
    <x v="2"/>
    <s v="Apparel"/>
    <s v="Us Polo T-Shirt"/>
    <x v="0"/>
    <s v="Delivered"/>
    <n v="11"/>
    <n v="1150"/>
    <n v="0.12"/>
    <n v="770"/>
    <n v="11132"/>
    <n v="8470"/>
    <n v="2662"/>
    <n v="0.2391304347826087"/>
  </r>
  <r>
    <x v="231"/>
    <x v="102"/>
    <x v="0"/>
    <d v="1900-01-04T00:00:00"/>
    <x v="2"/>
    <s v="Delhi"/>
    <s v="Rohit Malhotra"/>
    <s v="Rohit Malhotra"/>
    <x v="2"/>
    <x v="2"/>
    <s v="Accessories"/>
    <s v="Fastrack Analog Watch"/>
    <x v="0"/>
    <s v="Delivered"/>
    <n v="11"/>
    <n v="2660"/>
    <n v="0.12"/>
    <n v="1930"/>
    <n v="25748.799999999999"/>
    <n v="21230"/>
    <n v="4518.7999999999993"/>
    <n v="0.17549555707450443"/>
  </r>
  <r>
    <x v="232"/>
    <x v="102"/>
    <x v="0"/>
    <d v="1900-01-04T00:00:00"/>
    <x v="1"/>
    <s v="Bhubaneswar"/>
    <s v="Ritika Ghosh"/>
    <s v="Ritika Ghosh"/>
    <x v="3"/>
    <x v="0"/>
    <s v="Laptops"/>
    <s v="Dell Inspiron 3520"/>
    <x v="0"/>
    <s v="Delivered"/>
    <n v="6"/>
    <n v="58280"/>
    <n v="0.12"/>
    <n v="45370"/>
    <n v="307718.40000000002"/>
    <n v="272220"/>
    <n v="35498.400000000023"/>
    <n v="0.11536001747051856"/>
  </r>
  <r>
    <x v="233"/>
    <x v="103"/>
    <x v="0"/>
    <d v="1900-01-04T00:00:00"/>
    <x v="0"/>
    <s v="Pune"/>
    <s v="Prateek Shah"/>
    <s v="Prateek Shah"/>
    <x v="3"/>
    <x v="0"/>
    <s v="Laptops"/>
    <s v="Macbook Air M3"/>
    <x v="0"/>
    <s v="Delivered"/>
    <n v="7"/>
    <n v="106220"/>
    <n v="0.25"/>
    <n v="69670"/>
    <n v="557655"/>
    <n v="487690"/>
    <n v="69965"/>
    <n v="0.12546287579238061"/>
  </r>
  <r>
    <x v="234"/>
    <x v="103"/>
    <x v="0"/>
    <d v="1900-01-04T00:00:00"/>
    <x v="1"/>
    <s v="Bhubaneswar"/>
    <s v="Sourav Das"/>
    <s v="Sourav Das"/>
    <x v="3"/>
    <x v="2"/>
    <s v="Apparel"/>
    <s v="Levis 511 Jeans"/>
    <x v="1"/>
    <s v="Delivered"/>
    <n v="64"/>
    <n v="2830"/>
    <n v="0.05"/>
    <n v="2080"/>
    <n v="172064"/>
    <n v="133120"/>
    <n v="38944"/>
    <n v="0.22633438720476101"/>
  </r>
  <r>
    <x v="235"/>
    <x v="104"/>
    <x v="0"/>
    <d v="1900-01-04T00:00:00"/>
    <x v="0"/>
    <s v="Ahmedabad"/>
    <s v="Neha Deshpande"/>
    <s v="Neha Deshpande"/>
    <x v="0"/>
    <x v="0"/>
    <s v="Mobile Phones"/>
    <s v="Samsung Galaxy M35"/>
    <x v="1"/>
    <s v="Returned"/>
    <n v="1"/>
    <n v="21510"/>
    <n v="0.2"/>
    <n v="13970"/>
    <n v="17208"/>
    <n v="13970"/>
    <n v="3238"/>
    <n v="0.18816829381682937"/>
  </r>
  <r>
    <x v="236"/>
    <x v="105"/>
    <x v="0"/>
    <d v="1900-01-04T00:00:00"/>
    <x v="3"/>
    <s v="Kochi"/>
    <s v="Anjali Menon"/>
    <s v="Anjali Menon"/>
    <x v="3"/>
    <x v="4"/>
    <s v="Activewear"/>
    <s v="Puma Track Pants"/>
    <x v="1"/>
    <s v="Delivered"/>
    <n v="36"/>
    <n v="1710"/>
    <n v="0.12"/>
    <n v="1080"/>
    <n v="54172.800000000003"/>
    <n v="38880"/>
    <n v="15292.800000000003"/>
    <n v="0.28229665071770338"/>
  </r>
  <r>
    <x v="237"/>
    <x v="105"/>
    <x v="0"/>
    <d v="1900-01-04T00:00:00"/>
    <x v="1"/>
    <s v="Ranchi"/>
    <s v="Sourav Das"/>
    <s v="Sourav Das"/>
    <x v="3"/>
    <x v="2"/>
    <s v="Apparel"/>
    <s v="Us Polo T-Shirt"/>
    <x v="1"/>
    <s v="Delivered"/>
    <n v="17"/>
    <n v="1180"/>
    <n v="0.18"/>
    <n v="820"/>
    <n v="16449.2"/>
    <n v="13940"/>
    <n v="2509.2000000000007"/>
    <n v="0.15254237288135597"/>
  </r>
  <r>
    <x v="238"/>
    <x v="105"/>
    <x v="0"/>
    <d v="1900-01-04T00:00:00"/>
    <x v="0"/>
    <s v="Ahmedabad"/>
    <s v="Imran Sheikh"/>
    <s v="Imran Sheikh"/>
    <x v="0"/>
    <x v="1"/>
    <s v="Washing Machines"/>
    <s v="Whirlpool Semi Auto 7.5Kg"/>
    <x v="2"/>
    <s v="Delivered"/>
    <n v="3"/>
    <n v="14240"/>
    <n v="0.05"/>
    <n v="8570"/>
    <n v="40584"/>
    <n v="25710"/>
    <n v="14874"/>
    <n v="0.36649911295091664"/>
  </r>
  <r>
    <x v="239"/>
    <x v="105"/>
    <x v="0"/>
    <d v="1900-01-04T00:00:00"/>
    <x v="4"/>
    <s v="Ujjain"/>
    <s v="Manish Tiwari"/>
    <s v="Manish Tiwari"/>
    <x v="0"/>
    <x v="3"/>
    <s v="Storage"/>
    <s v="Metal Shoe Rack"/>
    <x v="0"/>
    <s v="Delivered"/>
    <n v="5"/>
    <n v="3430"/>
    <n v="0"/>
    <n v="2610"/>
    <n v="17150"/>
    <n v="13050"/>
    <n v="4100"/>
    <n v="0.239067055393586"/>
  </r>
  <r>
    <x v="240"/>
    <x v="106"/>
    <x v="0"/>
    <d v="1900-01-04T00:00:00"/>
    <x v="0"/>
    <s v="Ahmedabad"/>
    <s v="Imran Sheikh"/>
    <s v="Imran Sheikh"/>
    <x v="1"/>
    <x v="0"/>
    <s v="Laptops"/>
    <s v="Macbook Air M3"/>
    <x v="2"/>
    <s v="Delivered"/>
    <n v="6"/>
    <n v="109230"/>
    <n v="0.12"/>
    <n v="80710"/>
    <n v="576734.4"/>
    <n v="484260"/>
    <n v="92474.400000000023"/>
    <n v="0.16034139805081857"/>
  </r>
  <r>
    <x v="241"/>
    <x v="106"/>
    <x v="0"/>
    <d v="1900-01-04T00:00:00"/>
    <x v="1"/>
    <s v="Guwahati"/>
    <s v="Sourav Das"/>
    <s v="Sourav Das"/>
    <x v="1"/>
    <x v="2"/>
    <s v="Accessories"/>
    <s v="Wildcraft 35L Backpack"/>
    <x v="2"/>
    <s v="Delivered"/>
    <n v="39"/>
    <n v="1970"/>
    <n v="0.15"/>
    <n v="1340"/>
    <n v="65305.5"/>
    <n v="52260"/>
    <n v="13045.5"/>
    <n v="0.19976112272320096"/>
  </r>
  <r>
    <x v="242"/>
    <x v="107"/>
    <x v="0"/>
    <d v="1900-01-04T00:00:00"/>
    <x v="2"/>
    <s v="Delhi"/>
    <s v="Simran Kaur"/>
    <s v="Simran Kaur"/>
    <x v="0"/>
    <x v="2"/>
    <s v="Footwear"/>
    <s v="Nike Revolution 7"/>
    <x v="0"/>
    <s v="Delivered"/>
    <n v="4"/>
    <n v="4000"/>
    <n v="0.2"/>
    <n v="2540"/>
    <n v="12800"/>
    <n v="10160"/>
    <n v="2640"/>
    <n v="0.20624999999999999"/>
  </r>
  <r>
    <x v="243"/>
    <x v="107"/>
    <x v="0"/>
    <d v="1900-01-04T00:00:00"/>
    <x v="2"/>
    <s v="Gurugram"/>
    <s v="Aditya Verma"/>
    <s v="Aditya Verma"/>
    <x v="0"/>
    <x v="4"/>
    <s v="Activewear"/>
    <s v="Puma Track Pants"/>
    <x v="0"/>
    <s v="Delivered"/>
    <n v="11"/>
    <n v="1710"/>
    <n v="0.05"/>
    <n v="1050"/>
    <n v="17869.5"/>
    <n v="11550"/>
    <n v="6319.5"/>
    <n v="0.35364727608494922"/>
  </r>
  <r>
    <x v="244"/>
    <x v="107"/>
    <x v="0"/>
    <d v="1900-01-04T00:00:00"/>
    <x v="1"/>
    <s v="Kolkata"/>
    <s v="Ritika Ghosh"/>
    <s v="Ritika Ghosh"/>
    <x v="0"/>
    <x v="0"/>
    <s v="Mobile Phones"/>
    <s v="Samsung Galaxy M35"/>
    <x v="0"/>
    <s v="Delivered"/>
    <n v="6"/>
    <n v="21740"/>
    <n v="0.15"/>
    <n v="16360"/>
    <n v="110874"/>
    <n v="98160"/>
    <n v="12714"/>
    <n v="0.11467070728935548"/>
  </r>
  <r>
    <x v="245"/>
    <x v="107"/>
    <x v="0"/>
    <d v="1900-01-04T00:00:00"/>
    <x v="2"/>
    <s v="Lucknow"/>
    <s v="Simran Kaur"/>
    <s v="Simran Kaur"/>
    <x v="3"/>
    <x v="4"/>
    <s v="Activewear"/>
    <s v="Nivia Football Size 5"/>
    <x v="0"/>
    <s v="Delivered"/>
    <n v="22"/>
    <n v="930"/>
    <n v="0"/>
    <n v="600"/>
    <n v="20460"/>
    <n v="13200"/>
    <n v="7260"/>
    <n v="0.35483870967741937"/>
  </r>
  <r>
    <x v="246"/>
    <x v="107"/>
    <x v="0"/>
    <d v="1900-01-04T00:00:00"/>
    <x v="2"/>
    <s v="Chandigarh"/>
    <s v="Aditya Verma"/>
    <s v="Aditya Verma"/>
    <x v="2"/>
    <x v="1"/>
    <s v="Refrigerators"/>
    <s v="Samsung 192L Single Door"/>
    <x v="1"/>
    <s v="Delivered"/>
    <n v="2"/>
    <n v="16930"/>
    <n v="0.05"/>
    <n v="12280"/>
    <n v="32167"/>
    <n v="24560"/>
    <n v="7607"/>
    <n v="0.23648459601454908"/>
  </r>
  <r>
    <x v="247"/>
    <x v="107"/>
    <x v="0"/>
    <d v="1900-01-04T00:00:00"/>
    <x v="1"/>
    <s v="Bhubaneswar"/>
    <s v="Ritika Ghosh"/>
    <s v="Ritika Ghosh"/>
    <x v="0"/>
    <x v="1"/>
    <s v="Refrigerators"/>
    <s v="Samsung 192L Single Door"/>
    <x v="0"/>
    <s v="Delivered"/>
    <n v="3"/>
    <n v="15470"/>
    <n v="0"/>
    <n v="9170"/>
    <n v="46410"/>
    <n v="27510"/>
    <n v="18900"/>
    <n v="0.40723981900452488"/>
  </r>
  <r>
    <x v="248"/>
    <x v="108"/>
    <x v="0"/>
    <d v="1900-01-04T00:00:00"/>
    <x v="3"/>
    <s v="Kochi"/>
    <s v="Anjali Menon"/>
    <s v="Anjali Menon"/>
    <x v="0"/>
    <x v="3"/>
    <s v="Office Chairs"/>
    <s v="Green Soul Ergonomic Chair"/>
    <x v="0"/>
    <s v="Delivered"/>
    <n v="4"/>
    <n v="11590"/>
    <n v="0"/>
    <n v="6730"/>
    <n v="46360"/>
    <n v="26920"/>
    <n v="19440"/>
    <n v="0.41932700603968937"/>
  </r>
  <r>
    <x v="249"/>
    <x v="109"/>
    <x v="0"/>
    <d v="1900-01-04T00:00:00"/>
    <x v="3"/>
    <s v="Coimbatore"/>
    <s v="Karthik Raman"/>
    <s v="Karthik Raman"/>
    <x v="3"/>
    <x v="1"/>
    <s v="Air Conditioners"/>
    <s v="Voltas 1.5T Inverter Ac"/>
    <x v="1"/>
    <s v="Returned"/>
    <n v="7"/>
    <n v="37740"/>
    <n v="0.1"/>
    <n v="25820"/>
    <n v="237762"/>
    <n v="180740"/>
    <n v="57022"/>
    <n v="0.23982806335747511"/>
  </r>
  <r>
    <x v="250"/>
    <x v="109"/>
    <x v="0"/>
    <d v="1900-01-04T00:00:00"/>
    <x v="1"/>
    <s v="Ranchi"/>
    <s v="Sourav Das"/>
    <s v="Sourav Das"/>
    <x v="3"/>
    <x v="1"/>
    <s v="Refrigerators"/>
    <s v="Samsung 192L Single Door"/>
    <x v="0"/>
    <s v="Shipped"/>
    <n v="5"/>
    <n v="15700"/>
    <n v="0"/>
    <n v="9720"/>
    <n v="78500"/>
    <n v="48600"/>
    <n v="29900"/>
    <n v="0.38089171974522296"/>
  </r>
  <r>
    <x v="251"/>
    <x v="110"/>
    <x v="0"/>
    <d v="1900-01-04T00:00:00"/>
    <x v="3"/>
    <s v="Chennai"/>
    <s v="Karthik Raman"/>
    <s v="Karthik Raman"/>
    <x v="0"/>
    <x v="2"/>
    <s v="Footwear"/>
    <s v="Nike Revolution 7"/>
    <x v="1"/>
    <s v="Delivered"/>
    <n v="9"/>
    <n v="3760"/>
    <n v="0.08"/>
    <n v="2690"/>
    <n v="31132.800000000003"/>
    <n v="24210"/>
    <n v="6922.8000000000029"/>
    <n v="0.22236355226642004"/>
  </r>
  <r>
    <x v="252"/>
    <x v="111"/>
    <x v="0"/>
    <d v="1900-01-04T00:00:00"/>
    <x v="4"/>
    <s v="Bhopal"/>
    <s v="Pooja Chouhan"/>
    <s v="Pooja Chouhan"/>
    <x v="1"/>
    <x v="0"/>
    <s v="Televisions"/>
    <s v="Mi Tv 5X 43 Inch"/>
    <x v="2"/>
    <s v="Delivered"/>
    <n v="2"/>
    <n v="33510"/>
    <n v="0.18"/>
    <n v="18940"/>
    <n v="54956.4"/>
    <n v="37880"/>
    <n v="17076.400000000001"/>
    <n v="0.31072632122919264"/>
  </r>
  <r>
    <x v="253"/>
    <x v="111"/>
    <x v="0"/>
    <d v="1900-01-04T00:00:00"/>
    <x v="2"/>
    <s v="Lucknow"/>
    <s v="Aditya Verma"/>
    <s v="Aditya Verma"/>
    <x v="0"/>
    <x v="3"/>
    <s v="Office Chairs"/>
    <s v="Nilkamal Executive Chair"/>
    <x v="2"/>
    <s v="Delivered"/>
    <n v="3"/>
    <n v="6780"/>
    <n v="0.05"/>
    <n v="4100"/>
    <n v="19323"/>
    <n v="12300"/>
    <n v="7023"/>
    <n v="0.36345287998757958"/>
  </r>
  <r>
    <x v="254"/>
    <x v="111"/>
    <x v="0"/>
    <d v="1900-01-04T00:00:00"/>
    <x v="4"/>
    <s v="Raipur"/>
    <s v="Manish Tiwari"/>
    <s v="Manish Tiwari"/>
    <x v="0"/>
    <x v="1"/>
    <s v="Washing Machines"/>
    <s v="Ifb Front Load 7Kg"/>
    <x v="0"/>
    <s v="Delivered"/>
    <n v="4"/>
    <n v="33670"/>
    <n v="0.18"/>
    <n v="24630"/>
    <n v="110437.6"/>
    <n v="98520"/>
    <n v="11917.600000000006"/>
    <n v="0.10791252254666893"/>
  </r>
  <r>
    <x v="255"/>
    <x v="112"/>
    <x v="0"/>
    <d v="1900-01-04T00:00:00"/>
    <x v="2"/>
    <s v="Chandigarh"/>
    <s v="Simran Kaur"/>
    <s v="Simran Kaur"/>
    <x v="0"/>
    <x v="4"/>
    <s v="Fitness Equipment"/>
    <s v="Home Foldable Treadmill"/>
    <x v="0"/>
    <s v="Delivered"/>
    <n v="3"/>
    <n v="42180"/>
    <n v="0.1"/>
    <n v="33140"/>
    <n v="113886"/>
    <n v="99420"/>
    <n v="14466"/>
    <n v="0.12702175860070597"/>
  </r>
  <r>
    <x v="256"/>
    <x v="112"/>
    <x v="0"/>
    <d v="1900-01-04T00:00:00"/>
    <x v="4"/>
    <s v="Jabalpur"/>
    <s v="Manish Tiwari"/>
    <s v="Manish Tiwari"/>
    <x v="1"/>
    <x v="0"/>
    <s v="Mobile Phones"/>
    <s v="Iphone 15"/>
    <x v="0"/>
    <s v="Delivered"/>
    <n v="6"/>
    <n v="69670"/>
    <n v="0.1"/>
    <n v="51820"/>
    <n v="376218"/>
    <n v="310920"/>
    <n v="65298"/>
    <n v="0.17356426327288965"/>
  </r>
  <r>
    <x v="257"/>
    <x v="113"/>
    <x v="0"/>
    <d v="1900-01-04T00:00:00"/>
    <x v="0"/>
    <s v="Nashik"/>
    <s v="Imran Sheikh"/>
    <s v="Imran Sheikh"/>
    <x v="0"/>
    <x v="0"/>
    <s v="Mobile Phones"/>
    <s v="Redmi Note 14"/>
    <x v="0"/>
    <s v="Delivered"/>
    <n v="4"/>
    <n v="18530"/>
    <n v="0.08"/>
    <n v="11530"/>
    <n v="68190.400000000009"/>
    <n v="46120"/>
    <n v="22070.400000000009"/>
    <n v="0.32365846218822597"/>
  </r>
  <r>
    <x v="258"/>
    <x v="113"/>
    <x v="0"/>
    <d v="1900-01-04T00:00:00"/>
    <x v="2"/>
    <s v="Lucknow"/>
    <s v="Rohit                Malhotra"/>
    <s v="Rohit Malhotra"/>
    <x v="2"/>
    <x v="3"/>
    <s v="Office Chairs"/>
    <s v="Nilkamal Executive Chair"/>
    <x v="0"/>
    <s v="Delivered"/>
    <n v="7"/>
    <n v="7010"/>
    <n v="0.15"/>
    <n v="4360"/>
    <n v="41709.5"/>
    <n v="30520"/>
    <n v="11189.5"/>
    <n v="0.2682722161617857"/>
  </r>
  <r>
    <x v="259"/>
    <x v="113"/>
    <x v="0"/>
    <d v="1900-01-04T00:00:00"/>
    <x v="0"/>
    <s v="Surat"/>
    <s v="Prateek Shah"/>
    <s v="Prateek Shah"/>
    <x v="3"/>
    <x v="3"/>
    <s v="Storage"/>
    <s v="Metal Shoe Rack"/>
    <x v="0"/>
    <s v="Returned"/>
    <n v="26"/>
    <n v="3560"/>
    <n v="0.15"/>
    <n v="2410"/>
    <n v="78676"/>
    <n v="62660"/>
    <n v="16016"/>
    <n v="0.20356906807666886"/>
  </r>
  <r>
    <x v="260"/>
    <x v="113"/>
    <x v="0"/>
    <d v="1900-01-04T00:00:00"/>
    <x v="1"/>
    <s v="Ranchi"/>
    <s v="Ritika Ghosh"/>
    <s v="Ritika Ghosh"/>
    <x v="0"/>
    <x v="0"/>
    <s v="Mobile Phones"/>
    <s v="Iphone 15"/>
    <x v="1"/>
    <s v="Shipped"/>
    <n v="4"/>
    <n v="70790"/>
    <n v="0.05"/>
    <n v="42470"/>
    <n v="269002"/>
    <n v="169880"/>
    <n v="99122"/>
    <n v="0.3684805317432584"/>
  </r>
  <r>
    <x v="261"/>
    <x v="114"/>
    <x v="0"/>
    <d v="1900-01-04T00:00:00"/>
    <x v="4"/>
    <s v="Raipur"/>
    <s v="Manish Tiwari"/>
    <s v="Manish Tiwari"/>
    <x v="0"/>
    <x v="4"/>
    <s v="Sports Gear"/>
    <s v="Sg Cricket Bat English Willow"/>
    <x v="1"/>
    <s v="Delivered"/>
    <n v="13"/>
    <n v="4690"/>
    <n v="0.12"/>
    <n v="3630"/>
    <n v="53653.599999999999"/>
    <n v="47190"/>
    <n v="6463.5999999999985"/>
    <n v="0.1204690831556503"/>
  </r>
  <r>
    <x v="262"/>
    <x v="115"/>
    <x v="0"/>
    <d v="1900-01-04T00:00:00"/>
    <x v="4"/>
    <s v="Jabalpur"/>
    <s v="Manish Tiwari"/>
    <s v="Manish Tiwari"/>
    <x v="2"/>
    <x v="0"/>
    <s v="Televisions"/>
    <s v="Mi Tv 5X 43 Inch"/>
    <x v="1"/>
    <s v="Pending"/>
    <n v="1"/>
    <n v="31050"/>
    <n v="0.25"/>
    <n v="21730"/>
    <n v="23287.5"/>
    <n v="21730"/>
    <n v="1557.5"/>
    <n v="6.6881374127750942E-2"/>
  </r>
  <r>
    <x v="263"/>
    <x v="115"/>
    <x v="0"/>
    <d v="1900-01-04T00:00:00"/>
    <x v="0"/>
    <s v="Pune"/>
    <s v="Imran Sheikh"/>
    <s v="Imran Sheikh"/>
    <x v="0"/>
    <x v="1"/>
    <s v="Kitchen Appliances"/>
    <s v="Philips Air Fryer"/>
    <x v="2"/>
    <s v="Delivered"/>
    <n v="15"/>
    <n v="9390"/>
    <n v="0"/>
    <n v="5510"/>
    <n v="140850"/>
    <n v="82650"/>
    <n v="58200"/>
    <n v="0.4132055378061768"/>
  </r>
  <r>
    <x v="264"/>
    <x v="116"/>
    <x v="0"/>
    <d v="1900-01-04T00:00:00"/>
    <x v="3"/>
    <s v="Hyderabad"/>
    <s v="Divya Nair"/>
    <s v="Divya Nair"/>
    <x v="0"/>
    <x v="2"/>
    <s v="Accessories"/>
    <s v="Wildcraft 35L Backpack"/>
    <x v="2"/>
    <s v="Returned"/>
    <n v="16"/>
    <n v="1970"/>
    <n v="0.18"/>
    <n v="1260"/>
    <n v="25846.400000000001"/>
    <n v="20160"/>
    <n v="5686.4000000000015"/>
    <n v="0.220007428500681"/>
  </r>
  <r>
    <x v="265"/>
    <x v="117"/>
    <x v="0"/>
    <d v="1900-01-04T00:00:00"/>
    <x v="1"/>
    <s v="Ranchi"/>
    <s v="Sourav Das"/>
    <s v="Sourav Das"/>
    <x v="2"/>
    <x v="2"/>
    <s v="Apparel"/>
    <s v="Levis 511 Jeans"/>
    <x v="0"/>
    <s v="Delivered"/>
    <n v="33"/>
    <n v="2830"/>
    <n v="0"/>
    <n v="2210"/>
    <n v="93390"/>
    <n v="72930"/>
    <n v="20460"/>
    <n v="0.21908127208480566"/>
  </r>
  <r>
    <x v="266"/>
    <x v="117"/>
    <x v="0"/>
    <d v="1900-01-04T00:00:00"/>
    <x v="4"/>
    <s v="Jabalpur"/>
    <s v="Manish Tiwari"/>
    <s v="Manish Tiwari"/>
    <x v="3"/>
    <x v="3"/>
    <s v="Sofas"/>
    <s v="3-Seater Fabric Sofa"/>
    <x v="0"/>
    <s v="Delivered"/>
    <n v="4"/>
    <n v="32260"/>
    <n v="0"/>
    <n v="20440"/>
    <n v="129040"/>
    <n v="81760"/>
    <n v="47280"/>
    <n v="0.36639801611903283"/>
  </r>
  <r>
    <x v="267"/>
    <x v="118"/>
    <x v="0"/>
    <d v="1900-01-04T00:00:00"/>
    <x v="1"/>
    <s v="Guwahati"/>
    <s v="Sourav Das"/>
    <s v="Sourav Das"/>
    <x v="1"/>
    <x v="0"/>
    <s v="Audio Devices"/>
    <s v="Boat Airdopes 141"/>
    <x v="1"/>
    <s v="Delivered"/>
    <n v="30"/>
    <n v="1750"/>
    <n v="0.12"/>
    <n v="1060"/>
    <n v="46200"/>
    <n v="31800"/>
    <n v="14400"/>
    <n v="0.31168831168831168"/>
  </r>
  <r>
    <x v="268"/>
    <x v="118"/>
    <x v="0"/>
    <d v="1900-01-04T00:00:00"/>
    <x v="2"/>
    <s v="Noida"/>
    <s v="Rohit            Malhotra"/>
    <s v="Rohit Malhotra"/>
    <x v="2"/>
    <x v="4"/>
    <s v="Fitness Equipment"/>
    <s v="Adjustable Dumbbell Set 10Kg"/>
    <x v="0"/>
    <s v="Delivered"/>
    <n v="9"/>
    <n v="2580"/>
    <n v="0.15"/>
    <n v="1600"/>
    <n v="19737"/>
    <n v="14400"/>
    <n v="5337"/>
    <n v="0.27040583675330598"/>
  </r>
  <r>
    <x v="269"/>
    <x v="119"/>
    <x v="0"/>
    <d v="1900-01-04T00:00:00"/>
    <x v="0"/>
    <s v="Pune"/>
    <s v="Neha Deshpande"/>
    <s v="Neha Deshpande"/>
    <x v="0"/>
    <x v="1"/>
    <s v="Air Conditioners"/>
    <s v="Voltas 1.5T Inverter Ac"/>
    <x v="0"/>
    <s v="Delivered"/>
    <n v="4"/>
    <n v="36630"/>
    <n v="0"/>
    <n v="20710"/>
    <n v="146520"/>
    <n v="82840"/>
    <n v="63680"/>
    <n v="0.43461643461643462"/>
  </r>
  <r>
    <x v="270"/>
    <x v="120"/>
    <x v="0"/>
    <d v="1900-01-05T00:00:00"/>
    <x v="3"/>
    <s v="Chennai"/>
    <s v="Karthik Raman"/>
    <s v="Karthik Raman"/>
    <x v="2"/>
    <x v="2"/>
    <s v="Apparel"/>
    <s v="Levis 511 Jeans"/>
    <x v="2"/>
    <s v="Delivered"/>
    <n v="33"/>
    <n v="2690"/>
    <n v="0.15"/>
    <n v="1670"/>
    <n v="75454.5"/>
    <n v="55110"/>
    <n v="20344.5"/>
    <n v="0.26962606603979883"/>
  </r>
  <r>
    <x v="271"/>
    <x v="121"/>
    <x v="0"/>
    <d v="1900-01-05T00:00:00"/>
    <x v="4"/>
    <s v="Raipur"/>
    <s v="Manish Tiwari"/>
    <s v="Manish Tiwari"/>
    <x v="1"/>
    <x v="2"/>
    <s v="Footwear"/>
    <s v="Nike Revolution 7"/>
    <x v="2"/>
    <s v="Delivered"/>
    <n v="8"/>
    <n v="3830"/>
    <n v="0.08"/>
    <n v="2450"/>
    <n v="28188.800000000003"/>
    <n v="19600"/>
    <n v="8588.8000000000029"/>
    <n v="0.30468838687705763"/>
  </r>
  <r>
    <x v="272"/>
    <x v="122"/>
    <x v="0"/>
    <d v="1900-01-05T00:00:00"/>
    <x v="3"/>
    <s v="Hyderabad"/>
    <s v="Divya Nair"/>
    <s v="Divya Nair"/>
    <x v="1"/>
    <x v="4"/>
    <s v="Activewear"/>
    <s v="Puma Track Pants"/>
    <x v="1"/>
    <s v="Delivered"/>
    <n v="27"/>
    <n v="1590"/>
    <n v="0"/>
    <n v="1220"/>
    <n v="42930"/>
    <n v="32940"/>
    <n v="9990"/>
    <n v="0.23270440251572327"/>
  </r>
  <r>
    <x v="273"/>
    <x v="123"/>
    <x v="0"/>
    <d v="1900-01-05T00:00:00"/>
    <x v="2"/>
    <s v="Delhi"/>
    <s v="Aditya Verma"/>
    <s v="Aditya Verma"/>
    <x v="3"/>
    <x v="2"/>
    <s v="Apparel"/>
    <s v="Levis 511 Jeans"/>
    <x v="1"/>
    <s v="Delivered"/>
    <n v="55"/>
    <n v="2790"/>
    <n v="0.1"/>
    <n v="2130"/>
    <n v="138105"/>
    <n v="117150"/>
    <n v="20955"/>
    <n v="0.15173237753882915"/>
  </r>
  <r>
    <x v="274"/>
    <x v="123"/>
    <x v="0"/>
    <d v="1900-01-05T00:00:00"/>
    <x v="3"/>
    <s v="Bengaluru"/>
    <s v="Divya Nair"/>
    <s v="Divya Nair"/>
    <x v="0"/>
    <x v="0"/>
    <s v="Mobile Phones"/>
    <s v="Samsung Galaxy M35"/>
    <x v="1"/>
    <s v="Delivered"/>
    <n v="2"/>
    <n v="21950"/>
    <n v="0.2"/>
    <n v="12440"/>
    <n v="35120"/>
    <n v="24880"/>
    <n v="10240"/>
    <n v="0.29157175398633256"/>
  </r>
  <r>
    <x v="275"/>
    <x v="123"/>
    <x v="0"/>
    <d v="1900-01-05T00:00:00"/>
    <x v="4"/>
    <s v="Jabalpur"/>
    <s v="Manish Tiwari"/>
    <s v="Manish Tiwari"/>
    <x v="1"/>
    <x v="0"/>
    <s v="Audio Devices"/>
    <s v="Jbl Flip 6"/>
    <x v="1"/>
    <s v="Shipped"/>
    <n v="13"/>
    <n v="9320"/>
    <n v="0"/>
    <n v="6530"/>
    <n v="121160"/>
    <n v="84890"/>
    <n v="36270"/>
    <n v="0.29935622317596566"/>
  </r>
  <r>
    <x v="276"/>
    <x v="124"/>
    <x v="0"/>
    <d v="1900-01-05T00:00:00"/>
    <x v="2"/>
    <s v="Gurugram"/>
    <s v="Rohit Malhotra"/>
    <s v="Rohit Malhotra"/>
    <x v="0"/>
    <x v="1"/>
    <s v="Air Conditioners"/>
    <s v="Daikin 1.5T Split Ac"/>
    <x v="2"/>
    <s v="Shipped"/>
    <n v="4"/>
    <n v="45350"/>
    <n v="0"/>
    <n v="25500"/>
    <n v="181400"/>
    <n v="102000"/>
    <n v="79400"/>
    <n v="0.43770672546857775"/>
  </r>
  <r>
    <x v="277"/>
    <x v="124"/>
    <x v="0"/>
    <d v="1900-01-05T00:00:00"/>
    <x v="3"/>
    <s v="Visakhapatnam"/>
    <s v="Karthik Raman"/>
    <s v="Karthik Raman"/>
    <x v="0"/>
    <x v="1"/>
    <s v="Air Conditioners"/>
    <s v="Voltas 1.5T Inverter Ac"/>
    <x v="2"/>
    <s v="Delivered"/>
    <n v="1"/>
    <n v="35630"/>
    <n v="0"/>
    <n v="23230"/>
    <n v="35630"/>
    <n v="23230"/>
    <n v="12400"/>
    <n v="0.34802133033960148"/>
  </r>
  <r>
    <x v="278"/>
    <x v="124"/>
    <x v="0"/>
    <d v="1900-01-05T00:00:00"/>
    <x v="2"/>
    <s v="Chandigarh"/>
    <s v="Aditya Verma"/>
    <s v="Aditya Verma"/>
    <x v="0"/>
    <x v="1"/>
    <s v="Kitchen Appliances"/>
    <s v="Philips Air Fryer"/>
    <x v="0"/>
    <s v="Delivered"/>
    <n v="13"/>
    <n v="9590"/>
    <n v="0"/>
    <n v="6070"/>
    <n v="124670"/>
    <n v="78910"/>
    <n v="45760"/>
    <n v="0.3670490093847758"/>
  </r>
  <r>
    <x v="279"/>
    <x v="125"/>
    <x v="0"/>
    <d v="1900-01-05T00:00:00"/>
    <x v="4"/>
    <s v="Bhopal"/>
    <s v="Pooja Chouhan"/>
    <s v="Pooja Chouhan"/>
    <x v="0"/>
    <x v="1"/>
    <s v="Air Conditioners"/>
    <s v="Voltas 1.5T Inverter Ac"/>
    <x v="1"/>
    <s v="Shipped"/>
    <n v="1"/>
    <n v="35690"/>
    <n v="0.08"/>
    <n v="21620"/>
    <n v="32834.800000000003"/>
    <n v="21620"/>
    <n v="11214.800000000003"/>
    <n v="0.34155225553376301"/>
  </r>
  <r>
    <x v="280"/>
    <x v="125"/>
    <x v="0"/>
    <d v="1900-01-05T00:00:00"/>
    <x v="4"/>
    <s v="Jabalpur"/>
    <s v="Pooja Chouhan"/>
    <s v="Pooja Chouhan"/>
    <x v="3"/>
    <x v="2"/>
    <s v="Apparel"/>
    <s v="Us Polo T-Shirt"/>
    <x v="1"/>
    <s v="Shipped"/>
    <n v="33"/>
    <n v="1190"/>
    <n v="0.08"/>
    <n v="780"/>
    <n v="36128.400000000001"/>
    <n v="25740"/>
    <n v="10388.400000000001"/>
    <n v="0.28754110339788091"/>
  </r>
  <r>
    <x v="281"/>
    <x v="126"/>
    <x v="0"/>
    <d v="1900-01-05T00:00:00"/>
    <x v="0"/>
    <s v="Surat"/>
    <s v="Neha Deshpande"/>
    <s v="Neha Deshpande"/>
    <x v="0"/>
    <x v="3"/>
    <s v="Sofas"/>
    <s v="Single Seater Recliner"/>
    <x v="1"/>
    <s v="Delivered"/>
    <n v="1"/>
    <n v="44500"/>
    <n v="0.2"/>
    <n v="34200"/>
    <n v="35600"/>
    <n v="34200"/>
    <n v="1400"/>
    <n v="3.9325842696629212E-2"/>
  </r>
  <r>
    <x v="282"/>
    <x v="127"/>
    <x v="0"/>
    <d v="1900-01-05T00:00:00"/>
    <x v="3"/>
    <s v="Kochi"/>
    <s v="Divya Nair"/>
    <s v="Divya Nair"/>
    <x v="2"/>
    <x v="2"/>
    <s v="Apparel"/>
    <s v="Us Polo T-Shirt"/>
    <x v="2"/>
    <s v="Delivered"/>
    <n v="16"/>
    <n v="1270"/>
    <n v="0.1"/>
    <n v="760"/>
    <n v="18288"/>
    <n v="12160"/>
    <n v="6128"/>
    <n v="0.33508311461067369"/>
  </r>
  <r>
    <x v="283"/>
    <x v="127"/>
    <x v="0"/>
    <d v="1900-01-05T00:00:00"/>
    <x v="4"/>
    <s v="Indore"/>
    <s v="Manish Tiwari"/>
    <s v="Manish Tiwari"/>
    <x v="0"/>
    <x v="1"/>
    <s v="Air Conditioners"/>
    <s v="Daikin 1.5T Split Ac"/>
    <x v="0"/>
    <s v="Delivered"/>
    <n v="4"/>
    <n v="42380"/>
    <n v="0.15"/>
    <n v="24190"/>
    <n v="144092"/>
    <n v="96760"/>
    <n v="47332"/>
    <n v="0.32848457929656055"/>
  </r>
  <r>
    <x v="284"/>
    <x v="128"/>
    <x v="0"/>
    <d v="1900-01-05T00:00:00"/>
    <x v="3"/>
    <s v="Chennai"/>
    <s v="Divya Nair"/>
    <s v="Divya Nair"/>
    <x v="1"/>
    <x v="1"/>
    <s v="Refrigerators"/>
    <s v="Samsung 192L Single Door"/>
    <x v="2"/>
    <s v="Delivered"/>
    <n v="2"/>
    <n v="16340"/>
    <n v="0"/>
    <n v="11730"/>
    <n v="32680"/>
    <n v="23460"/>
    <n v="9220"/>
    <n v="0.28212974296205628"/>
  </r>
  <r>
    <x v="285"/>
    <x v="128"/>
    <x v="0"/>
    <d v="1900-01-05T00:00:00"/>
    <x v="3"/>
    <s v="Visakhapatnam"/>
    <s v="Anjali Menon"/>
    <s v="Anjali Menon"/>
    <x v="0"/>
    <x v="2"/>
    <s v="Accessories"/>
    <s v="Wildcraft 35L Backpack"/>
    <x v="0"/>
    <s v="Delivered"/>
    <n v="37"/>
    <n v="1960"/>
    <n v="0.1"/>
    <n v="1380"/>
    <n v="65268"/>
    <n v="51060"/>
    <n v="14208"/>
    <n v="0.21768707482993196"/>
  </r>
  <r>
    <x v="286"/>
    <x v="128"/>
    <x v="0"/>
    <d v="1900-01-05T00:00:00"/>
    <x v="0"/>
    <s v="Nashik"/>
    <s v="Imran Sheikh"/>
    <s v="Imran Sheikh"/>
    <x v="0"/>
    <x v="1"/>
    <s v="Kitchen Appliances"/>
    <s v="Prestige Mixer Grinder"/>
    <x v="0"/>
    <s v="Delivered"/>
    <n v="3"/>
    <n v="4710"/>
    <n v="0.1"/>
    <n v="2960"/>
    <n v="12717"/>
    <n v="8880"/>
    <n v="3837"/>
    <n v="0.30172210426987495"/>
  </r>
  <r>
    <x v="287"/>
    <x v="128"/>
    <x v="0"/>
    <d v="1900-01-05T00:00:00"/>
    <x v="3"/>
    <s v="Bengaluru"/>
    <s v="Divya Nair"/>
    <s v="Divya Nair"/>
    <x v="1"/>
    <x v="1"/>
    <s v="Air Conditioners"/>
    <s v="Voltas 1.5T Inverter Ac"/>
    <x v="1"/>
    <s v="Delivered"/>
    <n v="7"/>
    <n v="35050"/>
    <n v="0.05"/>
    <n v="22860"/>
    <n v="233082.5"/>
    <n v="160020"/>
    <n v="73062.5"/>
    <n v="0.31346197161949096"/>
  </r>
  <r>
    <x v="288"/>
    <x v="128"/>
    <x v="0"/>
    <d v="1900-01-05T00:00:00"/>
    <x v="3"/>
    <s v="Kochi"/>
    <s v="Divya Nair"/>
    <s v="Divya Nair"/>
    <x v="0"/>
    <x v="0"/>
    <s v="Laptops"/>
    <s v="Macbook Air M3"/>
    <x v="0"/>
    <s v="Delivered"/>
    <n v="2"/>
    <n v="112710"/>
    <n v="0.1"/>
    <n v="77910"/>
    <n v="202878"/>
    <n v="155820"/>
    <n v="47058"/>
    <n v="0.23195220773075445"/>
  </r>
  <r>
    <x v="289"/>
    <x v="129"/>
    <x v="0"/>
    <d v="1900-01-05T00:00:00"/>
    <x v="0"/>
    <s v="Surat"/>
    <s v="Imran Sheikh"/>
    <s v="Imran Sheikh"/>
    <x v="0"/>
    <x v="2"/>
    <s v="Footwear"/>
    <s v="Nike Revolution 7"/>
    <x v="1"/>
    <s v="Delivered"/>
    <n v="5"/>
    <n v="3640"/>
    <n v="0.1"/>
    <n v="2260"/>
    <n v="16380"/>
    <n v="11300"/>
    <n v="5080"/>
    <n v="0.31013431013431014"/>
  </r>
  <r>
    <x v="290"/>
    <x v="130"/>
    <x v="0"/>
    <d v="1900-01-05T00:00:00"/>
    <x v="1"/>
    <s v="Kolkata"/>
    <s v="Sourav Das"/>
    <s v="Sourav Das"/>
    <x v="2"/>
    <x v="1"/>
    <s v="Air Conditioners"/>
    <s v="Daikin 1.5T Split Ac"/>
    <x v="0"/>
    <s v="Delivered"/>
    <n v="4"/>
    <n v="42930"/>
    <n v="0"/>
    <n v="32080"/>
    <n v="171720"/>
    <n v="128320"/>
    <n v="43400"/>
    <n v="0.25273701374330304"/>
  </r>
  <r>
    <x v="291"/>
    <x v="130"/>
    <x v="0"/>
    <d v="1900-01-05T00:00:00"/>
    <x v="3"/>
    <s v="Bengaluru"/>
    <s v="Anjali Menon"/>
    <s v="Anjali Menon"/>
    <x v="0"/>
    <x v="1"/>
    <s v="Refrigerators"/>
    <s v="Lg 260L Double Door"/>
    <x v="1"/>
    <s v="Delivered"/>
    <n v="8"/>
    <n v="28000"/>
    <n v="0.08"/>
    <n v="22070"/>
    <n v="206080"/>
    <n v="176560"/>
    <n v="29520"/>
    <n v="0.14324534161490685"/>
  </r>
  <r>
    <x v="292"/>
    <x v="131"/>
    <x v="0"/>
    <d v="1900-01-05T00:00:00"/>
    <x v="0"/>
    <s v="Ahmedabad"/>
    <s v="Neha Deshpande"/>
    <s v="Neha Deshpande"/>
    <x v="3"/>
    <x v="2"/>
    <s v="Footwear"/>
    <s v="Campus Running Shoes"/>
    <x v="1"/>
    <s v="Delivered"/>
    <n v="52"/>
    <n v="1530"/>
    <n v="0.08"/>
    <n v="910"/>
    <n v="73195.199999999997"/>
    <n v="47320"/>
    <n v="25875.199999999997"/>
    <n v="0.35350951974992895"/>
  </r>
  <r>
    <x v="293"/>
    <x v="132"/>
    <x v="0"/>
    <d v="1900-01-05T00:00:00"/>
    <x v="2"/>
    <s v="Chandigarh"/>
    <s v="Rohit Malhotra"/>
    <s v="Rohit Malhotra"/>
    <x v="2"/>
    <x v="1"/>
    <s v="Washing Machines"/>
    <s v="Ifb Front Load 7Kg"/>
    <x v="2"/>
    <s v="Delivered"/>
    <n v="2"/>
    <n v="35320"/>
    <n v="0.08"/>
    <n v="24320"/>
    <n v="64988.800000000003"/>
    <n v="48640"/>
    <n v="16348.800000000003"/>
    <n v="0.25156334629967014"/>
  </r>
  <r>
    <x v="294"/>
    <x v="132"/>
    <x v="0"/>
    <d v="1900-01-05T00:00:00"/>
    <x v="4"/>
    <s v="Ujjain"/>
    <s v="Manish Tiwari"/>
    <s v="Manish Tiwari"/>
    <x v="1"/>
    <x v="0"/>
    <s v="Televisions"/>
    <s v="Samsung Crystal 4K 55 Inch"/>
    <x v="1"/>
    <s v="Delivered"/>
    <n v="4"/>
    <n v="52400"/>
    <n v="0"/>
    <n v="29640"/>
    <n v="209600"/>
    <n v="118560"/>
    <n v="91040"/>
    <n v="0.43435114503816796"/>
  </r>
  <r>
    <x v="295"/>
    <x v="133"/>
    <x v="0"/>
    <d v="1900-01-05T00:00:00"/>
    <x v="0"/>
    <s v="Ahmedabad"/>
    <s v="Prateek Shah"/>
    <s v="Prateek Shah"/>
    <x v="2"/>
    <x v="1"/>
    <s v="Air Conditioners"/>
    <s v="Voltas 1.5T Inverter Ac"/>
    <x v="2"/>
    <s v="Delivered"/>
    <n v="2"/>
    <n v="38190"/>
    <n v="0.1"/>
    <n v="28700"/>
    <n v="68742"/>
    <n v="57400"/>
    <n v="11342"/>
    <n v="0.16499374472665909"/>
  </r>
  <r>
    <x v="296"/>
    <x v="134"/>
    <x v="0"/>
    <d v="1900-01-05T00:00:00"/>
    <x v="2"/>
    <s v="Jaipur"/>
    <s v="Rohit Malhotra"/>
    <s v="Rohit Malhotra"/>
    <x v="3"/>
    <x v="3"/>
    <s v="Tables"/>
    <s v="6-Seater Dining Table"/>
    <x v="2"/>
    <s v="Shipped"/>
    <n v="11"/>
    <n v="25660"/>
    <n v="0.18"/>
    <n v="14960"/>
    <n v="231453.2"/>
    <n v="164560"/>
    <n v="66893.200000000012"/>
    <n v="0.28901393456646962"/>
  </r>
  <r>
    <x v="297"/>
    <x v="134"/>
    <x v="0"/>
    <d v="1900-01-05T00:00:00"/>
    <x v="0"/>
    <s v="Nashik"/>
    <s v="Neha Deshpande"/>
    <s v="Neha Deshpande"/>
    <x v="0"/>
    <x v="0"/>
    <s v="Audio Devices"/>
    <s v="Sony Wh-Ch720N"/>
    <x v="0"/>
    <s v="Delivered"/>
    <n v="10"/>
    <n v="8080"/>
    <n v="0"/>
    <n v="5640"/>
    <n v="80800"/>
    <n v="56400"/>
    <n v="24400"/>
    <n v="0.30198019801980197"/>
  </r>
  <r>
    <x v="298"/>
    <x v="135"/>
    <x v="0"/>
    <d v="1900-01-05T00:00:00"/>
    <x v="0"/>
    <s v="Ahmedabad"/>
    <s v="Prateek Shah"/>
    <s v="Prateek Shah"/>
    <x v="2"/>
    <x v="3"/>
    <s v="Office Chairs"/>
    <s v="Green Soul Ergonomic Chair"/>
    <x v="0"/>
    <s v="Delivered"/>
    <n v="3"/>
    <n v="12470"/>
    <n v="0"/>
    <n v="8860"/>
    <n v="37410"/>
    <n v="26580"/>
    <n v="10830"/>
    <n v="0.28949478748997592"/>
  </r>
  <r>
    <x v="299"/>
    <x v="135"/>
    <x v="0"/>
    <d v="1900-01-05T00:00:00"/>
    <x v="1"/>
    <s v="Ranchi"/>
    <s v="Sourav Das"/>
    <s v="Sourav Das"/>
    <x v="3"/>
    <x v="2"/>
    <s v="Apparel"/>
    <s v="Allen Solly Formal Shirt"/>
    <x v="1"/>
    <s v="Delivered"/>
    <n v="81"/>
    <n v="1870"/>
    <n v="0.05"/>
    <n v="1070"/>
    <n v="143896.5"/>
    <n v="86670"/>
    <n v="57226.5"/>
    <n v="0.39769209119054322"/>
  </r>
  <r>
    <x v="300"/>
    <x v="136"/>
    <x v="0"/>
    <d v="1900-01-05T00:00:00"/>
    <x v="3"/>
    <s v="Hyderabad"/>
    <s v="Anjali Menon"/>
    <s v="Anjali Menon"/>
    <x v="3"/>
    <x v="4"/>
    <s v="Activewear"/>
    <s v="Puma Track Pants"/>
    <x v="0"/>
    <s v="Delivered"/>
    <n v="16"/>
    <n v="1640"/>
    <n v="0.25"/>
    <n v="1210"/>
    <n v="19680"/>
    <n v="19360"/>
    <n v="320"/>
    <n v="1.6260162601626018E-2"/>
  </r>
  <r>
    <x v="301"/>
    <x v="137"/>
    <x v="0"/>
    <d v="1900-01-05T00:00:00"/>
    <x v="3"/>
    <s v="Bengaluru"/>
    <s v="Divya Nair"/>
    <s v="Divya Nair"/>
    <x v="2"/>
    <x v="0"/>
    <s v="Televisions"/>
    <s v="Mi Tv 5X 43 Inch"/>
    <x v="2"/>
    <s v="Delivered"/>
    <n v="3"/>
    <n v="31850"/>
    <n v="0.15"/>
    <n v="18780"/>
    <n v="81217.5"/>
    <n v="56340"/>
    <n v="24877.5"/>
    <n v="0.30630713823991135"/>
  </r>
  <r>
    <x v="302"/>
    <x v="138"/>
    <x v="0"/>
    <d v="1900-01-05T00:00:00"/>
    <x v="3"/>
    <s v="Kochi"/>
    <s v="Divya Nair"/>
    <s v="Divya Nair"/>
    <x v="2"/>
    <x v="3"/>
    <s v="Storage"/>
    <s v="Metal Shoe Rack"/>
    <x v="0"/>
    <s v="Returned"/>
    <n v="11"/>
    <n v="3470"/>
    <n v="0.12"/>
    <n v="2100"/>
    <n v="33589.599999999999"/>
    <n v="23100"/>
    <n v="10489.599999999999"/>
    <n v="0.31228713649462925"/>
  </r>
  <r>
    <x v="303"/>
    <x v="138"/>
    <x v="0"/>
    <d v="1900-01-05T00:00:00"/>
    <x v="2"/>
    <s v="Chandigarh"/>
    <s v="Aditya Verma"/>
    <s v="Aditya Verma"/>
    <x v="0"/>
    <x v="1"/>
    <s v="Kitchen Appliances"/>
    <s v="Pigeon Induction Cooktop"/>
    <x v="1"/>
    <s v="Delivered"/>
    <n v="34"/>
    <n v="2630"/>
    <n v="0.1"/>
    <n v="1720"/>
    <n v="80478"/>
    <n v="58480"/>
    <n v="21998"/>
    <n v="0.27334178284748628"/>
  </r>
  <r>
    <x v="304"/>
    <x v="138"/>
    <x v="0"/>
    <d v="1900-01-05T00:00:00"/>
    <x v="1"/>
    <s v="Siliguri"/>
    <s v="Ritika Ghosh"/>
    <s v="Ritika Ghosh"/>
    <x v="0"/>
    <x v="0"/>
    <s v="Televisions"/>
    <s v="Samsung Crystal 4K 55 Inch"/>
    <x v="0"/>
    <s v="Delivered"/>
    <n v="1"/>
    <n v="53190"/>
    <n v="0.2"/>
    <n v="34770"/>
    <n v="42552"/>
    <n v="34770"/>
    <n v="7782"/>
    <n v="0.18288212069937959"/>
  </r>
  <r>
    <x v="305"/>
    <x v="138"/>
    <x v="0"/>
    <d v="1900-01-05T00:00:00"/>
    <x v="2"/>
    <s v="Noida"/>
    <s v="Simran Kaur"/>
    <s v="Simran Kaur"/>
    <x v="0"/>
    <x v="2"/>
    <s v="Accessories"/>
    <s v="Fastrack Analog Watch"/>
    <x v="0"/>
    <s v="Delivered"/>
    <n v="7"/>
    <n v="2670"/>
    <n v="0.08"/>
    <n v="1560"/>
    <n v="17194.8"/>
    <n v="10920"/>
    <n v="6274.7999999999993"/>
    <n v="0.36492427943331701"/>
  </r>
  <r>
    <x v="306"/>
    <x v="138"/>
    <x v="0"/>
    <d v="1900-01-05T00:00:00"/>
    <x v="2"/>
    <s v="Chandigarh"/>
    <s v="Simran Kaur"/>
    <s v="Simran Kaur"/>
    <x v="3"/>
    <x v="0"/>
    <s v="Audio Devices"/>
    <s v="Jbl Flip 6"/>
    <x v="0"/>
    <s v="Delivered"/>
    <n v="5"/>
    <n v="8960"/>
    <n v="0.18"/>
    <n v="6970"/>
    <n v="36736"/>
    <n v="34850"/>
    <n v="1886"/>
    <n v="5.1339285714285712E-2"/>
  </r>
  <r>
    <x v="307"/>
    <x v="139"/>
    <x v="0"/>
    <d v="1900-01-05T00:00:00"/>
    <x v="1"/>
    <s v="Guwahati"/>
    <s v="Sourav Das"/>
    <s v="Sourav Das"/>
    <x v="2"/>
    <x v="2"/>
    <s v="Apparel"/>
    <s v="Us Polo T-Shirt"/>
    <x v="1"/>
    <s v="Delivered"/>
    <n v="30"/>
    <n v="1210"/>
    <n v="0.1"/>
    <n v="740"/>
    <n v="32670"/>
    <n v="22200"/>
    <n v="10470"/>
    <n v="0.32047750229568411"/>
  </r>
  <r>
    <x v="308"/>
    <x v="140"/>
    <x v="0"/>
    <d v="1900-01-05T00:00:00"/>
    <x v="0"/>
    <s v="Ahmedabad"/>
    <s v="Prateek Shah"/>
    <s v="Prateek Shah"/>
    <x v="0"/>
    <x v="2"/>
    <s v="Apparel"/>
    <s v="Us Polo T-Shirt"/>
    <x v="1"/>
    <s v="Delivered"/>
    <n v="39"/>
    <n v="1290"/>
    <n v="0.05"/>
    <n v="730"/>
    <n v="47794.5"/>
    <n v="28470"/>
    <n v="19324.5"/>
    <n v="0.40432476540187678"/>
  </r>
  <r>
    <x v="309"/>
    <x v="140"/>
    <x v="0"/>
    <d v="1900-01-05T00:00:00"/>
    <x v="2"/>
    <s v="Gurugram"/>
    <s v="Simran Kaur"/>
    <s v="Simran Kaur"/>
    <x v="2"/>
    <x v="0"/>
    <s v="Mobile Phones"/>
    <s v="Iphone 15"/>
    <x v="2"/>
    <s v="Delivered"/>
    <n v="1"/>
    <n v="69680"/>
    <n v="0.18"/>
    <n v="40690"/>
    <n v="57137.600000000006"/>
    <n v="40690"/>
    <n v="16447.600000000006"/>
    <n v="0.28785948307244275"/>
  </r>
  <r>
    <x v="310"/>
    <x v="141"/>
    <x v="0"/>
    <d v="1900-01-05T00:00:00"/>
    <x v="2"/>
    <s v="Noida"/>
    <s v="Rohit Malhotra"/>
    <s v="Rohit Malhotra"/>
    <x v="3"/>
    <x v="0"/>
    <s v="Mobile Phones"/>
    <s v="Iphone 15"/>
    <x v="0"/>
    <s v="Pending"/>
    <n v="5"/>
    <n v="66670"/>
    <n v="0.1"/>
    <n v="39720"/>
    <n v="300015"/>
    <n v="198600"/>
    <n v="101415"/>
    <n v="0.33803309834508277"/>
  </r>
  <r>
    <x v="311"/>
    <x v="141"/>
    <x v="0"/>
    <d v="1900-01-05T00:00:00"/>
    <x v="0"/>
    <s v="Nashik"/>
    <s v="Neha Deshpande"/>
    <s v="Neha Deshpande"/>
    <x v="0"/>
    <x v="0"/>
    <s v="Mobile Phones"/>
    <s v="Iphone 15"/>
    <x v="0"/>
    <s v="Delivered"/>
    <n v="2"/>
    <n v="67940"/>
    <n v="0.05"/>
    <n v="43450"/>
    <n v="129086"/>
    <n v="86900"/>
    <n v="42186"/>
    <n v="0.32680538555691552"/>
  </r>
  <r>
    <x v="312"/>
    <x v="142"/>
    <x v="0"/>
    <d v="1900-01-05T00:00:00"/>
    <x v="2"/>
    <s v="Delhi"/>
    <s v="Simran Kaur"/>
    <s v="Simran Kaur"/>
    <x v="0"/>
    <x v="1"/>
    <s v="Air Conditioners"/>
    <s v="Daikin 1.5T Split Ac"/>
    <x v="1"/>
    <s v="Delivered"/>
    <n v="2"/>
    <n v="44630"/>
    <n v="0.2"/>
    <n v="27520"/>
    <n v="71408"/>
    <n v="55040"/>
    <n v="16368"/>
    <n v="0.22921801478825901"/>
  </r>
  <r>
    <x v="313"/>
    <x v="142"/>
    <x v="0"/>
    <d v="1900-01-05T00:00:00"/>
    <x v="2"/>
    <s v="Lucknow"/>
    <s v="Aditya Verma"/>
    <s v="Aditya Verma"/>
    <x v="0"/>
    <x v="2"/>
    <s v="Accessories"/>
    <s v="Wildcraft 35L Backpack"/>
    <x v="0"/>
    <s v="Delivered"/>
    <n v="24"/>
    <n v="1820"/>
    <n v="0.08"/>
    <n v="1250"/>
    <n v="40185.599999999999"/>
    <n v="30000"/>
    <n v="10185.599999999999"/>
    <n v="0.25346392737697082"/>
  </r>
  <r>
    <x v="314"/>
    <x v="142"/>
    <x v="0"/>
    <d v="1900-01-05T00:00:00"/>
    <x v="2"/>
    <s v="Delhi"/>
    <s v="Rohit Malhotra"/>
    <s v="Rohit Malhotra"/>
    <x v="0"/>
    <x v="1"/>
    <s v="Refrigerators"/>
    <s v="Lg 260L Double Door"/>
    <x v="0"/>
    <s v="Delivered"/>
    <n v="2"/>
    <n v="27660"/>
    <n v="0.2"/>
    <n v="17280"/>
    <n v="44256"/>
    <n v="34560"/>
    <n v="9696"/>
    <n v="0.21908893709327548"/>
  </r>
  <r>
    <x v="315"/>
    <x v="143"/>
    <x v="0"/>
    <d v="1900-01-05T00:00:00"/>
    <x v="1"/>
    <s v="Ranchi"/>
    <s v="Sourav Das"/>
    <s v="Sourav Das"/>
    <x v="0"/>
    <x v="4"/>
    <s v="Sports Gear"/>
    <s v="Sg Cricket Bat English Willow"/>
    <x v="1"/>
    <s v="Returned"/>
    <n v="4"/>
    <n v="4720"/>
    <n v="0.05"/>
    <n v="3150"/>
    <n v="17936"/>
    <n v="12600"/>
    <n v="5336"/>
    <n v="0.29750223015165034"/>
  </r>
  <r>
    <x v="316"/>
    <x v="144"/>
    <x v="0"/>
    <d v="1900-01-05T00:00:00"/>
    <x v="0"/>
    <s v="Nagpur"/>
    <s v="Neha Deshpande"/>
    <s v="Neha Deshpande"/>
    <x v="3"/>
    <x v="1"/>
    <s v="Kitchen Appliances"/>
    <s v="Philips Air Fryer"/>
    <x v="1"/>
    <s v="Delivered"/>
    <n v="10"/>
    <n v="9840"/>
    <n v="0"/>
    <n v="6900"/>
    <n v="98400"/>
    <n v="69000"/>
    <n v="29400"/>
    <n v="0.29878048780487804"/>
  </r>
  <r>
    <x v="317"/>
    <x v="144"/>
    <x v="0"/>
    <d v="1900-01-05T00:00:00"/>
    <x v="4"/>
    <s v="Raipur"/>
    <s v="Manish Tiwari"/>
    <s v="Manish Tiwari"/>
    <x v="0"/>
    <x v="0"/>
    <s v="Audio Devices"/>
    <s v="Jbl Flip 6"/>
    <x v="2"/>
    <s v="Delivered"/>
    <n v="5"/>
    <n v="9710"/>
    <n v="0"/>
    <n v="6780"/>
    <n v="48550"/>
    <n v="33900"/>
    <n v="14650"/>
    <n v="0.30175077239958803"/>
  </r>
  <r>
    <x v="318"/>
    <x v="145"/>
    <x v="0"/>
    <d v="1900-01-05T00:00:00"/>
    <x v="4"/>
    <s v="Gwalior"/>
    <s v="Pooja Chouhan"/>
    <s v="Pooja Chouhan"/>
    <x v="3"/>
    <x v="0"/>
    <s v="Televisions"/>
    <s v="Mi Tv 5X 43 Inch"/>
    <x v="1"/>
    <s v="Delivered"/>
    <n v="5"/>
    <n v="32340"/>
    <n v="0.1"/>
    <n v="20720"/>
    <n v="145530"/>
    <n v="103600"/>
    <n v="41930"/>
    <n v="0.28811928811928811"/>
  </r>
  <r>
    <x v="319"/>
    <x v="145"/>
    <x v="0"/>
    <d v="1900-01-05T00:00:00"/>
    <x v="2"/>
    <s v="Chandigarh"/>
    <s v="Simran Kaur"/>
    <s v="Simran Kaur"/>
    <x v="0"/>
    <x v="1"/>
    <s v="Washing Machines"/>
    <s v="Whirlpool Semi Auto 7.5Kg"/>
    <x v="2"/>
    <s v="Delivered"/>
    <n v="2"/>
    <n v="14110"/>
    <n v="0.08"/>
    <n v="10180"/>
    <n v="25962.400000000001"/>
    <n v="20360"/>
    <n v="5602.4000000000015"/>
    <n v="0.21578898715064868"/>
  </r>
  <r>
    <x v="320"/>
    <x v="146"/>
    <x v="0"/>
    <d v="1900-01-06T00:00:00"/>
    <x v="1"/>
    <s v="Patna"/>
    <s v="Ritika Ghosh"/>
    <s v="Ritika Ghosh"/>
    <x v="0"/>
    <x v="1"/>
    <s v="Air Conditioners"/>
    <s v="Daikin 1.5T Split Ac"/>
    <x v="0"/>
    <s v="Delivered"/>
    <n v="4"/>
    <n v="41560"/>
    <n v="0.1"/>
    <n v="29970"/>
    <n v="149616"/>
    <n v="119880"/>
    <n v="29736"/>
    <n v="0.19874879692011549"/>
  </r>
  <r>
    <x v="321"/>
    <x v="146"/>
    <x v="0"/>
    <d v="1900-01-06T00:00:00"/>
    <x v="4"/>
    <s v="Bhopal"/>
    <s v="Manish Tiwari"/>
    <s v="Manish Tiwari"/>
    <x v="3"/>
    <x v="0"/>
    <s v="Televisions"/>
    <s v="Samsung Crystal 4K 55 Inch"/>
    <x v="1"/>
    <s v="Delivered"/>
    <n v="5"/>
    <n v="49610"/>
    <n v="0.05"/>
    <n v="33490"/>
    <n v="235647.5"/>
    <n v="167450"/>
    <n v="68197.5"/>
    <n v="0.28940472527822275"/>
  </r>
  <r>
    <x v="322"/>
    <x v="147"/>
    <x v="0"/>
    <d v="1900-01-06T00:00:00"/>
    <x v="4"/>
    <s v="Ujjain"/>
    <s v="Manish Tiwari"/>
    <s v="Manish Tiwari"/>
    <x v="3"/>
    <x v="4"/>
    <s v="Sports Gear"/>
    <s v="Sg Cricket Bat English Willow"/>
    <x v="2"/>
    <s v="Delivered"/>
    <n v="19"/>
    <n v="4570"/>
    <n v="0.08"/>
    <n v="2640"/>
    <n v="79883.600000000006"/>
    <n v="50160"/>
    <n v="29723.600000000006"/>
    <n v="0.37208638569118069"/>
  </r>
  <r>
    <x v="323"/>
    <x v="148"/>
    <x v="0"/>
    <d v="1900-01-06T00:00:00"/>
    <x v="4"/>
    <s v="Indore"/>
    <s v="Manish Tiwari"/>
    <s v="Manish Tiwari"/>
    <x v="0"/>
    <x v="1"/>
    <s v="Washing Machines"/>
    <s v="Ifb Front Load 7Kg"/>
    <x v="2"/>
    <s v="Delivered"/>
    <n v="1"/>
    <n v="33920"/>
    <n v="0"/>
    <n v="24340"/>
    <n v="33920"/>
    <n v="24340"/>
    <n v="9580"/>
    <n v="0.28242924528301888"/>
  </r>
  <r>
    <x v="324"/>
    <x v="148"/>
    <x v="0"/>
    <d v="1900-01-06T00:00:00"/>
    <x v="3"/>
    <s v="Visakhapatnam"/>
    <s v="Divya Nair"/>
    <s v="Divya Nair"/>
    <x v="0"/>
    <x v="0"/>
    <s v="Televisions"/>
    <s v="Samsung Crystal 4K 55 Inch"/>
    <x v="2"/>
    <s v="Delivered"/>
    <n v="3"/>
    <n v="52070"/>
    <n v="0.08"/>
    <n v="37820"/>
    <n v="143713.20000000001"/>
    <n v="113460"/>
    <n v="30253.200000000012"/>
    <n v="0.21051093427743595"/>
  </r>
  <r>
    <x v="325"/>
    <x v="148"/>
    <x v="0"/>
    <d v="1900-01-06T00:00:00"/>
    <x v="0"/>
    <s v="Ahmedabad"/>
    <s v="Imran Sheikh"/>
    <s v="Imran Sheikh"/>
    <x v="2"/>
    <x v="0"/>
    <s v="Audio Devices"/>
    <s v="Boat Airdopes 141"/>
    <x v="0"/>
    <s v="Delivered"/>
    <n v="33"/>
    <n v="1860"/>
    <n v="0.15"/>
    <n v="1200"/>
    <n v="52173"/>
    <n v="39600"/>
    <n v="12573"/>
    <n v="0.24098671726755219"/>
  </r>
  <r>
    <x v="326"/>
    <x v="149"/>
    <x v="0"/>
    <d v="1900-01-06T00:00:00"/>
    <x v="3"/>
    <s v="Bengaluru"/>
    <s v="Karthik Raman"/>
    <s v="Karthik Raman"/>
    <x v="0"/>
    <x v="0"/>
    <s v="Mobile Phones"/>
    <s v="Iphone 15"/>
    <x v="2"/>
    <s v="Delivered"/>
    <n v="1"/>
    <n v="69710"/>
    <n v="0.05"/>
    <n v="44850"/>
    <n v="66224.5"/>
    <n v="44850"/>
    <n v="21374.5"/>
    <n v="0.32275819371984688"/>
  </r>
  <r>
    <x v="327"/>
    <x v="150"/>
    <x v="0"/>
    <d v="1900-01-06T00:00:00"/>
    <x v="4"/>
    <s v="Raipur"/>
    <s v="Pooja Chouhan"/>
    <s v="Pooja Chouhan"/>
    <x v="1"/>
    <x v="0"/>
    <s v="Audio Devices"/>
    <s v="Sony Wh-Ch720N"/>
    <x v="1"/>
    <s v="Delivered"/>
    <n v="25"/>
    <n v="8860"/>
    <n v="0.08"/>
    <n v="6980"/>
    <n v="203780"/>
    <n v="174500"/>
    <n v="29280"/>
    <n v="0.14368436549219746"/>
  </r>
  <r>
    <x v="328"/>
    <x v="150"/>
    <x v="0"/>
    <d v="1900-01-06T00:00:00"/>
    <x v="3"/>
    <s v="Hyderabad"/>
    <s v="Divya Nair"/>
    <s v="Divya Nair"/>
    <x v="3"/>
    <x v="3"/>
    <s v="Tables"/>
    <s v="6-Seater Dining Table"/>
    <x v="1"/>
    <s v="Delivered"/>
    <n v="14"/>
    <n v="24810"/>
    <n v="0.12"/>
    <n v="16950"/>
    <n v="305659.2"/>
    <n v="237300"/>
    <n v="68359.200000000012"/>
    <n v="0.22364515774431135"/>
  </r>
  <r>
    <x v="329"/>
    <x v="151"/>
    <x v="0"/>
    <d v="1900-01-06T00:00:00"/>
    <x v="1"/>
    <s v="Bhubaneswar"/>
    <s v="Sourav Das"/>
    <s v="Sourav Das"/>
    <x v="3"/>
    <x v="0"/>
    <s v="Mobile Phones"/>
    <s v="Redmi Note 14"/>
    <x v="0"/>
    <s v="Returned"/>
    <n v="7"/>
    <n v="17420"/>
    <n v="0.05"/>
    <n v="9850"/>
    <n v="115843"/>
    <n v="68950"/>
    <n v="46893"/>
    <n v="0.40479787298326181"/>
  </r>
  <r>
    <x v="330"/>
    <x v="151"/>
    <x v="0"/>
    <d v="1900-01-06T00:00:00"/>
    <x v="2"/>
    <s v="Noida"/>
    <s v="Aditya Verma"/>
    <s v="Aditya Verma"/>
    <x v="0"/>
    <x v="3"/>
    <s v="Office Chairs"/>
    <s v="Green Soul Ergonomic Chair"/>
    <x v="0"/>
    <s v="Pending"/>
    <n v="6"/>
    <n v="12290"/>
    <n v="0.15"/>
    <n v="9430"/>
    <n v="62679"/>
    <n v="56580"/>
    <n v="6099"/>
    <n v="9.7305317570478153E-2"/>
  </r>
  <r>
    <x v="331"/>
    <x v="151"/>
    <x v="0"/>
    <d v="1900-01-06T00:00:00"/>
    <x v="0"/>
    <s v="Surat"/>
    <s v="Neha Deshpande"/>
    <s v="Neha Deshpande"/>
    <x v="3"/>
    <x v="0"/>
    <s v="Televisions"/>
    <s v="Samsung Crystal 4K 55 Inch"/>
    <x v="0"/>
    <s v="Delivered"/>
    <n v="3"/>
    <n v="49530"/>
    <n v="0.05"/>
    <n v="36810"/>
    <n v="141160.5"/>
    <n v="110430"/>
    <n v="30730.5"/>
    <n v="0.21769900219962382"/>
  </r>
  <r>
    <x v="332"/>
    <x v="152"/>
    <x v="0"/>
    <d v="1900-01-06T00:00:00"/>
    <x v="2"/>
    <s v="Noida"/>
    <s v="Aditya Verma"/>
    <s v="Aditya Verma"/>
    <x v="0"/>
    <x v="1"/>
    <s v="Air Conditioners"/>
    <s v="Voltas 1.5T Inverter Ac"/>
    <x v="1"/>
    <s v="Delivered"/>
    <n v="2"/>
    <n v="37740"/>
    <n v="0.2"/>
    <n v="22580"/>
    <n v="60384"/>
    <n v="45160"/>
    <n v="15224"/>
    <n v="0.25211976682564918"/>
  </r>
  <r>
    <x v="333"/>
    <x v="152"/>
    <x v="0"/>
    <d v="1900-01-06T00:00:00"/>
    <x v="1"/>
    <s v="Bhubaneswar"/>
    <s v="Sourav Das"/>
    <s v="Sourav Das"/>
    <x v="3"/>
    <x v="0"/>
    <s v="Mobile Phones"/>
    <s v="Iphone 15"/>
    <x v="1"/>
    <s v="Delivered"/>
    <n v="5"/>
    <n v="70790"/>
    <n v="0.1"/>
    <n v="50940"/>
    <n v="318555"/>
    <n v="254700"/>
    <n v="63855"/>
    <n v="0.20045204124876395"/>
  </r>
  <r>
    <x v="334"/>
    <x v="153"/>
    <x v="0"/>
    <d v="1900-01-06T00:00:00"/>
    <x v="3"/>
    <s v="Kochi"/>
    <s v="Anjali Menon"/>
    <s v="Anjali Menon"/>
    <x v="0"/>
    <x v="2"/>
    <s v="Apparel"/>
    <s v="Allen Solly Formal Shirt"/>
    <x v="1"/>
    <s v="Delivered"/>
    <n v="19"/>
    <n v="1910"/>
    <n v="0.05"/>
    <n v="1200"/>
    <n v="34475.5"/>
    <n v="22800"/>
    <n v="11675.5"/>
    <n v="0.33866078809589417"/>
  </r>
  <r>
    <x v="335"/>
    <x v="153"/>
    <x v="0"/>
    <d v="1900-01-06T00:00:00"/>
    <x v="0"/>
    <s v="Nashik"/>
    <s v="Imran Sheikh"/>
    <s v="Imran Sheikh"/>
    <x v="1"/>
    <x v="2"/>
    <s v="Accessories"/>
    <s v="Fastrack Analog Watch"/>
    <x v="0"/>
    <s v="Delivered"/>
    <n v="83"/>
    <n v="2660"/>
    <n v="0"/>
    <n v="1960"/>
    <n v="220780"/>
    <n v="162680"/>
    <n v="58100"/>
    <n v="0.26315789473684209"/>
  </r>
  <r>
    <x v="336"/>
    <x v="153"/>
    <x v="0"/>
    <d v="1900-01-06T00:00:00"/>
    <x v="3"/>
    <s v="Hyderabad"/>
    <s v="Anjali Menon"/>
    <s v="Anjali Menon"/>
    <x v="0"/>
    <x v="2"/>
    <s v="Accessories"/>
    <s v="Fastrack Analog Watch"/>
    <x v="1"/>
    <s v="Delivered"/>
    <n v="19"/>
    <n v="2510"/>
    <n v="0.15"/>
    <n v="1740"/>
    <n v="40536.5"/>
    <n v="33060"/>
    <n v="7476.5"/>
    <n v="0.18443871572533396"/>
  </r>
  <r>
    <x v="337"/>
    <x v="154"/>
    <x v="0"/>
    <d v="1900-01-06T00:00:00"/>
    <x v="0"/>
    <s v="Pune"/>
    <s v="Imran Sheikh"/>
    <s v="Imran Sheikh"/>
    <x v="0"/>
    <x v="1"/>
    <s v="Kitchen Appliances"/>
    <s v="Pigeon Induction Cooktop"/>
    <x v="0"/>
    <s v="Delivered"/>
    <n v="21"/>
    <n v="2600"/>
    <n v="0.2"/>
    <n v="1960"/>
    <n v="43680"/>
    <n v="41160"/>
    <n v="2520"/>
    <n v="5.7692307692307696E-2"/>
  </r>
  <r>
    <x v="338"/>
    <x v="155"/>
    <x v="0"/>
    <d v="1900-01-06T00:00:00"/>
    <x v="3"/>
    <s v="Hyderabad"/>
    <s v="Anjali Menon"/>
    <s v="Anjali Menon"/>
    <x v="0"/>
    <x v="1"/>
    <s v="Kitchen Appliances"/>
    <s v="Philips Air Fryer"/>
    <x v="0"/>
    <s v="Delivered"/>
    <n v="7"/>
    <n v="9070"/>
    <n v="0.2"/>
    <n v="5610"/>
    <n v="50792"/>
    <n v="39270"/>
    <n v="11522"/>
    <n v="0.22684674751929437"/>
  </r>
  <r>
    <x v="339"/>
    <x v="155"/>
    <x v="0"/>
    <d v="1900-01-06T00:00:00"/>
    <x v="2"/>
    <s v="Delhi"/>
    <s v="Simran Kaur"/>
    <s v="Simran Kaur"/>
    <x v="0"/>
    <x v="4"/>
    <s v="Sports Gear"/>
    <s v="Sg Cricket Bat English Willow"/>
    <x v="1"/>
    <s v="Delivered"/>
    <n v="3"/>
    <n v="4800"/>
    <n v="0"/>
    <n v="3270"/>
    <n v="14400"/>
    <n v="9810"/>
    <n v="4590"/>
    <n v="0.31874999999999998"/>
  </r>
  <r>
    <x v="340"/>
    <x v="156"/>
    <x v="0"/>
    <d v="1900-01-06T00:00:00"/>
    <x v="2"/>
    <s v="Jaipur"/>
    <s v="Aditya Verma"/>
    <s v="Aditya Verma"/>
    <x v="2"/>
    <x v="0"/>
    <s v="Mobile Phones"/>
    <s v="Redmi Note 14"/>
    <x v="0"/>
    <s v="Pending"/>
    <n v="7"/>
    <n v="19070"/>
    <n v="0"/>
    <n v="14760"/>
    <n v="133490"/>
    <n v="103320"/>
    <n v="30170"/>
    <n v="0.2260094389092816"/>
  </r>
  <r>
    <x v="341"/>
    <x v="156"/>
    <x v="0"/>
    <d v="1900-01-06T00:00:00"/>
    <x v="3"/>
    <s v="Coimbatore"/>
    <s v="Anjali Menon"/>
    <s v="Anjali Menon"/>
    <x v="2"/>
    <x v="0"/>
    <s v="Televisions"/>
    <s v="Mi Tv 5X 43 Inch"/>
    <x v="1"/>
    <s v="Delivered"/>
    <n v="1"/>
    <n v="34280"/>
    <n v="0.18"/>
    <n v="19700"/>
    <n v="28109.600000000002"/>
    <n v="19700"/>
    <n v="8409.6000000000022"/>
    <n v="0.29917181318837699"/>
  </r>
  <r>
    <x v="342"/>
    <x v="156"/>
    <x v="0"/>
    <d v="1900-01-06T00:00:00"/>
    <x v="3"/>
    <s v="Kochi"/>
    <s v="Divya Nair"/>
    <s v="Divya Nair"/>
    <x v="3"/>
    <x v="2"/>
    <s v="Accessories"/>
    <s v="Fastrack Analog Watch"/>
    <x v="0"/>
    <s v="Returned"/>
    <n v="57"/>
    <n v="2480"/>
    <n v="0.08"/>
    <n v="1810"/>
    <n v="130051.20000000001"/>
    <n v="103170"/>
    <n v="26881.200000000012"/>
    <n v="0.20669705469845728"/>
  </r>
  <r>
    <x v="343"/>
    <x v="157"/>
    <x v="0"/>
    <d v="1900-01-06T00:00:00"/>
    <x v="2"/>
    <s v="Jaipur"/>
    <s v="Aditya Verma"/>
    <s v="Aditya Verma"/>
    <x v="0"/>
    <x v="0"/>
    <s v="Laptops"/>
    <s v="Hp Pavilion 15"/>
    <x v="0"/>
    <s v="Delivered"/>
    <n v="2"/>
    <n v="65370"/>
    <n v="0.12"/>
    <n v="40810"/>
    <n v="115051.2"/>
    <n v="81620"/>
    <n v="33431.199999999997"/>
    <n v="0.29057671714853905"/>
  </r>
  <r>
    <x v="344"/>
    <x v="157"/>
    <x v="0"/>
    <d v="1900-01-06T00:00:00"/>
    <x v="3"/>
    <s v="Chennai"/>
    <s v="Anjali Menon"/>
    <s v="Anjali Menon"/>
    <x v="0"/>
    <x v="1"/>
    <s v="Air Conditioners"/>
    <s v="Voltas 1.5T Inverter Ac"/>
    <x v="0"/>
    <s v="Delivered"/>
    <n v="4"/>
    <n v="38620"/>
    <n v="0"/>
    <n v="30170"/>
    <n v="154480"/>
    <n v="120680"/>
    <n v="33800"/>
    <n v="0.21879854997410669"/>
  </r>
  <r>
    <x v="345"/>
    <x v="158"/>
    <x v="0"/>
    <d v="1900-01-06T00:00:00"/>
    <x v="0"/>
    <s v="Pune"/>
    <s v="Prateek Shah"/>
    <s v="Prateek Shah"/>
    <x v="1"/>
    <x v="2"/>
    <s v="Apparel"/>
    <s v="Allen Solly Formal Shirt"/>
    <x v="1"/>
    <s v="Pending"/>
    <n v="54"/>
    <n v="1920"/>
    <n v="0.05"/>
    <n v="1190"/>
    <n v="98496"/>
    <n v="64260"/>
    <n v="34236"/>
    <n v="0.34758771929824561"/>
  </r>
  <r>
    <x v="346"/>
    <x v="159"/>
    <x v="0"/>
    <d v="1900-01-06T00:00:00"/>
    <x v="3"/>
    <s v="Chennai"/>
    <s v="Karthik Raman"/>
    <s v="Karthik Raman"/>
    <x v="0"/>
    <x v="0"/>
    <s v="Laptops"/>
    <s v="Macbook Air M3"/>
    <x v="0"/>
    <s v="Delivered"/>
    <n v="2"/>
    <n v="101670"/>
    <n v="0.05"/>
    <n v="79680"/>
    <n v="193173"/>
    <n v="159360"/>
    <n v="33813"/>
    <n v="0.17503999006072277"/>
  </r>
  <r>
    <x v="347"/>
    <x v="159"/>
    <x v="0"/>
    <d v="1900-01-06T00:00:00"/>
    <x v="0"/>
    <s v="Nagpur"/>
    <s v="Neha Deshpande"/>
    <s v="Neha Deshpande"/>
    <x v="3"/>
    <x v="0"/>
    <s v="Televisions"/>
    <s v="Mi Tv 5X 43 Inch"/>
    <x v="0"/>
    <s v="Shipped"/>
    <n v="3"/>
    <n v="34490"/>
    <n v="0.15"/>
    <n v="21420"/>
    <n v="87949.5"/>
    <n v="64260"/>
    <n v="23689.5"/>
    <n v="0.26935343577848653"/>
  </r>
  <r>
    <x v="348"/>
    <x v="160"/>
    <x v="0"/>
    <d v="1900-01-06T00:00:00"/>
    <x v="3"/>
    <s v="Coimbatore"/>
    <s v="Karthik Raman"/>
    <s v="Karthik Raman"/>
    <x v="0"/>
    <x v="0"/>
    <s v="Audio Devices"/>
    <s v="Sony Wh-Ch720N"/>
    <x v="0"/>
    <s v="Delivered"/>
    <n v="7"/>
    <n v="8280"/>
    <n v="0.15"/>
    <n v="5660"/>
    <n v="49266"/>
    <n v="39620"/>
    <n v="9646"/>
    <n v="0.19579425973287864"/>
  </r>
  <r>
    <x v="349"/>
    <x v="160"/>
    <x v="0"/>
    <d v="1900-01-06T00:00:00"/>
    <x v="4"/>
    <s v="Ujjain"/>
    <s v="Pooja Chouhan"/>
    <s v="Pooja Chouhan"/>
    <x v="1"/>
    <x v="3"/>
    <s v="Sofas"/>
    <s v="Single Seater Recliner"/>
    <x v="1"/>
    <s v="Shipped"/>
    <n v="5"/>
    <n v="48430"/>
    <n v="0.08"/>
    <n v="35670"/>
    <n v="222778"/>
    <n v="178350"/>
    <n v="44428"/>
    <n v="0.19942723249153865"/>
  </r>
  <r>
    <x v="350"/>
    <x v="160"/>
    <x v="0"/>
    <d v="1900-01-06T00:00:00"/>
    <x v="3"/>
    <s v="Visakhapatnam"/>
    <s v="Divya Nair"/>
    <s v="Divya Nair"/>
    <x v="1"/>
    <x v="3"/>
    <s v="Office Chairs"/>
    <s v="Green Soul Ergonomic Chair"/>
    <x v="2"/>
    <s v="Delivered"/>
    <n v="4"/>
    <n v="12120"/>
    <n v="0"/>
    <n v="8240"/>
    <n v="48480"/>
    <n v="32960"/>
    <n v="15520"/>
    <n v="0.32013201320132012"/>
  </r>
  <r>
    <x v="351"/>
    <x v="161"/>
    <x v="0"/>
    <d v="1900-01-06T00:00:00"/>
    <x v="4"/>
    <s v="Gwalior"/>
    <s v="Manish Tiwari"/>
    <s v="Manish Tiwari"/>
    <x v="0"/>
    <x v="0"/>
    <s v="Laptops"/>
    <s v="Dell Inspiron 3520"/>
    <x v="1"/>
    <s v="Shipped"/>
    <n v="3"/>
    <n v="52720"/>
    <n v="0.18"/>
    <n v="35460"/>
    <n v="129691.20000000001"/>
    <n v="106380"/>
    <n v="23311.200000000012"/>
    <n v="0.17974388393352833"/>
  </r>
  <r>
    <x v="352"/>
    <x v="162"/>
    <x v="0"/>
    <d v="1900-01-06T00:00:00"/>
    <x v="3"/>
    <s v="Bengaluru"/>
    <s v="Karthik Raman"/>
    <s v="Karthik Raman"/>
    <x v="3"/>
    <x v="0"/>
    <s v="Laptops"/>
    <s v="Hp Pavilion 15"/>
    <x v="0"/>
    <s v="Delivered"/>
    <n v="6"/>
    <n v="64250"/>
    <n v="0.08"/>
    <n v="38650"/>
    <n v="354660"/>
    <n v="231900"/>
    <n v="122760"/>
    <n v="0.34613432583319237"/>
  </r>
  <r>
    <x v="353"/>
    <x v="162"/>
    <x v="0"/>
    <d v="1900-01-06T00:00:00"/>
    <x v="2"/>
    <s v="Gurugram"/>
    <s v="Simran Kaur"/>
    <s v="Simran Kaur"/>
    <x v="0"/>
    <x v="0"/>
    <s v="Mobile Phones"/>
    <s v="Samsung Galaxy M35"/>
    <x v="0"/>
    <s v="Delivered"/>
    <n v="3"/>
    <n v="22700"/>
    <n v="0.2"/>
    <n v="13680"/>
    <n v="54480"/>
    <n v="41040"/>
    <n v="13440"/>
    <n v="0.24669603524229075"/>
  </r>
  <r>
    <x v="354"/>
    <x v="162"/>
    <x v="0"/>
    <d v="1900-01-06T00:00:00"/>
    <x v="3"/>
    <s v="Kochi"/>
    <s v="Karthik Raman"/>
    <s v="Karthik Raman"/>
    <x v="0"/>
    <x v="2"/>
    <s v="Accessories"/>
    <s v="Wildcraft 35L Backpack"/>
    <x v="1"/>
    <s v="Delivered"/>
    <n v="10"/>
    <n v="2010"/>
    <n v="0"/>
    <n v="1180"/>
    <n v="20100"/>
    <n v="11800"/>
    <n v="8300"/>
    <n v="0.41293532338308458"/>
  </r>
  <r>
    <x v="355"/>
    <x v="163"/>
    <x v="0"/>
    <d v="1900-01-06T00:00:00"/>
    <x v="0"/>
    <s v="Surat"/>
    <s v="Prateek Shah"/>
    <s v="Prateek Shah"/>
    <x v="0"/>
    <x v="0"/>
    <s v="Mobile Phones"/>
    <s v="Iphone 15"/>
    <x v="0"/>
    <s v="Pending"/>
    <n v="3"/>
    <n v="67020"/>
    <n v="0.12"/>
    <n v="40940"/>
    <n v="176932.8"/>
    <n v="122820"/>
    <n v="54112.799999999988"/>
    <n v="0.30583814872087023"/>
  </r>
  <r>
    <x v="356"/>
    <x v="164"/>
    <x v="0"/>
    <d v="1900-01-06T00:00:00"/>
    <x v="2"/>
    <s v="Gurugram"/>
    <s v="Rohit Malhotra"/>
    <s v="Rohit Malhotra"/>
    <x v="0"/>
    <x v="0"/>
    <s v="Laptops"/>
    <s v="Dell Inspiron 3520"/>
    <x v="0"/>
    <s v="Returned"/>
    <n v="4"/>
    <n v="58280"/>
    <n v="0.05"/>
    <n v="43450"/>
    <n v="221464"/>
    <n v="173800"/>
    <n v="47664"/>
    <n v="0.21522233861936929"/>
  </r>
  <r>
    <x v="357"/>
    <x v="165"/>
    <x v="0"/>
    <d v="1900-01-06T00:00:00"/>
    <x v="3"/>
    <s v="Kochi"/>
    <s v="Divya Nair"/>
    <s v="Divya Nair"/>
    <x v="0"/>
    <x v="1"/>
    <s v="Kitchen Appliances"/>
    <s v="Philips Air Fryer"/>
    <x v="0"/>
    <s v="Delivered"/>
    <n v="4"/>
    <n v="9640"/>
    <n v="0.05"/>
    <n v="6570"/>
    <n v="36632"/>
    <n v="26280"/>
    <n v="10352"/>
    <n v="0.28259445293732255"/>
  </r>
  <r>
    <x v="358"/>
    <x v="165"/>
    <x v="0"/>
    <d v="1900-01-06T00:00:00"/>
    <x v="3"/>
    <s v="Coimbatore"/>
    <s v="Karthik Raman"/>
    <s v="Karthik Raman"/>
    <x v="0"/>
    <x v="3"/>
    <s v="Storage"/>
    <s v="3-Door Wardrobe"/>
    <x v="1"/>
    <s v="Delivered"/>
    <n v="3"/>
    <n v="28390"/>
    <n v="0.05"/>
    <n v="21830"/>
    <n v="80911.5"/>
    <n v="65490"/>
    <n v="15421.5"/>
    <n v="0.19059713390556349"/>
  </r>
  <r>
    <x v="359"/>
    <x v="165"/>
    <x v="0"/>
    <d v="1900-01-06T00:00:00"/>
    <x v="0"/>
    <s v="Ahmedabad"/>
    <s v="Imran Sheikh"/>
    <s v="Imran Sheikh"/>
    <x v="0"/>
    <x v="0"/>
    <s v="Laptops"/>
    <s v="Hp Pavilion 15"/>
    <x v="1"/>
    <s v="Delivered"/>
    <n v="2"/>
    <n v="60040"/>
    <n v="0.05"/>
    <n v="40970"/>
    <n v="114076"/>
    <n v="81940"/>
    <n v="32136"/>
    <n v="0.28170693222062487"/>
  </r>
  <r>
    <x v="360"/>
    <x v="166"/>
    <x v="0"/>
    <d v="1900-01-06T00:00:00"/>
    <x v="0"/>
    <s v="Ahmedabad"/>
    <s v="Neha Deshpande"/>
    <s v="Neha Deshpande"/>
    <x v="0"/>
    <x v="2"/>
    <s v="Apparel"/>
    <s v="Allen Solly Formal Shirt"/>
    <x v="0"/>
    <s v="Shipped"/>
    <n v="33"/>
    <n v="1940"/>
    <n v="0.2"/>
    <n v="1230"/>
    <n v="51216"/>
    <n v="40590"/>
    <n v="10626"/>
    <n v="0.20747422680412372"/>
  </r>
  <r>
    <x v="361"/>
    <x v="166"/>
    <x v="0"/>
    <d v="1900-01-06T00:00:00"/>
    <x v="3"/>
    <s v="Coimbatore"/>
    <s v="Karthik Raman"/>
    <s v="Karthik Raman"/>
    <x v="3"/>
    <x v="2"/>
    <s v="Accessories"/>
    <s v="Fastrack Analog Watch"/>
    <x v="0"/>
    <s v="Returned"/>
    <n v="66"/>
    <n v="2620"/>
    <n v="0.05"/>
    <n v="1500"/>
    <n v="164274"/>
    <n v="99000"/>
    <n v="65274"/>
    <n v="0.39734833266372038"/>
  </r>
  <r>
    <x v="362"/>
    <x v="167"/>
    <x v="0"/>
    <d v="1900-01-06T00:00:00"/>
    <x v="0"/>
    <s v="Pune"/>
    <s v="Neha Deshpande"/>
    <s v="Neha Deshpande"/>
    <x v="0"/>
    <x v="4"/>
    <s v="Activewear"/>
    <s v="Nivia Football Size 5"/>
    <x v="1"/>
    <s v="Delivered"/>
    <n v="10"/>
    <n v="880"/>
    <n v="0.18"/>
    <n v="610"/>
    <n v="7216.0000000000009"/>
    <n v="6100"/>
    <n v="1116.0000000000009"/>
    <n v="0.15465631929046575"/>
  </r>
  <r>
    <x v="363"/>
    <x v="167"/>
    <x v="0"/>
    <d v="1900-01-06T00:00:00"/>
    <x v="0"/>
    <s v="Surat"/>
    <s v="Neha Deshpande"/>
    <s v="Neha Deshpande"/>
    <x v="2"/>
    <x v="0"/>
    <s v="Televisions"/>
    <s v="Samsung Crystal 4K 55 Inch"/>
    <x v="1"/>
    <s v="Delivered"/>
    <n v="2"/>
    <n v="55720"/>
    <n v="0.1"/>
    <n v="40740"/>
    <n v="100296"/>
    <n v="81480"/>
    <n v="18816"/>
    <n v="0.18760469011725292"/>
  </r>
  <r>
    <x v="364"/>
    <x v="168"/>
    <x v="0"/>
    <d v="1900-01-06T00:00:00"/>
    <x v="3"/>
    <s v="Coimbatore"/>
    <s v="Anjali Menon"/>
    <s v="Anjali Menon"/>
    <x v="3"/>
    <x v="4"/>
    <s v="Fitness Equipment"/>
    <s v="Adjustable Dumbbell Set 10Kg"/>
    <x v="2"/>
    <s v="Delivered"/>
    <n v="34"/>
    <n v="2480"/>
    <n v="0.08"/>
    <n v="1680"/>
    <n v="77574.400000000009"/>
    <n v="57120"/>
    <n v="20454.400000000009"/>
    <n v="0.26367461430575045"/>
  </r>
  <r>
    <x v="365"/>
    <x v="168"/>
    <x v="0"/>
    <d v="1900-01-06T00:00:00"/>
    <x v="1"/>
    <s v="Ranchi"/>
    <s v="Ritika Ghosh"/>
    <s v="Ritika Ghosh"/>
    <x v="0"/>
    <x v="2"/>
    <s v="Apparel"/>
    <s v="Levis 511 Jeans"/>
    <x v="2"/>
    <s v="Delivered"/>
    <n v="7"/>
    <n v="3020"/>
    <n v="0.08"/>
    <n v="1700"/>
    <n v="19448.8"/>
    <n v="11900"/>
    <n v="7548.7999999999993"/>
    <n v="0.38813705729916498"/>
  </r>
  <r>
    <x v="366"/>
    <x v="168"/>
    <x v="0"/>
    <d v="1900-01-06T00:00:00"/>
    <x v="0"/>
    <s v="Ahmedabad"/>
    <s v="Prateek Shah"/>
    <s v="Prateek Shah"/>
    <x v="3"/>
    <x v="1"/>
    <s v="Washing Machines"/>
    <s v="Ifb Front Load 7Kg"/>
    <x v="0"/>
    <s v="Shipped"/>
    <n v="4"/>
    <n v="35090"/>
    <n v="0.08"/>
    <n v="20180"/>
    <n v="129131.20000000001"/>
    <n v="80720"/>
    <n v="48411.200000000012"/>
    <n v="0.37489932719590624"/>
  </r>
  <r>
    <x v="367"/>
    <x v="169"/>
    <x v="0"/>
    <d v="1900-01-06T00:00:00"/>
    <x v="0"/>
    <s v="Nagpur"/>
    <s v="Imran Sheikh"/>
    <s v="Imran Sheikh"/>
    <x v="2"/>
    <x v="1"/>
    <s v="Kitchen Appliances"/>
    <s v="Pigeon Induction Cooktop"/>
    <x v="0"/>
    <s v="Delivered"/>
    <n v="38"/>
    <n v="2470"/>
    <n v="0.08"/>
    <n v="1510"/>
    <n v="86351.2"/>
    <n v="57380"/>
    <n v="28971.199999999997"/>
    <n v="0.33550431262101743"/>
  </r>
  <r>
    <x v="368"/>
    <x v="169"/>
    <x v="0"/>
    <d v="1900-01-06T00:00:00"/>
    <x v="2"/>
    <s v="Delhi"/>
    <s v="Simran Kaur"/>
    <s v="Simran Kaur"/>
    <x v="0"/>
    <x v="2"/>
    <s v="Accessories"/>
    <s v="Fastrack Analog Watch"/>
    <x v="2"/>
    <s v="Shipped"/>
    <n v="16"/>
    <n v="2630"/>
    <n v="0.12"/>
    <n v="1590"/>
    <n v="37030.400000000001"/>
    <n v="25440"/>
    <n v="11590.400000000001"/>
    <n v="0.31299688904251644"/>
  </r>
  <r>
    <x v="369"/>
    <x v="169"/>
    <x v="0"/>
    <d v="1900-01-06T00:00:00"/>
    <x v="3"/>
    <s v="Chennai"/>
    <s v="Anjali Menon"/>
    <s v="Anjali Menon"/>
    <x v="0"/>
    <x v="0"/>
    <s v="Audio Devices"/>
    <s v="Boat Airdopes 141"/>
    <x v="1"/>
    <s v="Delivered"/>
    <n v="33"/>
    <n v="1910"/>
    <n v="0.08"/>
    <n v="1130"/>
    <n v="57987.600000000006"/>
    <n v="37290"/>
    <n v="20697.600000000006"/>
    <n v="0.35693148190302759"/>
  </r>
  <r>
    <x v="370"/>
    <x v="169"/>
    <x v="0"/>
    <d v="1900-01-06T00:00:00"/>
    <x v="3"/>
    <s v="Hyderabad"/>
    <s v="Karthik Raman"/>
    <s v="Karthik Raman"/>
    <x v="0"/>
    <x v="0"/>
    <s v="Mobile Phones"/>
    <s v="Samsung Galaxy M35"/>
    <x v="0"/>
    <s v="Delivered"/>
    <n v="8"/>
    <n v="23320"/>
    <n v="0.1"/>
    <n v="17080"/>
    <n v="167904"/>
    <n v="136640"/>
    <n v="31264"/>
    <n v="0.18620163903182771"/>
  </r>
  <r>
    <x v="371"/>
    <x v="170"/>
    <x v="0"/>
    <d v="1900-01-06T00:00:00"/>
    <x v="3"/>
    <s v="Coimbatore"/>
    <s v="Anjali Menon"/>
    <s v="Anjali Menon"/>
    <x v="2"/>
    <x v="1"/>
    <s v="Kitchen Appliances"/>
    <s v="Prestige Mixer Grinder"/>
    <x v="0"/>
    <s v="Delivered"/>
    <n v="7"/>
    <n v="4450"/>
    <n v="0.18"/>
    <n v="3450"/>
    <n v="25543.000000000004"/>
    <n v="24150"/>
    <n v="1393.0000000000036"/>
    <n v="5.4535489175116608E-2"/>
  </r>
  <r>
    <x v="372"/>
    <x v="171"/>
    <x v="0"/>
    <d v="1900-01-07T00:00:00"/>
    <x v="4"/>
    <s v="Jabalpur"/>
    <s v="Pooja Chouhan"/>
    <s v="Pooja Chouhan"/>
    <x v="2"/>
    <x v="1"/>
    <s v="Air Conditioners"/>
    <s v="Voltas 1.5T Inverter Ac"/>
    <x v="1"/>
    <s v="Delivered"/>
    <n v="3"/>
    <n v="38230"/>
    <n v="0"/>
    <n v="24740"/>
    <n v="114690"/>
    <n v="74220"/>
    <n v="40470"/>
    <n v="0.35286424274130263"/>
  </r>
  <r>
    <x v="373"/>
    <x v="172"/>
    <x v="0"/>
    <d v="1900-01-07T00:00:00"/>
    <x v="1"/>
    <s v="Bhubaneswar"/>
    <s v="Sourav Das"/>
    <s v="Sourav Das"/>
    <x v="2"/>
    <x v="1"/>
    <s v="Kitchen Appliances"/>
    <s v="Prestige Mixer Grinder"/>
    <x v="1"/>
    <s v="Delivered"/>
    <n v="4"/>
    <n v="4670"/>
    <n v="0.08"/>
    <n v="2890"/>
    <n v="17185.600000000002"/>
    <n v="11560"/>
    <n v="5625.6000000000022"/>
    <n v="0.32734382273531337"/>
  </r>
  <r>
    <x v="374"/>
    <x v="172"/>
    <x v="0"/>
    <d v="1900-01-07T00:00:00"/>
    <x v="1"/>
    <s v="Siliguri"/>
    <s v="Sourav Das"/>
    <s v="Sourav Das"/>
    <x v="3"/>
    <x v="0"/>
    <s v="Audio Devices"/>
    <s v="Jbl Flip 6"/>
    <x v="2"/>
    <s v="Delivered"/>
    <n v="4"/>
    <n v="9180"/>
    <n v="0.18"/>
    <n v="5910"/>
    <n v="30110.400000000001"/>
    <n v="23640"/>
    <n v="6470.4000000000015"/>
    <n v="0.2148892077156066"/>
  </r>
  <r>
    <x v="375"/>
    <x v="172"/>
    <x v="0"/>
    <d v="1900-01-07T00:00:00"/>
    <x v="2"/>
    <s v="Lucknow"/>
    <s v="Simran Kaur"/>
    <s v="Simran Kaur"/>
    <x v="3"/>
    <x v="0"/>
    <s v="Mobile Phones"/>
    <s v="Samsung Galaxy M35"/>
    <x v="1"/>
    <s v="Returned"/>
    <n v="4"/>
    <n v="22610"/>
    <n v="0.1"/>
    <n v="17390"/>
    <n v="81396"/>
    <n v="69560"/>
    <n v="11836"/>
    <n v="0.14541255098530639"/>
  </r>
  <r>
    <x v="376"/>
    <x v="172"/>
    <x v="0"/>
    <d v="1900-01-07T00:00:00"/>
    <x v="2"/>
    <s v="Jaipur"/>
    <s v="Rohit Malhotra"/>
    <s v="Rohit Malhotra"/>
    <x v="0"/>
    <x v="0"/>
    <s v="Laptops"/>
    <s v="Dell Inspiron 3520"/>
    <x v="0"/>
    <s v="Delivered"/>
    <n v="2"/>
    <n v="52450"/>
    <n v="0.25"/>
    <n v="40310"/>
    <n v="78675"/>
    <n v="80620"/>
    <n v="-1945"/>
    <n v="-2.4721957419764854E-2"/>
  </r>
  <r>
    <x v="377"/>
    <x v="173"/>
    <x v="0"/>
    <d v="1900-01-07T00:00:00"/>
    <x v="3"/>
    <s v="Coimbatore"/>
    <s v="Divya Nair"/>
    <s v="Divya Nair"/>
    <x v="0"/>
    <x v="3"/>
    <s v="Sofas"/>
    <s v="3-Seater Fabric Sofa"/>
    <x v="1"/>
    <s v="Delivered"/>
    <n v="2"/>
    <n v="34500"/>
    <n v="0.05"/>
    <n v="26810"/>
    <n v="65550"/>
    <n v="53620"/>
    <n v="11930"/>
    <n v="0.18199847444698702"/>
  </r>
  <r>
    <x v="378"/>
    <x v="173"/>
    <x v="0"/>
    <d v="1900-01-07T00:00:00"/>
    <x v="2"/>
    <s v="Chandigarh"/>
    <s v="Rohit Malhotra"/>
    <s v="Rohit Malhotra"/>
    <x v="0"/>
    <x v="4"/>
    <s v="Fitness Equipment"/>
    <s v="Home Foldable Treadmill"/>
    <x v="1"/>
    <s v="Delivered"/>
    <n v="4"/>
    <n v="41080"/>
    <n v="0.08"/>
    <n v="32200"/>
    <n v="151174.39999999999"/>
    <n v="128800"/>
    <n v="22374.399999999994"/>
    <n v="0.14800389483933785"/>
  </r>
  <r>
    <x v="379"/>
    <x v="173"/>
    <x v="0"/>
    <d v="1900-01-07T00:00:00"/>
    <x v="1"/>
    <s v="Siliguri"/>
    <s v="Ritika Ghosh"/>
    <s v="Ritika Ghosh"/>
    <x v="0"/>
    <x v="0"/>
    <s v="Televisions"/>
    <s v="Mi Tv 5X 43 Inch"/>
    <x v="1"/>
    <s v="Shipped"/>
    <n v="4"/>
    <n v="33400"/>
    <n v="0.1"/>
    <n v="24430"/>
    <n v="120240"/>
    <n v="97720"/>
    <n v="22520"/>
    <n v="0.18729208250166335"/>
  </r>
  <r>
    <x v="380"/>
    <x v="174"/>
    <x v="0"/>
    <d v="1900-01-07T00:00:00"/>
    <x v="3"/>
    <s v="Hyderabad"/>
    <s v="Karthik Raman"/>
    <s v="Karthik Raman"/>
    <x v="0"/>
    <x v="2"/>
    <s v="Accessories"/>
    <s v="Wildcraft 35L Backpack"/>
    <x v="0"/>
    <s v="Delivered"/>
    <n v="21"/>
    <n v="1980"/>
    <n v="0.25"/>
    <n v="1480"/>
    <n v="31185"/>
    <n v="31080"/>
    <n v="105"/>
    <n v="3.3670033670033669E-3"/>
  </r>
  <r>
    <x v="381"/>
    <x v="175"/>
    <x v="0"/>
    <d v="1900-01-07T00:00:00"/>
    <x v="3"/>
    <s v="Chennai"/>
    <s v="Karthik Raman"/>
    <s v="Karthik Raman"/>
    <x v="0"/>
    <x v="3"/>
    <s v="Sofas"/>
    <s v="Single Seater Recliner"/>
    <x v="1"/>
    <s v="Returned"/>
    <n v="3"/>
    <n v="47810"/>
    <n v="0.2"/>
    <n v="31850"/>
    <n v="114744"/>
    <n v="95550"/>
    <n v="19194"/>
    <n v="0.16727672035139093"/>
  </r>
  <r>
    <x v="382"/>
    <x v="175"/>
    <x v="0"/>
    <d v="1900-01-07T00:00:00"/>
    <x v="0"/>
    <s v="Nagpur"/>
    <s v="Neha Deshpande"/>
    <s v="Neha Deshpande"/>
    <x v="0"/>
    <x v="3"/>
    <s v="Storage"/>
    <s v="Metal Shoe Rack"/>
    <x v="0"/>
    <s v="Delivered"/>
    <n v="6"/>
    <n v="3680"/>
    <n v="0.12"/>
    <n v="2770"/>
    <n v="19430.400000000001"/>
    <n v="16620"/>
    <n v="2810.4000000000015"/>
    <n v="0.14463932806324117"/>
  </r>
  <r>
    <x v="383"/>
    <x v="176"/>
    <x v="0"/>
    <d v="1900-01-07T00:00:00"/>
    <x v="1"/>
    <s v="Ranchi"/>
    <s v="Sourav Das"/>
    <s v="Sourav Das"/>
    <x v="3"/>
    <x v="2"/>
    <s v="Apparel"/>
    <s v="Allen Solly Formal Shirt"/>
    <x v="0"/>
    <s v="Delivered"/>
    <n v="63"/>
    <n v="1770"/>
    <n v="0"/>
    <n v="1250"/>
    <n v="111510"/>
    <n v="78750"/>
    <n v="32760"/>
    <n v="0.29378531073446329"/>
  </r>
  <r>
    <x v="384"/>
    <x v="177"/>
    <x v="0"/>
    <d v="1900-01-07T00:00:00"/>
    <x v="0"/>
    <s v="Ahmedabad"/>
    <s v="Prateek Shah"/>
    <s v="Prateek Shah"/>
    <x v="3"/>
    <x v="1"/>
    <s v="Kitchen Appliances"/>
    <s v="Philips Air Fryer"/>
    <x v="2"/>
    <s v="Delivered"/>
    <n v="26"/>
    <n v="9610"/>
    <n v="0"/>
    <n v="6900"/>
    <n v="249860"/>
    <n v="179400"/>
    <n v="70460"/>
    <n v="0.28199791883454733"/>
  </r>
  <r>
    <x v="385"/>
    <x v="177"/>
    <x v="0"/>
    <d v="1900-01-07T00:00:00"/>
    <x v="2"/>
    <s v="Lucknow"/>
    <s v="Rohit Malhotra"/>
    <s v="Rohit Malhotra"/>
    <x v="3"/>
    <x v="2"/>
    <s v="Footwear"/>
    <s v="Nike Revolution 7"/>
    <x v="1"/>
    <s v="Returned"/>
    <n v="18"/>
    <n v="3690"/>
    <n v="0.12"/>
    <n v="2600"/>
    <n v="58449.599999999999"/>
    <n v="46800"/>
    <n v="11649.599999999999"/>
    <n v="0.199310174919931"/>
  </r>
  <r>
    <x v="386"/>
    <x v="178"/>
    <x v="0"/>
    <d v="1900-01-07T00:00:00"/>
    <x v="2"/>
    <s v="Jaipur"/>
    <s v="Simran Kaur"/>
    <s v="Simran Kaur"/>
    <x v="2"/>
    <x v="0"/>
    <s v="Mobile Phones"/>
    <s v="Samsung Galaxy M35"/>
    <x v="1"/>
    <s v="Delivered"/>
    <n v="1"/>
    <n v="22950"/>
    <n v="0.05"/>
    <n v="15940"/>
    <n v="21802.5"/>
    <n v="15940"/>
    <n v="5862.5"/>
    <n v="0.2688911822038757"/>
  </r>
  <r>
    <x v="387"/>
    <x v="178"/>
    <x v="0"/>
    <d v="1900-01-07T00:00:00"/>
    <x v="2"/>
    <s v="Jaipur"/>
    <s v="Simran Kaur"/>
    <s v="Simran Kaur"/>
    <x v="1"/>
    <x v="4"/>
    <s v="Sports Gear"/>
    <s v="Sg Cricket Bat English Willow"/>
    <x v="0"/>
    <s v="Delivered"/>
    <n v="15"/>
    <n v="4520"/>
    <n v="0.05"/>
    <n v="2830"/>
    <n v="64410"/>
    <n v="42450"/>
    <n v="21960"/>
    <n v="0.34094084769445737"/>
  </r>
  <r>
    <x v="388"/>
    <x v="179"/>
    <x v="0"/>
    <d v="1900-01-07T00:00:00"/>
    <x v="3"/>
    <s v="Hyderabad"/>
    <s v="Karthik Raman"/>
    <s v="Karthik Raman"/>
    <x v="0"/>
    <x v="0"/>
    <s v="Mobile Phones"/>
    <s v="Redmi Note 14"/>
    <x v="2"/>
    <s v="Delivered"/>
    <n v="5"/>
    <n v="19100"/>
    <n v="0.25"/>
    <n v="12730"/>
    <n v="71625"/>
    <n v="63650"/>
    <n v="7975"/>
    <n v="0.11134380453752181"/>
  </r>
  <r>
    <x v="389"/>
    <x v="179"/>
    <x v="0"/>
    <d v="1900-01-07T00:00:00"/>
    <x v="3"/>
    <s v="Kochi"/>
    <s v="Divya Nair"/>
    <s v="Divya Nair"/>
    <x v="3"/>
    <x v="3"/>
    <s v="Tables"/>
    <s v="Study Table Engineered Wood"/>
    <x v="1"/>
    <s v="Delivered"/>
    <n v="9"/>
    <n v="8810"/>
    <n v="0.18"/>
    <n v="6050"/>
    <n v="65017.8"/>
    <n v="54450"/>
    <n v="10567.800000000003"/>
    <n v="0.16253702832147507"/>
  </r>
  <r>
    <x v="390"/>
    <x v="180"/>
    <x v="0"/>
    <d v="1900-01-07T00:00:00"/>
    <x v="3"/>
    <s v="Kochi"/>
    <s v="Divya Nair"/>
    <s v="Divya Nair"/>
    <x v="0"/>
    <x v="0"/>
    <s v="Laptops"/>
    <s v="Hp Pavilion 15"/>
    <x v="1"/>
    <s v="Delivered"/>
    <n v="4"/>
    <n v="59750"/>
    <n v="0"/>
    <n v="41570"/>
    <n v="239000"/>
    <n v="166280"/>
    <n v="72720"/>
    <n v="0.30426778242677827"/>
  </r>
  <r>
    <x v="391"/>
    <x v="180"/>
    <x v="0"/>
    <d v="1900-01-07T00:00:00"/>
    <x v="1"/>
    <s v="Guwahati"/>
    <s v="Sourav Das"/>
    <s v="Sourav Das"/>
    <x v="0"/>
    <x v="3"/>
    <s v="Tables"/>
    <s v="6-Seater Dining Table"/>
    <x v="0"/>
    <s v="Returned"/>
    <n v="7"/>
    <n v="25140"/>
    <n v="0.08"/>
    <n v="18680"/>
    <n v="161901.6"/>
    <n v="130760"/>
    <n v="31141.600000000006"/>
    <n v="0.19234893293210201"/>
  </r>
  <r>
    <x v="392"/>
    <x v="181"/>
    <x v="0"/>
    <d v="1900-01-07T00:00:00"/>
    <x v="0"/>
    <s v="Nashik"/>
    <s v="Prateek Shah"/>
    <s v="Prateek Shah"/>
    <x v="2"/>
    <x v="0"/>
    <s v="Audio Devices"/>
    <s v="Jbl Flip 6"/>
    <x v="0"/>
    <s v="Delivered"/>
    <n v="12"/>
    <n v="9780"/>
    <n v="0.18"/>
    <n v="5960"/>
    <n v="96235.200000000012"/>
    <n v="71520"/>
    <n v="24715.200000000012"/>
    <n v="0.25682078906678646"/>
  </r>
  <r>
    <x v="393"/>
    <x v="182"/>
    <x v="0"/>
    <d v="1900-01-07T00:00:00"/>
    <x v="3"/>
    <s v="Visakhapatnam"/>
    <s v="Karthik Raman"/>
    <s v="Karthik Raman"/>
    <x v="0"/>
    <x v="3"/>
    <s v="Tables"/>
    <s v="Study Table Engineered Wood"/>
    <x v="1"/>
    <s v="Delivered"/>
    <n v="3"/>
    <n v="8340"/>
    <n v="0.1"/>
    <n v="4920"/>
    <n v="22518"/>
    <n v="14760"/>
    <n v="7758"/>
    <n v="0.34452438049560352"/>
  </r>
  <r>
    <x v="394"/>
    <x v="183"/>
    <x v="0"/>
    <d v="1900-01-07T00:00:00"/>
    <x v="4"/>
    <s v="Jabalpur"/>
    <s v="Manish Tiwari"/>
    <s v="Manish Tiwari"/>
    <x v="0"/>
    <x v="4"/>
    <s v="Fitness Equipment"/>
    <s v="Home Foldable Treadmill"/>
    <x v="1"/>
    <s v="Shipped"/>
    <n v="4"/>
    <n v="44560"/>
    <n v="0.08"/>
    <n v="32270"/>
    <n v="163980.80000000002"/>
    <n v="129080"/>
    <n v="34900.800000000017"/>
    <n v="0.21283467332760916"/>
  </r>
  <r>
    <x v="395"/>
    <x v="183"/>
    <x v="0"/>
    <d v="1900-01-07T00:00:00"/>
    <x v="0"/>
    <s v="Ahmedabad"/>
    <s v="Neha Deshpande"/>
    <s v="Neha Deshpande"/>
    <x v="2"/>
    <x v="1"/>
    <s v="Air Conditioners"/>
    <s v="Voltas 1.5T Inverter Ac"/>
    <x v="1"/>
    <s v="Delivered"/>
    <n v="3"/>
    <n v="36110"/>
    <n v="0.05"/>
    <n v="26300"/>
    <n v="102913.5"/>
    <n v="78900"/>
    <n v="24013.5"/>
    <n v="0.23333673424769344"/>
  </r>
  <r>
    <x v="396"/>
    <x v="184"/>
    <x v="0"/>
    <d v="1900-01-07T00:00:00"/>
    <x v="4"/>
    <s v="Bhopal"/>
    <s v="Pooja Chouhan"/>
    <s v="Pooja Chouhan"/>
    <x v="0"/>
    <x v="4"/>
    <s v="Fitness Equipment"/>
    <s v="Home Foldable Treadmill"/>
    <x v="1"/>
    <s v="Pending"/>
    <n v="3"/>
    <n v="40600"/>
    <n v="0.25"/>
    <n v="25400"/>
    <n v="91350"/>
    <n v="76200"/>
    <n v="15150"/>
    <n v="0.16584564860426929"/>
  </r>
  <r>
    <x v="397"/>
    <x v="184"/>
    <x v="0"/>
    <d v="1900-01-07T00:00:00"/>
    <x v="3"/>
    <s v="Bengaluru"/>
    <s v="Anjali Menon"/>
    <s v="Anjali Menon"/>
    <x v="0"/>
    <x v="2"/>
    <s v="Footwear"/>
    <s v="Campus Running Shoes"/>
    <x v="1"/>
    <s v="Delivered"/>
    <n v="39"/>
    <n v="1630"/>
    <n v="0.08"/>
    <n v="1140"/>
    <n v="58484.4"/>
    <n v="44460"/>
    <n v="14024.400000000001"/>
    <n v="0.23979727927447322"/>
  </r>
  <r>
    <x v="398"/>
    <x v="184"/>
    <x v="0"/>
    <d v="1900-01-07T00:00:00"/>
    <x v="0"/>
    <s v="Surat"/>
    <s v="Imran Sheikh"/>
    <s v="Imran Sheikh"/>
    <x v="3"/>
    <x v="2"/>
    <s v="Footwear"/>
    <s v="Nike Revolution 7"/>
    <x v="0"/>
    <s v="Delivered"/>
    <n v="16"/>
    <n v="3880"/>
    <n v="0.12"/>
    <n v="2730"/>
    <n v="54630.400000000001"/>
    <n v="43680"/>
    <n v="10950.400000000001"/>
    <n v="0.20044517338331774"/>
  </r>
  <r>
    <x v="399"/>
    <x v="184"/>
    <x v="0"/>
    <d v="1900-01-07T00:00:00"/>
    <x v="2"/>
    <s v="Lucknow"/>
    <s v="Rohit Malhotra"/>
    <s v="Rohit Malhotra"/>
    <x v="1"/>
    <x v="0"/>
    <s v="Audio Devices"/>
    <s v="Boat Airdopes 141"/>
    <x v="1"/>
    <s v="Delivered"/>
    <n v="74"/>
    <n v="1810"/>
    <n v="0.05"/>
    <n v="1340"/>
    <n v="127243"/>
    <n v="99160"/>
    <n v="28083"/>
    <n v="0.22070369293399245"/>
  </r>
  <r>
    <x v="400"/>
    <x v="184"/>
    <x v="0"/>
    <d v="1900-01-07T00:00:00"/>
    <x v="4"/>
    <s v="Ujjain"/>
    <s v="Manish Tiwari"/>
    <s v="Manish Tiwari"/>
    <x v="0"/>
    <x v="3"/>
    <s v="Storage"/>
    <s v="3-Door Wardrobe"/>
    <x v="1"/>
    <s v="Delivered"/>
    <n v="7"/>
    <n v="27620"/>
    <n v="0.25"/>
    <n v="16330"/>
    <n v="145005"/>
    <n v="114310"/>
    <n v="30695"/>
    <n v="0.21168235578083514"/>
  </r>
  <r>
    <x v="401"/>
    <x v="185"/>
    <x v="0"/>
    <d v="1900-01-07T00:00:00"/>
    <x v="2"/>
    <s v="Lucknow"/>
    <s v="Simran Kaur"/>
    <s v="Simran Kaur"/>
    <x v="2"/>
    <x v="2"/>
    <s v="Apparel"/>
    <s v="Levis 511 Jeans"/>
    <x v="0"/>
    <s v="Delivered"/>
    <n v="12"/>
    <n v="2830"/>
    <n v="0"/>
    <n v="1700"/>
    <n v="33960"/>
    <n v="20400"/>
    <n v="13560"/>
    <n v="0.39929328621908128"/>
  </r>
  <r>
    <x v="402"/>
    <x v="185"/>
    <x v="0"/>
    <d v="1900-01-07T00:00:00"/>
    <x v="3"/>
    <s v="Chennai"/>
    <s v="Karthik Raman"/>
    <s v="Karthik Raman"/>
    <x v="0"/>
    <x v="3"/>
    <s v="Office Chairs"/>
    <s v="Nilkamal Executive Chair"/>
    <x v="2"/>
    <s v="Delivered"/>
    <n v="3"/>
    <n v="7010"/>
    <n v="0.12"/>
    <n v="4790"/>
    <n v="18506.400000000001"/>
    <n v="14370"/>
    <n v="4136.4000000000015"/>
    <n v="0.22351186616521859"/>
  </r>
  <r>
    <x v="403"/>
    <x v="186"/>
    <x v="0"/>
    <d v="1900-01-07T00:00:00"/>
    <x v="1"/>
    <s v="Bhubaneswar"/>
    <s v="Sourav Das"/>
    <s v="Sourav Das"/>
    <x v="0"/>
    <x v="1"/>
    <s v="Kitchen Appliances"/>
    <s v="Pigeon Induction Cooktop"/>
    <x v="0"/>
    <s v="Delivered"/>
    <n v="33"/>
    <n v="2510"/>
    <n v="0.18"/>
    <n v="1840"/>
    <n v="67920.600000000006"/>
    <n v="60720"/>
    <n v="7200.6000000000058"/>
    <n v="0.10601496453211552"/>
  </r>
  <r>
    <x v="404"/>
    <x v="187"/>
    <x v="0"/>
    <d v="1900-01-07T00:00:00"/>
    <x v="0"/>
    <s v="Mumbai"/>
    <s v="Imran Sheikh"/>
    <s v="Imran Sheikh"/>
    <x v="0"/>
    <x v="0"/>
    <s v="Audio Devices"/>
    <s v="Sony Wh-Ch720N"/>
    <x v="0"/>
    <s v="Delivered"/>
    <n v="4"/>
    <n v="8480"/>
    <n v="0"/>
    <n v="5630"/>
    <n v="33920"/>
    <n v="22520"/>
    <n v="11400"/>
    <n v="0.33608490566037735"/>
  </r>
  <r>
    <x v="405"/>
    <x v="187"/>
    <x v="0"/>
    <d v="1900-01-07T00:00:00"/>
    <x v="0"/>
    <s v="Ahmedabad"/>
    <s v="Imran Sheikh"/>
    <s v="Imran Sheikh"/>
    <x v="2"/>
    <x v="0"/>
    <s v="Audio Devices"/>
    <s v="Jbl Flip 6"/>
    <x v="1"/>
    <s v="Delivered"/>
    <n v="10"/>
    <n v="8950"/>
    <n v="0.1"/>
    <n v="6480"/>
    <n v="80550"/>
    <n v="64800"/>
    <n v="15750"/>
    <n v="0.19553072625698323"/>
  </r>
  <r>
    <x v="406"/>
    <x v="188"/>
    <x v="0"/>
    <d v="1900-01-07T00:00:00"/>
    <x v="2"/>
    <s v="Delhi"/>
    <s v="Rohit Malhotra"/>
    <s v="Rohit Malhotra"/>
    <x v="0"/>
    <x v="1"/>
    <s v="Kitchen Appliances"/>
    <s v="Prestige Mixer Grinder"/>
    <x v="1"/>
    <s v="Delivered"/>
    <n v="3"/>
    <n v="4530"/>
    <n v="0"/>
    <n v="3160"/>
    <n v="13590"/>
    <n v="9480"/>
    <n v="4110"/>
    <n v="0.30242825607064017"/>
  </r>
  <r>
    <x v="407"/>
    <x v="188"/>
    <x v="0"/>
    <d v="1900-01-07T00:00:00"/>
    <x v="0"/>
    <s v="Surat"/>
    <s v="Imran Sheikh"/>
    <s v="Imran Sheikh"/>
    <x v="3"/>
    <x v="0"/>
    <s v="Mobile Phones"/>
    <s v="Iphone 15"/>
    <x v="2"/>
    <s v="Delivered"/>
    <n v="6"/>
    <n v="69070"/>
    <n v="0.08"/>
    <n v="46570"/>
    <n v="381266.4"/>
    <n v="279420"/>
    <n v="101846.40000000002"/>
    <n v="0.26712660753740697"/>
  </r>
  <r>
    <x v="408"/>
    <x v="189"/>
    <x v="0"/>
    <d v="1900-01-07T00:00:00"/>
    <x v="0"/>
    <s v="Mumbai"/>
    <s v="Imran Sheikh"/>
    <s v="Imran Sheikh"/>
    <x v="0"/>
    <x v="2"/>
    <s v="Footwear"/>
    <s v="Bata Formal Shoes"/>
    <x v="0"/>
    <s v="Delivered"/>
    <n v="40"/>
    <n v="2110"/>
    <n v="0"/>
    <n v="1250"/>
    <n v="84400"/>
    <n v="50000"/>
    <n v="34400"/>
    <n v="0.40758293838862558"/>
  </r>
  <r>
    <x v="409"/>
    <x v="189"/>
    <x v="0"/>
    <d v="1900-01-07T00:00:00"/>
    <x v="1"/>
    <s v="Siliguri"/>
    <s v="Ritika Ghosh"/>
    <s v="Ritika Ghosh"/>
    <x v="3"/>
    <x v="4"/>
    <s v="Fitness Equipment"/>
    <s v="Home Foldable Treadmill"/>
    <x v="0"/>
    <s v="Delivered"/>
    <n v="2"/>
    <n v="43590"/>
    <n v="0"/>
    <n v="25640"/>
    <n v="87180"/>
    <n v="51280"/>
    <n v="35900"/>
    <n v="0.41179169534296856"/>
  </r>
  <r>
    <x v="410"/>
    <x v="189"/>
    <x v="0"/>
    <d v="1900-01-07T00:00:00"/>
    <x v="3"/>
    <s v="Kochi"/>
    <s v="Karthik Raman"/>
    <s v="Karthik Raman"/>
    <x v="2"/>
    <x v="3"/>
    <s v="Sofas"/>
    <s v="3-Seater Fabric Sofa"/>
    <x v="2"/>
    <s v="Delivered"/>
    <n v="3"/>
    <n v="34000"/>
    <n v="0.1"/>
    <n v="20980"/>
    <n v="91800"/>
    <n v="62940"/>
    <n v="28860"/>
    <n v="0.31437908496732025"/>
  </r>
  <r>
    <x v="411"/>
    <x v="189"/>
    <x v="0"/>
    <d v="1900-01-07T00:00:00"/>
    <x v="3"/>
    <s v="Bengaluru"/>
    <s v="Divya Nair"/>
    <s v="Divya Nair"/>
    <x v="1"/>
    <x v="1"/>
    <s v="Air Conditioners"/>
    <s v="Voltas 1.5T Inverter Ac"/>
    <x v="0"/>
    <s v="Returned"/>
    <n v="2"/>
    <n v="38780"/>
    <n v="0.05"/>
    <n v="25420"/>
    <n v="73682"/>
    <n v="50840"/>
    <n v="22842"/>
    <n v="0.31000787166472138"/>
  </r>
  <r>
    <x v="412"/>
    <x v="190"/>
    <x v="0"/>
    <d v="1900-01-07T00:00:00"/>
    <x v="1"/>
    <s v="Ranchi"/>
    <s v="Sourav Das"/>
    <s v="Sourav Das"/>
    <x v="0"/>
    <x v="1"/>
    <s v="Refrigerators"/>
    <s v="Lg 260L Double Door"/>
    <x v="1"/>
    <s v="Delivered"/>
    <n v="5"/>
    <n v="29470"/>
    <n v="0.15"/>
    <n v="18440"/>
    <n v="125247.5"/>
    <n v="92200"/>
    <n v="33047.5"/>
    <n v="0.26385756202718619"/>
  </r>
  <r>
    <x v="413"/>
    <x v="191"/>
    <x v="0"/>
    <d v="1900-01-07T00:00:00"/>
    <x v="0"/>
    <s v="Surat"/>
    <s v="Prateek Shah"/>
    <s v="Prateek Shah"/>
    <x v="0"/>
    <x v="3"/>
    <s v="Tables"/>
    <s v="Study Table Engineered Wood"/>
    <x v="1"/>
    <s v="Delivered"/>
    <n v="7"/>
    <n v="8460"/>
    <n v="0.15"/>
    <n v="6630"/>
    <n v="50337"/>
    <n v="46410"/>
    <n v="3927"/>
    <n v="7.8014184397163122E-2"/>
  </r>
  <r>
    <x v="414"/>
    <x v="191"/>
    <x v="0"/>
    <d v="1900-01-07T00:00:00"/>
    <x v="2"/>
    <s v="Delhi"/>
    <s v="Rohit Malhotra"/>
    <s v="Rohit Malhotra"/>
    <x v="2"/>
    <x v="3"/>
    <s v="Office Chairs"/>
    <s v="Nilkamal Executive Chair"/>
    <x v="0"/>
    <s v="Shipped"/>
    <n v="2"/>
    <n v="7010"/>
    <n v="0.1"/>
    <n v="4510"/>
    <n v="12618"/>
    <n v="9020"/>
    <n v="3598"/>
    <n v="0.28514820098272309"/>
  </r>
  <r>
    <x v="415"/>
    <x v="192"/>
    <x v="0"/>
    <d v="1900-01-07T00:00:00"/>
    <x v="4"/>
    <s v="Ujjain"/>
    <s v="Manish Tiwari"/>
    <s v="Manish Tiwari"/>
    <x v="2"/>
    <x v="2"/>
    <s v="Footwear"/>
    <s v="Bata Formal Shoes"/>
    <x v="0"/>
    <s v="Delivered"/>
    <n v="16"/>
    <n v="2150"/>
    <n v="0.05"/>
    <n v="1390"/>
    <n v="32680"/>
    <n v="22240"/>
    <n v="10440"/>
    <n v="0.31946144430844553"/>
  </r>
  <r>
    <x v="416"/>
    <x v="192"/>
    <x v="0"/>
    <d v="1900-01-07T00:00:00"/>
    <x v="0"/>
    <s v="Mumbai"/>
    <s v="Neha Deshpande"/>
    <s v="Neha Deshpande"/>
    <x v="2"/>
    <x v="3"/>
    <s v="Sofas"/>
    <s v="Single Seater Recliner"/>
    <x v="2"/>
    <s v="Delivered"/>
    <n v="2"/>
    <n v="44000"/>
    <n v="0"/>
    <n v="25720"/>
    <n v="88000"/>
    <n v="51440"/>
    <n v="36560"/>
    <n v="0.41545454545454547"/>
  </r>
  <r>
    <x v="417"/>
    <x v="192"/>
    <x v="0"/>
    <d v="1900-01-07T00:00:00"/>
    <x v="1"/>
    <s v="Kolkata"/>
    <s v="Ritika Ghosh"/>
    <s v="Ritika Ghosh"/>
    <x v="2"/>
    <x v="0"/>
    <s v="Laptops"/>
    <s v="Hp Pavilion 15"/>
    <x v="0"/>
    <s v="Delivered"/>
    <n v="3"/>
    <n v="63430"/>
    <n v="0.15"/>
    <n v="44370"/>
    <n v="161746.5"/>
    <n v="133110"/>
    <n v="28636.5"/>
    <n v="0.17704556203689106"/>
  </r>
  <r>
    <x v="418"/>
    <x v="192"/>
    <x v="0"/>
    <d v="1900-01-07T00:00:00"/>
    <x v="2"/>
    <s v="Lucknow"/>
    <s v="Simran Kaur"/>
    <s v="Simran Kaur"/>
    <x v="1"/>
    <x v="0"/>
    <s v="Mobile Phones"/>
    <s v="Iphone 15"/>
    <x v="2"/>
    <s v="Delivered"/>
    <n v="4"/>
    <n v="69570"/>
    <n v="0"/>
    <n v="44630"/>
    <n v="278280"/>
    <n v="178520"/>
    <n v="99760"/>
    <n v="0.35848785396004024"/>
  </r>
  <r>
    <x v="419"/>
    <x v="192"/>
    <x v="0"/>
    <d v="1900-01-07T00:00:00"/>
    <x v="0"/>
    <s v="Ahmedabad"/>
    <s v="Neha Deshpande"/>
    <s v="Neha Deshpande"/>
    <x v="0"/>
    <x v="3"/>
    <s v="Storage"/>
    <s v="3-Door Wardrobe"/>
    <x v="0"/>
    <s v="Delivered"/>
    <n v="3"/>
    <n v="28010"/>
    <n v="0.15"/>
    <n v="16230"/>
    <n v="71425.5"/>
    <n v="48690"/>
    <n v="22735.5"/>
    <n v="0.31831068735955648"/>
  </r>
  <r>
    <x v="420"/>
    <x v="193"/>
    <x v="0"/>
    <d v="1900-01-07T00:00:00"/>
    <x v="1"/>
    <s v="Bhubaneswar"/>
    <s v="Ritika Ghosh"/>
    <s v="Ritika Ghosh"/>
    <x v="2"/>
    <x v="3"/>
    <s v="Storage"/>
    <s v="Metal Shoe Rack"/>
    <x v="0"/>
    <s v="Returned"/>
    <n v="7"/>
    <n v="3590"/>
    <n v="0.1"/>
    <n v="2550"/>
    <n v="22617"/>
    <n v="17850"/>
    <n v="4767"/>
    <n v="0.21077065923862581"/>
  </r>
  <r>
    <x v="421"/>
    <x v="193"/>
    <x v="0"/>
    <d v="1900-01-07T00:00:00"/>
    <x v="2"/>
    <s v="Delhi"/>
    <s v="Simran Kaur"/>
    <s v="Simran Kaur"/>
    <x v="0"/>
    <x v="0"/>
    <s v="Televisions"/>
    <s v="Samsung Crystal 4K 55 Inch"/>
    <x v="2"/>
    <s v="Delivered"/>
    <n v="4"/>
    <n v="55930"/>
    <n v="0.05"/>
    <n v="36900"/>
    <n v="212534"/>
    <n v="147600"/>
    <n v="64934"/>
    <n v="0.30552288104491515"/>
  </r>
  <r>
    <x v="422"/>
    <x v="194"/>
    <x v="0"/>
    <d v="1900-01-07T00:00:00"/>
    <x v="1"/>
    <s v="Ranchi"/>
    <s v="Ritika Ghosh"/>
    <s v="Ritika Ghosh"/>
    <x v="0"/>
    <x v="0"/>
    <s v="Mobile Phones"/>
    <s v="Iphone 15"/>
    <x v="1"/>
    <s v="Delivered"/>
    <n v="3"/>
    <n v="71940"/>
    <n v="0.1"/>
    <n v="55830"/>
    <n v="194238"/>
    <n v="167490"/>
    <n v="26748"/>
    <n v="0.13770734871652301"/>
  </r>
  <r>
    <x v="423"/>
    <x v="195"/>
    <x v="0"/>
    <d v="1900-01-07T00:00:00"/>
    <x v="3"/>
    <s v="Kochi"/>
    <s v="Divya Nair"/>
    <s v="Divya Nair"/>
    <x v="0"/>
    <x v="3"/>
    <s v="Office Chairs"/>
    <s v="Green Soul Ergonomic Chair"/>
    <x v="0"/>
    <s v="Delivered"/>
    <n v="5"/>
    <n v="12430"/>
    <n v="0"/>
    <n v="9200"/>
    <n v="62150"/>
    <n v="46000"/>
    <n v="16150"/>
    <n v="0.2598551890587289"/>
  </r>
  <r>
    <x v="424"/>
    <x v="195"/>
    <x v="0"/>
    <d v="1900-01-07T00:00:00"/>
    <x v="3"/>
    <s v="Hyderabad"/>
    <s v="Anjali Menon"/>
    <s v="Anjali Menon"/>
    <x v="1"/>
    <x v="3"/>
    <s v="Sofas"/>
    <s v="Single Seater Recliner"/>
    <x v="0"/>
    <s v="Delivered"/>
    <n v="2"/>
    <n v="46260"/>
    <n v="0.08"/>
    <n v="36480"/>
    <n v="85118.400000000009"/>
    <n v="72960"/>
    <n v="12158.400000000009"/>
    <n v="0.14284103084644456"/>
  </r>
  <r>
    <x v="425"/>
    <x v="195"/>
    <x v="0"/>
    <d v="1900-01-07T00:00:00"/>
    <x v="1"/>
    <s v="Patna"/>
    <s v="Sourav Das"/>
    <s v="Sourav Das"/>
    <x v="3"/>
    <x v="3"/>
    <s v="Storage"/>
    <s v="Metal Shoe Rack"/>
    <x v="1"/>
    <s v="Delivered"/>
    <n v="25"/>
    <n v="3710"/>
    <n v="0.15"/>
    <n v="2750"/>
    <n v="78837.5"/>
    <n v="68750"/>
    <n v="10087.5"/>
    <n v="0.12795306801966069"/>
  </r>
  <r>
    <x v="426"/>
    <x v="195"/>
    <x v="0"/>
    <d v="1900-01-07T00:00:00"/>
    <x v="3"/>
    <s v="Coimbatore"/>
    <s v="Divya Nair"/>
    <s v="Divya Nair"/>
    <x v="2"/>
    <x v="0"/>
    <s v="Mobile Phones"/>
    <s v="Samsung Galaxy M35"/>
    <x v="0"/>
    <s v="Delivered"/>
    <n v="2"/>
    <n v="23560"/>
    <n v="0.15"/>
    <n v="13710"/>
    <n v="40052"/>
    <n v="27420"/>
    <n v="12632"/>
    <n v="0.31538999300908821"/>
  </r>
  <r>
    <x v="427"/>
    <x v="195"/>
    <x v="0"/>
    <d v="1900-01-07T00:00:00"/>
    <x v="2"/>
    <s v="Chandigarh"/>
    <s v="Aditya Verma"/>
    <s v="Aditya Verma"/>
    <x v="0"/>
    <x v="3"/>
    <s v="Sofas"/>
    <s v="Single Seater Recliner"/>
    <x v="2"/>
    <s v="Delivered"/>
    <n v="1"/>
    <n v="43550"/>
    <n v="0.12"/>
    <n v="29910"/>
    <n v="38324"/>
    <n v="29910"/>
    <n v="8414"/>
    <n v="0.21954910760880911"/>
  </r>
  <r>
    <x v="428"/>
    <x v="196"/>
    <x v="0"/>
    <d v="1900-01-07T00:00:00"/>
    <x v="1"/>
    <s v="Kolkata"/>
    <s v="Ritika Ghosh"/>
    <s v="Ritika Ghosh"/>
    <x v="2"/>
    <x v="0"/>
    <s v="Audio Devices"/>
    <s v="Boat Airdopes 141"/>
    <x v="0"/>
    <s v="Delivered"/>
    <n v="7"/>
    <n v="1840"/>
    <n v="0.05"/>
    <n v="1190"/>
    <n v="12236"/>
    <n v="8330"/>
    <n v="3906"/>
    <n v="0.31922196796338675"/>
  </r>
  <r>
    <x v="429"/>
    <x v="197"/>
    <x v="0"/>
    <d v="1900-01-08T00:00:00"/>
    <x v="4"/>
    <s v="Raipur"/>
    <s v="Manish Tiwari"/>
    <s v="Manish Tiwari"/>
    <x v="0"/>
    <x v="1"/>
    <s v="Air Conditioners"/>
    <s v="Daikin 1.5T Split Ac"/>
    <x v="0"/>
    <s v="Delivered"/>
    <n v="2"/>
    <n v="41580"/>
    <n v="0.05"/>
    <n v="27260"/>
    <n v="79002"/>
    <n v="54520"/>
    <n v="24482"/>
    <n v="0.30989088883825727"/>
  </r>
  <r>
    <x v="430"/>
    <x v="198"/>
    <x v="0"/>
    <d v="1900-01-08T00:00:00"/>
    <x v="3"/>
    <s v="Kochi"/>
    <s v="Divya Nair"/>
    <s v="Divya Nair"/>
    <x v="0"/>
    <x v="4"/>
    <s v="Activewear"/>
    <s v="Puma Track Pants"/>
    <x v="2"/>
    <s v="Delivered"/>
    <n v="8"/>
    <n v="1710"/>
    <n v="0.15"/>
    <n v="1110"/>
    <n v="11628"/>
    <n v="8880"/>
    <n v="2748"/>
    <n v="0.23632610939112486"/>
  </r>
  <r>
    <x v="431"/>
    <x v="199"/>
    <x v="0"/>
    <d v="1900-01-08T00:00:00"/>
    <x v="2"/>
    <s v="Gurugram"/>
    <s v="Aditya Verma"/>
    <s v="Aditya Verma"/>
    <x v="3"/>
    <x v="2"/>
    <s v="Footwear"/>
    <s v="Bata Formal Shoes"/>
    <x v="0"/>
    <s v="Delivered"/>
    <n v="73"/>
    <n v="2140"/>
    <n v="0.12"/>
    <n v="1480"/>
    <n v="137473.60000000001"/>
    <n v="108040"/>
    <n v="29433.600000000006"/>
    <n v="0.21410365335598983"/>
  </r>
  <r>
    <x v="432"/>
    <x v="199"/>
    <x v="0"/>
    <d v="1900-01-08T00:00:00"/>
    <x v="2"/>
    <s v="Noida"/>
    <s v="Aditya Verma"/>
    <s v="Aditya Verma"/>
    <x v="2"/>
    <x v="4"/>
    <s v="Sports Gear"/>
    <s v="Sg Cricket Bat English Willow"/>
    <x v="1"/>
    <s v="Delivered"/>
    <n v="4"/>
    <n v="4350"/>
    <n v="0.1"/>
    <n v="3230"/>
    <n v="15660"/>
    <n v="12920"/>
    <n v="2740"/>
    <n v="0.17496807151979565"/>
  </r>
  <r>
    <x v="433"/>
    <x v="199"/>
    <x v="0"/>
    <d v="1900-01-08T00:00:00"/>
    <x v="2"/>
    <s v="Delhi"/>
    <s v="Simran Kaur"/>
    <s v="Simran Kaur"/>
    <x v="0"/>
    <x v="0"/>
    <s v="Laptops"/>
    <s v="Dell Inspiron 3520"/>
    <x v="2"/>
    <s v="Delivered"/>
    <n v="3"/>
    <n v="55730"/>
    <n v="0.1"/>
    <n v="43320"/>
    <n v="150471"/>
    <n v="129960"/>
    <n v="20511"/>
    <n v="0.13631198038160178"/>
  </r>
  <r>
    <x v="434"/>
    <x v="199"/>
    <x v="0"/>
    <d v="1900-01-08T00:00:00"/>
    <x v="2"/>
    <s v="Jaipur"/>
    <s v="Rohit Malhotra"/>
    <s v="Rohit Malhotra"/>
    <x v="3"/>
    <x v="1"/>
    <s v="Washing Machines"/>
    <s v="Ifb Front Load 7Kg"/>
    <x v="1"/>
    <s v="Pending"/>
    <n v="2"/>
    <n v="34050"/>
    <n v="0.18"/>
    <n v="24970"/>
    <n v="55842.000000000007"/>
    <n v="49940"/>
    <n v="5902.0000000000073"/>
    <n v="0.10569105691056922"/>
  </r>
  <r>
    <x v="435"/>
    <x v="199"/>
    <x v="0"/>
    <d v="1900-01-08T00:00:00"/>
    <x v="1"/>
    <s v="Kolkata"/>
    <s v="Ritika Ghosh"/>
    <s v="Ritika Ghosh"/>
    <x v="2"/>
    <x v="0"/>
    <s v="Laptops"/>
    <s v="Dell Inspiron 3520"/>
    <x v="1"/>
    <s v="Delivered"/>
    <n v="2"/>
    <n v="58990"/>
    <n v="0.08"/>
    <n v="45110"/>
    <n v="108541.6"/>
    <n v="90220"/>
    <n v="18321.600000000006"/>
    <n v="0.16879795396419442"/>
  </r>
  <r>
    <x v="436"/>
    <x v="199"/>
    <x v="0"/>
    <d v="1900-01-08T00:00:00"/>
    <x v="3"/>
    <s v="Hyderabad"/>
    <s v="Karthik Raman"/>
    <s v="Karthik Raman"/>
    <x v="2"/>
    <x v="1"/>
    <s v="Kitchen Appliances"/>
    <s v="Pigeon Induction Cooktop"/>
    <x v="2"/>
    <s v="Delivered"/>
    <n v="26"/>
    <n v="2480"/>
    <n v="0.12"/>
    <n v="1670"/>
    <n v="56742.400000000001"/>
    <n v="43420"/>
    <n v="13322.400000000001"/>
    <n v="0.23478739002932553"/>
  </r>
  <r>
    <x v="437"/>
    <x v="199"/>
    <x v="0"/>
    <d v="1900-01-08T00:00:00"/>
    <x v="1"/>
    <s v="Ranchi"/>
    <s v="Ritika Ghosh"/>
    <s v="Ritika Ghosh"/>
    <x v="2"/>
    <x v="3"/>
    <s v="Office Chairs"/>
    <s v="Nilkamal Executive Chair"/>
    <x v="2"/>
    <s v="Delivered"/>
    <n v="15"/>
    <n v="6920"/>
    <n v="0.15"/>
    <n v="4900"/>
    <n v="88230"/>
    <n v="73500"/>
    <n v="14730"/>
    <n v="0.16695001700102005"/>
  </r>
  <r>
    <x v="438"/>
    <x v="200"/>
    <x v="0"/>
    <d v="1900-01-08T00:00:00"/>
    <x v="1"/>
    <s v="Kolkata"/>
    <s v="Ritika Ghosh"/>
    <s v="Ritika Ghosh"/>
    <x v="3"/>
    <x v="3"/>
    <s v="Office Chairs"/>
    <s v="Green Soul Ergonomic Chair"/>
    <x v="1"/>
    <s v="Delivered"/>
    <n v="13"/>
    <n v="11980"/>
    <n v="0.15"/>
    <n v="9220"/>
    <n v="132379"/>
    <n v="119860"/>
    <n v="12519"/>
    <n v="9.4569380339781989E-2"/>
  </r>
  <r>
    <x v="439"/>
    <x v="200"/>
    <x v="0"/>
    <d v="1900-01-08T00:00:00"/>
    <x v="1"/>
    <s v="Kolkata"/>
    <s v="Sourav Das"/>
    <s v="Sourav Das"/>
    <x v="3"/>
    <x v="1"/>
    <s v="Refrigerators"/>
    <s v="Samsung 192L Single Door"/>
    <x v="2"/>
    <s v="Delivered"/>
    <n v="10"/>
    <n v="17270"/>
    <n v="0.1"/>
    <n v="10670"/>
    <n v="155430"/>
    <n v="106700"/>
    <n v="48730"/>
    <n v="0.31351733899504602"/>
  </r>
  <r>
    <x v="440"/>
    <x v="201"/>
    <x v="0"/>
    <d v="1900-01-08T00:00:00"/>
    <x v="2"/>
    <s v="Delhi"/>
    <s v="Simran Kaur"/>
    <s v="Simran Kaur"/>
    <x v="0"/>
    <x v="0"/>
    <s v="Mobile Phones"/>
    <s v="Samsung Galaxy M35"/>
    <x v="0"/>
    <s v="Delivered"/>
    <n v="4"/>
    <n v="22280"/>
    <n v="0.08"/>
    <n v="16160"/>
    <n v="81990.400000000009"/>
    <n v="64640"/>
    <n v="17350.400000000009"/>
    <n v="0.21161501834361104"/>
  </r>
  <r>
    <x v="441"/>
    <x v="201"/>
    <x v="0"/>
    <d v="1900-01-08T00:00:00"/>
    <x v="4"/>
    <s v="Ujjain"/>
    <s v="Pooja Chouhan"/>
    <s v="Pooja Chouhan"/>
    <x v="3"/>
    <x v="0"/>
    <s v="Mobile Phones"/>
    <s v="Redmi Note 14"/>
    <x v="0"/>
    <s v="Delivered"/>
    <n v="1"/>
    <n v="17280"/>
    <n v="0"/>
    <n v="9770"/>
    <n v="17280"/>
    <n v="9770"/>
    <n v="7510"/>
    <n v="0.43460648148148145"/>
  </r>
  <r>
    <x v="442"/>
    <x v="201"/>
    <x v="0"/>
    <d v="1900-01-08T00:00:00"/>
    <x v="0"/>
    <s v="Mumbai"/>
    <s v="Neha Deshpande"/>
    <s v="Neha Deshpande"/>
    <x v="0"/>
    <x v="3"/>
    <s v="Sofas"/>
    <s v="3-Seater Fabric Sofa"/>
    <x v="1"/>
    <s v="Delivered"/>
    <n v="3"/>
    <n v="32370"/>
    <n v="0.08"/>
    <n v="22610"/>
    <n v="89341.2"/>
    <n v="67830"/>
    <n v="21511.199999999997"/>
    <n v="0.24077581227921718"/>
  </r>
  <r>
    <x v="443"/>
    <x v="201"/>
    <x v="0"/>
    <d v="1900-01-08T00:00:00"/>
    <x v="0"/>
    <s v="Mumbai"/>
    <s v="Prateek Shah"/>
    <s v="Prateek Shah"/>
    <x v="0"/>
    <x v="2"/>
    <s v="Accessories"/>
    <s v="Wildcraft 35L Backpack"/>
    <x v="0"/>
    <s v="Delivered"/>
    <n v="28"/>
    <n v="1920"/>
    <n v="0.1"/>
    <n v="1380"/>
    <n v="48384"/>
    <n v="38640"/>
    <n v="9744"/>
    <n v="0.2013888888888889"/>
  </r>
  <r>
    <x v="444"/>
    <x v="202"/>
    <x v="0"/>
    <d v="1900-01-08T00:00:00"/>
    <x v="2"/>
    <s v="Chandigarh"/>
    <s v="Aditya Verma"/>
    <s v="Aditya Verma"/>
    <x v="0"/>
    <x v="0"/>
    <s v="Laptops"/>
    <s v="Macbook Air M3"/>
    <x v="1"/>
    <s v="Delivered"/>
    <n v="4"/>
    <n v="111000"/>
    <n v="0.1"/>
    <n v="78030"/>
    <n v="399600"/>
    <n v="312120"/>
    <n v="87480"/>
    <n v="0.21891891891891893"/>
  </r>
  <r>
    <x v="445"/>
    <x v="203"/>
    <x v="0"/>
    <d v="1900-01-08T00:00:00"/>
    <x v="1"/>
    <s v="Siliguri"/>
    <s v="Sourav Das"/>
    <s v="Sourav Das"/>
    <x v="3"/>
    <x v="4"/>
    <s v="Activewear"/>
    <s v="Puma Track Pants"/>
    <x v="2"/>
    <s v="Delivered"/>
    <n v="56"/>
    <n v="1690"/>
    <n v="0.08"/>
    <n v="1140"/>
    <n v="87068.800000000003"/>
    <n v="63840"/>
    <n v="23228.800000000003"/>
    <n v="0.26678672498070494"/>
  </r>
  <r>
    <x v="446"/>
    <x v="203"/>
    <x v="0"/>
    <d v="1900-01-08T00:00:00"/>
    <x v="4"/>
    <s v="Bhopal"/>
    <s v="Manish Tiwari"/>
    <s v="Manish Tiwari"/>
    <x v="0"/>
    <x v="1"/>
    <s v="Refrigerators"/>
    <s v="Lg 260L Double Door"/>
    <x v="0"/>
    <s v="Delivered"/>
    <n v="1"/>
    <n v="29250"/>
    <n v="0.18"/>
    <n v="18480"/>
    <n v="23985"/>
    <n v="18480"/>
    <n v="5505"/>
    <n v="0.22951844903064414"/>
  </r>
  <r>
    <x v="447"/>
    <x v="204"/>
    <x v="0"/>
    <d v="1900-01-08T00:00:00"/>
    <x v="2"/>
    <s v="Jaipur"/>
    <s v="Aditya Verma"/>
    <s v="Aditya Verma"/>
    <x v="0"/>
    <x v="0"/>
    <s v="Mobile Phones"/>
    <s v="Iphone 15"/>
    <x v="0"/>
    <s v="Delivered"/>
    <n v="2"/>
    <n v="66050"/>
    <n v="0"/>
    <n v="45000"/>
    <n v="132100"/>
    <n v="90000"/>
    <n v="42100"/>
    <n v="0.31869795609386831"/>
  </r>
  <r>
    <x v="448"/>
    <x v="204"/>
    <x v="0"/>
    <d v="1900-01-08T00:00:00"/>
    <x v="2"/>
    <s v="Gurugram"/>
    <s v="Simran Kaur"/>
    <s v="Simran Kaur"/>
    <x v="3"/>
    <x v="3"/>
    <s v="Office Chairs"/>
    <s v="Nilkamal Executive Chair"/>
    <x v="0"/>
    <s v="Shipped"/>
    <n v="18"/>
    <n v="6720"/>
    <n v="0.12"/>
    <n v="5230"/>
    <n v="106444.8"/>
    <n v="94140"/>
    <n v="12304.800000000003"/>
    <n v="0.11559794372294374"/>
  </r>
  <r>
    <x v="449"/>
    <x v="204"/>
    <x v="0"/>
    <d v="1900-01-08T00:00:00"/>
    <x v="4"/>
    <s v="Jabalpur"/>
    <s v="Pooja Chouhan"/>
    <s v="Pooja Chouhan"/>
    <x v="2"/>
    <x v="1"/>
    <s v="Refrigerators"/>
    <s v="Lg 260L Double Door"/>
    <x v="0"/>
    <s v="Delivered"/>
    <n v="1"/>
    <n v="27670"/>
    <n v="0"/>
    <n v="16470"/>
    <n v="27670"/>
    <n v="16470"/>
    <n v="11200"/>
    <n v="0.40477050957715938"/>
  </r>
  <r>
    <x v="450"/>
    <x v="205"/>
    <x v="0"/>
    <d v="1900-01-08T00:00:00"/>
    <x v="2"/>
    <s v="Gurugram"/>
    <s v="Rohit Malhotra"/>
    <s v="Rohit Malhotra"/>
    <x v="0"/>
    <x v="1"/>
    <s v="Refrigerators"/>
    <s v="Samsung 192L Single Door"/>
    <x v="0"/>
    <s v="Returned"/>
    <n v="1"/>
    <n v="17090"/>
    <n v="0.15"/>
    <n v="12000"/>
    <n v="14526.5"/>
    <n v="12000"/>
    <n v="2526.5"/>
    <n v="0.17392351908580869"/>
  </r>
  <r>
    <x v="451"/>
    <x v="205"/>
    <x v="0"/>
    <d v="1900-01-08T00:00:00"/>
    <x v="1"/>
    <s v="Patna"/>
    <s v="Ritika Ghosh"/>
    <s v="Ritika Ghosh"/>
    <x v="2"/>
    <x v="2"/>
    <s v="Footwear"/>
    <s v="Campus Running Shoes"/>
    <x v="1"/>
    <s v="Delivered"/>
    <n v="27"/>
    <n v="1660"/>
    <n v="0.05"/>
    <n v="1100"/>
    <n v="42579"/>
    <n v="29700"/>
    <n v="12879"/>
    <n v="0.30247305009511732"/>
  </r>
  <r>
    <x v="452"/>
    <x v="206"/>
    <x v="0"/>
    <d v="1900-01-08T00:00:00"/>
    <x v="1"/>
    <s v="Patna"/>
    <s v="Sourav Das"/>
    <s v="Sourav Das"/>
    <x v="0"/>
    <x v="2"/>
    <s v="Accessories"/>
    <s v="Wildcraft 35L Backpack"/>
    <x v="1"/>
    <s v="Delivered"/>
    <n v="9"/>
    <n v="1810"/>
    <n v="0.05"/>
    <n v="1290"/>
    <n v="15475.5"/>
    <n v="11610"/>
    <n v="3865.5"/>
    <n v="0.24978191334690317"/>
  </r>
  <r>
    <x v="453"/>
    <x v="207"/>
    <x v="0"/>
    <d v="1900-01-08T00:00:00"/>
    <x v="0"/>
    <s v="Mumbai"/>
    <s v="Imran Sheikh"/>
    <s v="Imran Sheikh"/>
    <x v="0"/>
    <x v="2"/>
    <s v="Accessories"/>
    <s v="Fastrack Analog Watch"/>
    <x v="1"/>
    <s v="Pending"/>
    <n v="37"/>
    <n v="2680"/>
    <n v="0.12"/>
    <n v="1580"/>
    <n v="87260.800000000003"/>
    <n v="58460"/>
    <n v="28800.800000000003"/>
    <n v="0.33005427408412485"/>
  </r>
  <r>
    <x v="454"/>
    <x v="207"/>
    <x v="0"/>
    <d v="1900-01-08T00:00:00"/>
    <x v="0"/>
    <s v="Pune"/>
    <s v="Neha Deshpande"/>
    <s v="Neha Deshpande"/>
    <x v="0"/>
    <x v="3"/>
    <s v="Tables"/>
    <s v="6-Seater Dining Table"/>
    <x v="2"/>
    <s v="Delivered"/>
    <n v="6"/>
    <n v="25370"/>
    <n v="0.18"/>
    <n v="16370"/>
    <n v="124820.40000000001"/>
    <n v="98220"/>
    <n v="26600.400000000009"/>
    <n v="0.21310939557956879"/>
  </r>
  <r>
    <x v="455"/>
    <x v="208"/>
    <x v="0"/>
    <d v="1900-01-08T00:00:00"/>
    <x v="3"/>
    <s v="Chennai"/>
    <s v="Anjali Menon"/>
    <s v="Anjali Menon"/>
    <x v="1"/>
    <x v="1"/>
    <s v="Washing Machines"/>
    <s v="Whirlpool Semi Auto 7.5Kg"/>
    <x v="0"/>
    <s v="Delivered"/>
    <n v="8"/>
    <n v="14050"/>
    <n v="0.12"/>
    <n v="8330"/>
    <n v="98912"/>
    <n v="66640"/>
    <n v="32272"/>
    <n v="0.32626981559365903"/>
  </r>
  <r>
    <x v="456"/>
    <x v="208"/>
    <x v="0"/>
    <d v="1900-01-08T00:00:00"/>
    <x v="2"/>
    <s v="Chandigarh"/>
    <s v="Aditya Verma"/>
    <s v="Aditya Verma"/>
    <x v="0"/>
    <x v="4"/>
    <s v="Activewear"/>
    <s v="Puma Track Pants"/>
    <x v="1"/>
    <s v="Delivered"/>
    <n v="5"/>
    <n v="1610"/>
    <n v="0.08"/>
    <n v="1020"/>
    <n v="7406"/>
    <n v="5100"/>
    <n v="2306"/>
    <n v="0.3113691601404267"/>
  </r>
  <r>
    <x v="457"/>
    <x v="208"/>
    <x v="0"/>
    <d v="1900-01-08T00:00:00"/>
    <x v="0"/>
    <s v="Surat"/>
    <s v="Neha Deshpande"/>
    <s v="Neha Deshpande"/>
    <x v="0"/>
    <x v="2"/>
    <s v="Accessories"/>
    <s v="Fastrack Analog Watch"/>
    <x v="2"/>
    <s v="Delivered"/>
    <n v="21"/>
    <n v="2700"/>
    <n v="0.1"/>
    <n v="1820"/>
    <n v="51030"/>
    <n v="38220"/>
    <n v="12810"/>
    <n v="0.25102880658436216"/>
  </r>
  <r>
    <x v="458"/>
    <x v="208"/>
    <x v="0"/>
    <d v="1900-01-08T00:00:00"/>
    <x v="4"/>
    <s v="Raipur"/>
    <s v="Manish Tiwari"/>
    <s v="Manish Tiwari"/>
    <x v="3"/>
    <x v="0"/>
    <s v="Laptops"/>
    <s v="Dell Inspiron 3520"/>
    <x v="2"/>
    <s v="Delivered"/>
    <n v="7"/>
    <n v="57360"/>
    <n v="0.2"/>
    <n v="33430"/>
    <n v="321216"/>
    <n v="234010"/>
    <n v="87206"/>
    <n v="0.27148709902370988"/>
  </r>
  <r>
    <x v="459"/>
    <x v="209"/>
    <x v="0"/>
    <d v="1900-01-08T00:00:00"/>
    <x v="0"/>
    <s v="Ahmedabad"/>
    <s v="Neha Deshpande"/>
    <s v="Neha Deshpande"/>
    <x v="3"/>
    <x v="1"/>
    <s v="Washing Machines"/>
    <s v="Whirlpool Semi Auto 7.5Kg"/>
    <x v="0"/>
    <s v="Delivered"/>
    <n v="2"/>
    <n v="13820"/>
    <n v="0.08"/>
    <n v="10130"/>
    <n v="25428.800000000003"/>
    <n v="20260"/>
    <n v="5168.8000000000029"/>
    <n v="0.20326558862392258"/>
  </r>
  <r>
    <x v="460"/>
    <x v="210"/>
    <x v="0"/>
    <d v="1900-01-08T00:00:00"/>
    <x v="2"/>
    <s v="Gurugram"/>
    <s v="Rohit Malhotra"/>
    <s v="Rohit Malhotra"/>
    <x v="2"/>
    <x v="1"/>
    <s v="Air Conditioners"/>
    <s v="Daikin 1.5T Split Ac"/>
    <x v="0"/>
    <s v="Delivered"/>
    <n v="4"/>
    <n v="44640"/>
    <n v="0.05"/>
    <n v="33150"/>
    <n v="169632"/>
    <n v="132600"/>
    <n v="37032"/>
    <n v="0.21830786644029429"/>
  </r>
  <r>
    <x v="461"/>
    <x v="210"/>
    <x v="0"/>
    <d v="1900-01-08T00:00:00"/>
    <x v="0"/>
    <s v="Nashik"/>
    <s v="Imran Sheikh"/>
    <s v="Imran Sheikh"/>
    <x v="3"/>
    <x v="0"/>
    <s v="Mobile Phones"/>
    <s v="Samsung Galaxy M35"/>
    <x v="1"/>
    <s v="Shipped"/>
    <n v="4"/>
    <n v="22840"/>
    <n v="0"/>
    <n v="17400"/>
    <n v="91360"/>
    <n v="69600"/>
    <n v="21760"/>
    <n v="0.23817863397548161"/>
  </r>
  <r>
    <x v="462"/>
    <x v="211"/>
    <x v="0"/>
    <d v="1900-01-08T00:00:00"/>
    <x v="2"/>
    <s v="Chandigarh"/>
    <s v="Simran Kaur"/>
    <s v="Simran Kaur"/>
    <x v="2"/>
    <x v="0"/>
    <s v="Laptops"/>
    <s v="Dell Inspiron 3520"/>
    <x v="2"/>
    <s v="Delivered"/>
    <n v="4"/>
    <n v="56110"/>
    <n v="0.1"/>
    <n v="34120"/>
    <n v="201996"/>
    <n v="136480"/>
    <n v="65516"/>
    <n v="0.32434305629814453"/>
  </r>
  <r>
    <x v="463"/>
    <x v="212"/>
    <x v="0"/>
    <d v="1900-01-08T00:00:00"/>
    <x v="4"/>
    <s v="Indore"/>
    <s v="Manish Tiwari"/>
    <s v="Manish Tiwari"/>
    <x v="0"/>
    <x v="1"/>
    <s v="Refrigerators"/>
    <s v="Lg 260L Double Door"/>
    <x v="1"/>
    <s v="Delivered"/>
    <n v="4"/>
    <n v="28260"/>
    <n v="0.18"/>
    <n v="16220"/>
    <n v="92692.800000000003"/>
    <n v="64880"/>
    <n v="27812.800000000003"/>
    <n v="0.30005351008924103"/>
  </r>
  <r>
    <x v="464"/>
    <x v="213"/>
    <x v="0"/>
    <d v="1900-01-08T00:00:00"/>
    <x v="1"/>
    <s v="Guwahati"/>
    <s v="Ritika Ghosh"/>
    <s v="Ritika Ghosh"/>
    <x v="3"/>
    <x v="0"/>
    <s v="Audio Devices"/>
    <s v="Boat Airdopes 141"/>
    <x v="2"/>
    <s v="Delivered"/>
    <n v="21"/>
    <n v="1850"/>
    <n v="0.05"/>
    <n v="1070"/>
    <n v="36907.5"/>
    <n v="22470"/>
    <n v="14437.5"/>
    <n v="0.39118065433854909"/>
  </r>
  <r>
    <x v="465"/>
    <x v="213"/>
    <x v="0"/>
    <d v="1900-01-08T00:00:00"/>
    <x v="4"/>
    <s v="Indore"/>
    <s v="Pooja Chouhan"/>
    <s v="Pooja Chouhan"/>
    <x v="1"/>
    <x v="2"/>
    <s v="Accessories"/>
    <s v="Wildcraft 35L Backpack"/>
    <x v="0"/>
    <s v="Delivered"/>
    <n v="14"/>
    <n v="2020"/>
    <n v="0.08"/>
    <n v="1290"/>
    <n v="26017.600000000002"/>
    <n v="18060"/>
    <n v="7957.6000000000022"/>
    <n v="0.30585449849332763"/>
  </r>
  <r>
    <x v="466"/>
    <x v="213"/>
    <x v="0"/>
    <d v="1900-01-08T00:00:00"/>
    <x v="3"/>
    <s v="Visakhapatnam"/>
    <s v="Anjali Menon"/>
    <s v="Anjali Menon"/>
    <x v="2"/>
    <x v="3"/>
    <s v="Tables"/>
    <s v="Study Table Engineered Wood"/>
    <x v="0"/>
    <s v="Returned"/>
    <n v="10"/>
    <n v="8920"/>
    <n v="0.1"/>
    <n v="6430"/>
    <n v="80280"/>
    <n v="64300"/>
    <n v="15980"/>
    <n v="0.19905331340308918"/>
  </r>
  <r>
    <x v="467"/>
    <x v="213"/>
    <x v="0"/>
    <d v="1900-01-08T00:00:00"/>
    <x v="1"/>
    <s v="Guwahati"/>
    <s v="Sourav Das"/>
    <s v="Sourav Das"/>
    <x v="2"/>
    <x v="0"/>
    <s v="Audio Devices"/>
    <s v="Jbl Flip 6"/>
    <x v="0"/>
    <s v="Delivered"/>
    <n v="13"/>
    <n v="8750"/>
    <n v="0"/>
    <n v="6320"/>
    <n v="113750"/>
    <n v="82160"/>
    <n v="31590"/>
    <n v="0.27771428571428569"/>
  </r>
  <r>
    <x v="468"/>
    <x v="214"/>
    <x v="0"/>
    <d v="1900-01-08T00:00:00"/>
    <x v="3"/>
    <s v="Bengaluru"/>
    <s v="Divya Nair"/>
    <s v="Divya Nair"/>
    <x v="1"/>
    <x v="2"/>
    <s v="Footwear"/>
    <s v="Nike Revolution 7"/>
    <x v="0"/>
    <s v="Shipped"/>
    <n v="15"/>
    <n v="3830"/>
    <n v="0.2"/>
    <n v="2960"/>
    <n v="45960"/>
    <n v="44400"/>
    <n v="1560"/>
    <n v="3.3942558746736295E-2"/>
  </r>
  <r>
    <x v="469"/>
    <x v="214"/>
    <x v="0"/>
    <d v="1900-01-08T00:00:00"/>
    <x v="2"/>
    <s v="Chandigarh"/>
    <s v="Rohit Malhotra"/>
    <s v="Rohit Malhotra"/>
    <x v="2"/>
    <x v="3"/>
    <s v="Sofas"/>
    <s v="Single Seater Recliner"/>
    <x v="1"/>
    <s v="Delivered"/>
    <n v="2"/>
    <n v="48150"/>
    <n v="0.1"/>
    <n v="36100"/>
    <n v="86670"/>
    <n v="72200"/>
    <n v="14470"/>
    <n v="0.16695511711088035"/>
  </r>
  <r>
    <x v="470"/>
    <x v="215"/>
    <x v="0"/>
    <d v="1900-01-08T00:00:00"/>
    <x v="0"/>
    <s v="Pune"/>
    <s v="Imran Sheikh"/>
    <s v="Imran Sheikh"/>
    <x v="0"/>
    <x v="4"/>
    <s v="Sports Gear"/>
    <s v="Yonex Badminton Racket"/>
    <x v="1"/>
    <s v="Delivered"/>
    <n v="13"/>
    <n v="3180"/>
    <n v="0.15"/>
    <n v="2400"/>
    <n v="35139"/>
    <n v="31200"/>
    <n v="3939"/>
    <n v="0.1120976692563818"/>
  </r>
  <r>
    <x v="471"/>
    <x v="215"/>
    <x v="0"/>
    <d v="1900-01-08T00:00:00"/>
    <x v="4"/>
    <s v="Jabalpur"/>
    <s v="Manish Tiwari"/>
    <s v="Manish Tiwari"/>
    <x v="3"/>
    <x v="3"/>
    <s v="Sofas"/>
    <s v="Single Seater Recliner"/>
    <x v="1"/>
    <s v="Pending"/>
    <n v="9"/>
    <n v="45100"/>
    <n v="0"/>
    <n v="31330"/>
    <n v="405900"/>
    <n v="281970"/>
    <n v="123930"/>
    <n v="0.30532150776053213"/>
  </r>
  <r>
    <x v="472"/>
    <x v="215"/>
    <x v="0"/>
    <d v="1900-01-08T00:00:00"/>
    <x v="4"/>
    <s v="Bhopal"/>
    <s v="Pooja Chouhan"/>
    <s v="Pooja Chouhan"/>
    <x v="1"/>
    <x v="2"/>
    <s v="Footwear"/>
    <s v="Campus Running Shoes"/>
    <x v="1"/>
    <s v="Delivered"/>
    <n v="14"/>
    <n v="1660"/>
    <n v="0.2"/>
    <n v="970"/>
    <n v="18592"/>
    <n v="13580"/>
    <n v="5012"/>
    <n v="0.26957831325301207"/>
  </r>
  <r>
    <x v="473"/>
    <x v="215"/>
    <x v="0"/>
    <d v="1900-01-08T00:00:00"/>
    <x v="0"/>
    <s v="Nagpur"/>
    <s v="Neha Deshpande"/>
    <s v="Neha Deshpande"/>
    <x v="3"/>
    <x v="2"/>
    <s v="Accessories"/>
    <s v="Wildcraft 35L Backpack"/>
    <x v="1"/>
    <s v="Delivered"/>
    <n v="7"/>
    <n v="2020"/>
    <n v="0.08"/>
    <n v="1350"/>
    <n v="13008.800000000001"/>
    <n v="9450"/>
    <n v="3558.8000000000011"/>
    <n v="0.27356866121394752"/>
  </r>
  <r>
    <x v="474"/>
    <x v="216"/>
    <x v="0"/>
    <d v="1900-01-08T00:00:00"/>
    <x v="0"/>
    <s v="Surat"/>
    <s v="Prateek Shah"/>
    <s v="Prateek Shah"/>
    <x v="2"/>
    <x v="0"/>
    <s v="Televisions"/>
    <s v="Mi Tv 5X 43 Inch"/>
    <x v="1"/>
    <s v="Delivered"/>
    <n v="2"/>
    <n v="31490"/>
    <n v="0.2"/>
    <n v="20730"/>
    <n v="50384"/>
    <n v="41460"/>
    <n v="8924"/>
    <n v="0.17711972054620514"/>
  </r>
  <r>
    <x v="475"/>
    <x v="216"/>
    <x v="0"/>
    <d v="1900-01-08T00:00:00"/>
    <x v="1"/>
    <s v="Guwahati"/>
    <s v="Sourav Das"/>
    <s v="Sourav Das"/>
    <x v="0"/>
    <x v="1"/>
    <s v="Air Conditioners"/>
    <s v="Voltas 1.5T Inverter Ac"/>
    <x v="2"/>
    <s v="Delivered"/>
    <n v="3"/>
    <n v="34720"/>
    <n v="0.1"/>
    <n v="19900"/>
    <n v="93744"/>
    <n v="59700"/>
    <n v="34044"/>
    <n v="0.36315924219150025"/>
  </r>
  <r>
    <x v="476"/>
    <x v="216"/>
    <x v="0"/>
    <d v="1900-01-08T00:00:00"/>
    <x v="3"/>
    <s v="Bengaluru"/>
    <s v="Divya Nair"/>
    <s v="Divya Nair"/>
    <x v="0"/>
    <x v="0"/>
    <s v="Audio Devices"/>
    <s v="Boat Airdopes 141"/>
    <x v="2"/>
    <s v="Delivered"/>
    <n v="36"/>
    <n v="1890"/>
    <n v="0.05"/>
    <n v="1490"/>
    <n v="64638"/>
    <n v="53640"/>
    <n v="10998"/>
    <n v="0.17014759120022277"/>
  </r>
  <r>
    <x v="477"/>
    <x v="216"/>
    <x v="0"/>
    <d v="1900-01-08T00:00:00"/>
    <x v="3"/>
    <s v="Bengaluru"/>
    <s v="Karthik Raman"/>
    <s v="Karthik Raman"/>
    <x v="2"/>
    <x v="0"/>
    <s v="Televisions"/>
    <s v="Mi Tv 5X 43 Inch"/>
    <x v="1"/>
    <s v="Shipped"/>
    <n v="3"/>
    <n v="33840"/>
    <n v="0"/>
    <n v="23250"/>
    <n v="101520"/>
    <n v="69750"/>
    <n v="31770"/>
    <n v="0.31294326241134751"/>
  </r>
  <r>
    <x v="478"/>
    <x v="216"/>
    <x v="0"/>
    <d v="1900-01-08T00:00:00"/>
    <x v="0"/>
    <s v="Pune"/>
    <s v="Imran Sheikh"/>
    <s v="Imran Sheikh"/>
    <x v="2"/>
    <x v="3"/>
    <s v="Office Chairs"/>
    <s v="Green Soul Ergonomic Chair"/>
    <x v="1"/>
    <s v="Delivered"/>
    <n v="1"/>
    <n v="12130"/>
    <n v="0.1"/>
    <n v="8990"/>
    <n v="10917"/>
    <n v="8990"/>
    <n v="1927"/>
    <n v="0.17651369423834387"/>
  </r>
  <r>
    <x v="479"/>
    <x v="217"/>
    <x v="0"/>
    <d v="1900-01-08T00:00:00"/>
    <x v="2"/>
    <s v="Chandigarh"/>
    <s v="Rohit Malhotra"/>
    <s v="Rohit Malhotra"/>
    <x v="2"/>
    <x v="0"/>
    <s v="Mobile Phones"/>
    <s v="Redmi Note 14"/>
    <x v="1"/>
    <s v="Delivered"/>
    <n v="5"/>
    <n v="17370"/>
    <n v="0.05"/>
    <n v="12710"/>
    <n v="82507.5"/>
    <n v="63550"/>
    <n v="18957.5"/>
    <n v="0.22976699087961699"/>
  </r>
  <r>
    <x v="480"/>
    <x v="217"/>
    <x v="0"/>
    <d v="1900-01-08T00:00:00"/>
    <x v="3"/>
    <s v="Bengaluru"/>
    <s v="Divya Nair"/>
    <s v="Divya Nair"/>
    <x v="2"/>
    <x v="1"/>
    <s v="Washing Machines"/>
    <s v="Ifb Front Load 7Kg"/>
    <x v="1"/>
    <s v="Delivered"/>
    <n v="3"/>
    <n v="33360"/>
    <n v="0.12"/>
    <n v="24090"/>
    <n v="88070.399999999994"/>
    <n v="72270"/>
    <n v="15800.399999999994"/>
    <n v="0.17940647482014382"/>
  </r>
  <r>
    <x v="481"/>
    <x v="217"/>
    <x v="0"/>
    <d v="1900-01-08T00:00:00"/>
    <x v="3"/>
    <s v="Visakhapatnam"/>
    <s v="Karthik Raman"/>
    <s v="Karthik Raman"/>
    <x v="0"/>
    <x v="1"/>
    <s v="Washing Machines"/>
    <s v="Ifb Front Load 7Kg"/>
    <x v="0"/>
    <s v="Delivered"/>
    <n v="3"/>
    <n v="32800"/>
    <n v="0.15"/>
    <n v="22330"/>
    <n v="83640"/>
    <n v="66990"/>
    <n v="16650"/>
    <n v="0.19906743185078909"/>
  </r>
  <r>
    <x v="482"/>
    <x v="217"/>
    <x v="0"/>
    <d v="1900-01-08T00:00:00"/>
    <x v="0"/>
    <s v="Pune"/>
    <s v="Neha Deshpande"/>
    <s v="Neha Deshpande"/>
    <x v="3"/>
    <x v="4"/>
    <s v="Fitness Equipment"/>
    <s v="Adjustable Dumbbell Set 10Kg"/>
    <x v="1"/>
    <s v="Delivered"/>
    <n v="49"/>
    <n v="2510"/>
    <n v="0.18"/>
    <n v="1590"/>
    <n v="100851.8"/>
    <n v="77910"/>
    <n v="22941.800000000003"/>
    <n v="0.22748032261199108"/>
  </r>
  <r>
    <x v="483"/>
    <x v="218"/>
    <x v="0"/>
    <d v="1900-01-08T00:00:00"/>
    <x v="0"/>
    <s v="Nashik"/>
    <s v="Neha Deshpande"/>
    <s v="Neha Deshpande"/>
    <x v="1"/>
    <x v="3"/>
    <s v="Tables"/>
    <s v="6-Seater Dining Table"/>
    <x v="1"/>
    <s v="Returned"/>
    <n v="11"/>
    <n v="25370"/>
    <n v="0.05"/>
    <n v="15140"/>
    <n v="265116.5"/>
    <n v="166540"/>
    <n v="98576.5"/>
    <n v="0.37182333049810179"/>
  </r>
  <r>
    <x v="484"/>
    <x v="218"/>
    <x v="0"/>
    <d v="1900-01-08T00:00:00"/>
    <x v="3"/>
    <s v="Visakhapatnam"/>
    <s v="Divya Nair"/>
    <s v="Divya Nair"/>
    <x v="3"/>
    <x v="0"/>
    <s v="Audio Devices"/>
    <s v="Boat Airdopes 141"/>
    <x v="0"/>
    <s v="Delivered"/>
    <n v="11"/>
    <n v="1800"/>
    <n v="0.1"/>
    <n v="1260"/>
    <n v="17820"/>
    <n v="13860"/>
    <n v="3960"/>
    <n v="0.22222222222222221"/>
  </r>
  <r>
    <x v="485"/>
    <x v="219"/>
    <x v="0"/>
    <d v="1900-01-09T00:00:00"/>
    <x v="2"/>
    <s v="Chandigarh"/>
    <s v="Rohit Malhotra"/>
    <s v="Rohit Malhotra"/>
    <x v="0"/>
    <x v="3"/>
    <s v="Office Chairs"/>
    <s v="Nilkamal Executive Chair"/>
    <x v="1"/>
    <s v="Delivered"/>
    <n v="5"/>
    <n v="6570"/>
    <n v="0.15"/>
    <n v="5090"/>
    <n v="27922.5"/>
    <n v="25450"/>
    <n v="2472.5"/>
    <n v="8.854866147372191E-2"/>
  </r>
  <r>
    <x v="486"/>
    <x v="219"/>
    <x v="0"/>
    <d v="1900-01-09T00:00:00"/>
    <x v="2"/>
    <s v="Gurugram"/>
    <s v="Simran Kaur"/>
    <s v="Simran Kaur"/>
    <x v="0"/>
    <x v="0"/>
    <s v="Televisions"/>
    <s v="Samsung Crystal 4K 55 Inch"/>
    <x v="2"/>
    <s v="Shipped"/>
    <n v="1"/>
    <n v="56060"/>
    <n v="0.1"/>
    <n v="38300"/>
    <n v="50454"/>
    <n v="38300"/>
    <n v="12154"/>
    <n v="0.24089269433543425"/>
  </r>
  <r>
    <x v="487"/>
    <x v="219"/>
    <x v="0"/>
    <d v="1900-01-09T00:00:00"/>
    <x v="2"/>
    <s v="Noida"/>
    <s v="Simran Kaur"/>
    <s v="Simran Kaur"/>
    <x v="0"/>
    <x v="1"/>
    <s v="Washing Machines"/>
    <s v="Whirlpool Semi Auto 7.5Kg"/>
    <x v="1"/>
    <s v="Delivered"/>
    <n v="5"/>
    <n v="13710"/>
    <n v="0"/>
    <n v="9790"/>
    <n v="68550"/>
    <n v="48950"/>
    <n v="19600"/>
    <n v="0.28592268417213712"/>
  </r>
  <r>
    <x v="488"/>
    <x v="220"/>
    <x v="0"/>
    <d v="1900-01-09T00:00:00"/>
    <x v="1"/>
    <s v="Guwahati"/>
    <s v="Ritika Ghosh"/>
    <s v="Ritika Ghosh"/>
    <x v="0"/>
    <x v="3"/>
    <s v="Storage"/>
    <s v="Metal Shoe Rack"/>
    <x v="0"/>
    <s v="Pending"/>
    <n v="6"/>
    <n v="3460"/>
    <n v="0.2"/>
    <n v="2370"/>
    <n v="16608"/>
    <n v="14220"/>
    <n v="2388"/>
    <n v="0.14378612716763006"/>
  </r>
  <r>
    <x v="489"/>
    <x v="221"/>
    <x v="0"/>
    <d v="1900-01-09T00:00:00"/>
    <x v="2"/>
    <s v="Jaipur"/>
    <s v="Rohit Malhotra"/>
    <s v="Rohit Malhotra"/>
    <x v="0"/>
    <x v="1"/>
    <s v="Refrigerators"/>
    <s v="Samsung 192L Single Door"/>
    <x v="0"/>
    <s v="Delivered"/>
    <n v="3"/>
    <n v="15540"/>
    <n v="0.1"/>
    <n v="10290"/>
    <n v="41958"/>
    <n v="30870"/>
    <n v="11088"/>
    <n v="0.26426426426426425"/>
  </r>
  <r>
    <x v="490"/>
    <x v="221"/>
    <x v="0"/>
    <d v="1900-01-09T00:00:00"/>
    <x v="1"/>
    <s v="Bhubaneswar"/>
    <s v="Ritika Ghosh"/>
    <s v="Ritika Ghosh"/>
    <x v="3"/>
    <x v="3"/>
    <s v="Tables"/>
    <s v="Study Table Engineered Wood"/>
    <x v="0"/>
    <s v="Shipped"/>
    <n v="12"/>
    <n v="8460"/>
    <n v="0.18"/>
    <n v="5420"/>
    <n v="83246.400000000009"/>
    <n v="65040"/>
    <n v="18206.400000000009"/>
    <n v="0.21870495300697695"/>
  </r>
  <r>
    <x v="491"/>
    <x v="222"/>
    <x v="0"/>
    <d v="1900-01-09T00:00:00"/>
    <x v="0"/>
    <s v="Mumbai"/>
    <s v="Imran Sheikh"/>
    <s v="Imran Sheikh"/>
    <x v="0"/>
    <x v="0"/>
    <s v="Mobile Phones"/>
    <s v="Redmi Note 14"/>
    <x v="1"/>
    <s v="Delivered"/>
    <n v="8"/>
    <n v="17240"/>
    <n v="0.1"/>
    <n v="13330"/>
    <n v="124128"/>
    <n v="106640"/>
    <n v="17488"/>
    <n v="0.14088682650167569"/>
  </r>
  <r>
    <x v="492"/>
    <x v="222"/>
    <x v="0"/>
    <d v="1900-01-09T00:00:00"/>
    <x v="0"/>
    <s v="Mumbai"/>
    <s v="Prateek Shah"/>
    <s v="Prateek Shah"/>
    <x v="3"/>
    <x v="2"/>
    <s v="Apparel"/>
    <s v="Levis 511 Jeans"/>
    <x v="1"/>
    <s v="Delivered"/>
    <n v="10"/>
    <n v="2960"/>
    <n v="0"/>
    <n v="1970"/>
    <n v="29600"/>
    <n v="19700"/>
    <n v="9900"/>
    <n v="0.33445945945945948"/>
  </r>
  <r>
    <x v="493"/>
    <x v="222"/>
    <x v="0"/>
    <d v="1900-01-09T00:00:00"/>
    <x v="2"/>
    <s v="Noida"/>
    <s v="Aditya Verma"/>
    <s v="Aditya Verma"/>
    <x v="3"/>
    <x v="2"/>
    <s v="Footwear"/>
    <s v="Nike Revolution 7"/>
    <x v="1"/>
    <s v="Delivered"/>
    <n v="12"/>
    <n v="3770"/>
    <n v="0.05"/>
    <n v="2720"/>
    <n v="42978"/>
    <n v="32640"/>
    <n v="10338"/>
    <n v="0.24054167248359626"/>
  </r>
  <r>
    <x v="494"/>
    <x v="222"/>
    <x v="0"/>
    <d v="1900-01-09T00:00:00"/>
    <x v="1"/>
    <s v="Patna"/>
    <s v="Ritika Ghosh"/>
    <s v="Ritika Ghosh"/>
    <x v="3"/>
    <x v="0"/>
    <s v="Laptops"/>
    <s v="Hp Pavilion 15"/>
    <x v="0"/>
    <s v="Delivered"/>
    <n v="4"/>
    <n v="66350"/>
    <n v="0.08"/>
    <n v="41330"/>
    <n v="244168"/>
    <n v="165320"/>
    <n v="78848"/>
    <n v="0.32292519904328165"/>
  </r>
  <r>
    <x v="495"/>
    <x v="223"/>
    <x v="0"/>
    <d v="1900-01-09T00:00:00"/>
    <x v="1"/>
    <s v="Guwahati"/>
    <s v="Ritika Ghosh"/>
    <s v="Ritika Ghosh"/>
    <x v="0"/>
    <x v="0"/>
    <s v="Audio Devices"/>
    <s v="Boat Airdopes 141"/>
    <x v="1"/>
    <s v="Delivered"/>
    <n v="17"/>
    <n v="1920"/>
    <n v="0.18"/>
    <n v="1170"/>
    <n v="26764.800000000003"/>
    <n v="19890"/>
    <n v="6874.8000000000029"/>
    <n v="0.25685975609756106"/>
  </r>
  <r>
    <x v="496"/>
    <x v="224"/>
    <x v="0"/>
    <d v="1900-01-09T00:00:00"/>
    <x v="0"/>
    <s v="Nashik"/>
    <s v="Imran Sheikh"/>
    <s v="Imran Sheikh"/>
    <x v="3"/>
    <x v="2"/>
    <s v="Accessories"/>
    <s v="Wildcraft 35L Backpack"/>
    <x v="0"/>
    <s v="Delivered"/>
    <n v="14"/>
    <n v="2000"/>
    <n v="0.25"/>
    <n v="1320"/>
    <n v="21000"/>
    <n v="18480"/>
    <n v="2520"/>
    <n v="0.12"/>
  </r>
  <r>
    <x v="497"/>
    <x v="224"/>
    <x v="0"/>
    <d v="1900-01-09T00:00:00"/>
    <x v="1"/>
    <s v="Kolkata"/>
    <s v="Sourav Das"/>
    <s v="Sourav Das"/>
    <x v="3"/>
    <x v="1"/>
    <s v="Air Conditioners"/>
    <s v="Daikin 1.5T Split Ac"/>
    <x v="1"/>
    <s v="Pending"/>
    <n v="3"/>
    <n v="40750"/>
    <n v="0.18"/>
    <n v="25660"/>
    <n v="100245.00000000001"/>
    <n v="76980"/>
    <n v="23265.000000000015"/>
    <n v="0.23208140056860702"/>
  </r>
  <r>
    <x v="498"/>
    <x v="225"/>
    <x v="0"/>
    <d v="1900-01-09T00:00:00"/>
    <x v="2"/>
    <s v="Gurugram"/>
    <s v="Aditya Verma"/>
    <s v="Aditya Verma"/>
    <x v="0"/>
    <x v="2"/>
    <s v="Apparel"/>
    <s v="Levis 511 Jeans"/>
    <x v="2"/>
    <s v="Delivered"/>
    <n v="29"/>
    <n v="2730"/>
    <n v="0"/>
    <n v="1910"/>
    <n v="79170"/>
    <n v="55390"/>
    <n v="23780"/>
    <n v="0.30036630036630035"/>
  </r>
  <r>
    <x v="499"/>
    <x v="225"/>
    <x v="0"/>
    <d v="1900-01-09T00:00:00"/>
    <x v="3"/>
    <s v="Coimbatore"/>
    <s v="Karthik Raman"/>
    <s v="Karthik Raman"/>
    <x v="1"/>
    <x v="1"/>
    <s v="Refrigerators"/>
    <s v="Lg 260L Double Door"/>
    <x v="0"/>
    <s v="Delivered"/>
    <n v="6"/>
    <n v="29030"/>
    <n v="0.1"/>
    <n v="18430"/>
    <n v="156762"/>
    <n v="110580"/>
    <n v="46182"/>
    <n v="0.29459945650093772"/>
  </r>
  <r>
    <x v="500"/>
    <x v="225"/>
    <x v="0"/>
    <d v="1900-01-09T00:00:00"/>
    <x v="1"/>
    <s v="Patna"/>
    <s v="Sourav Das"/>
    <s v="Sourav Das"/>
    <x v="0"/>
    <x v="0"/>
    <s v="Mobile Phones"/>
    <s v="Iphone 15"/>
    <x v="0"/>
    <s v="Delivered"/>
    <n v="1"/>
    <n v="71970"/>
    <n v="0.1"/>
    <n v="46810"/>
    <n v="64773"/>
    <n v="46810"/>
    <n v="17963"/>
    <n v="0.27732234109891468"/>
  </r>
  <r>
    <x v="501"/>
    <x v="225"/>
    <x v="0"/>
    <d v="1900-01-09T00:00:00"/>
    <x v="4"/>
    <s v="Ujjain"/>
    <s v="Pooja Chouhan"/>
    <s v="Pooja Chouhan"/>
    <x v="3"/>
    <x v="0"/>
    <s v="Mobile Phones"/>
    <s v="Iphone 15"/>
    <x v="2"/>
    <s v="Shipped"/>
    <n v="2"/>
    <n v="64930"/>
    <n v="0.25"/>
    <n v="49710"/>
    <n v="97395"/>
    <n v="99420"/>
    <n v="-2025"/>
    <n v="-2.0791621746496226E-2"/>
  </r>
  <r>
    <x v="502"/>
    <x v="225"/>
    <x v="0"/>
    <d v="1900-01-09T00:00:00"/>
    <x v="0"/>
    <s v="Nagpur"/>
    <s v="Prateek Shah"/>
    <s v="Prateek Shah"/>
    <x v="3"/>
    <x v="1"/>
    <s v="Washing Machines"/>
    <s v="Whirlpool Semi Auto 7.5Kg"/>
    <x v="1"/>
    <s v="Returned"/>
    <n v="9"/>
    <n v="13360"/>
    <n v="0.08"/>
    <n v="10210"/>
    <n v="110620.8"/>
    <n v="91890"/>
    <n v="18730.800000000003"/>
    <n v="0.16932439468888313"/>
  </r>
  <r>
    <x v="503"/>
    <x v="226"/>
    <x v="0"/>
    <d v="1900-01-09T00:00:00"/>
    <x v="4"/>
    <s v="Indore"/>
    <s v="Manish Tiwari"/>
    <s v="Manish Tiwari"/>
    <x v="1"/>
    <x v="1"/>
    <s v="Refrigerators"/>
    <s v="Samsung 192L Single Door"/>
    <x v="1"/>
    <s v="Shipped"/>
    <n v="2"/>
    <n v="16550"/>
    <n v="0.25"/>
    <n v="11060"/>
    <n v="24825"/>
    <n v="22120"/>
    <n v="2705"/>
    <n v="0.10896273917421953"/>
  </r>
  <r>
    <x v="504"/>
    <x v="226"/>
    <x v="0"/>
    <d v="1900-01-09T00:00:00"/>
    <x v="0"/>
    <s v="Surat"/>
    <s v="Imran Sheikh"/>
    <s v="Imran Sheikh"/>
    <x v="0"/>
    <x v="3"/>
    <s v="Storage"/>
    <s v="3-Door Wardrobe"/>
    <x v="0"/>
    <s v="Delivered"/>
    <n v="6"/>
    <n v="28620"/>
    <n v="0"/>
    <n v="21190"/>
    <n v="171720"/>
    <n v="127140"/>
    <n v="44580"/>
    <n v="0.25960866526904264"/>
  </r>
  <r>
    <x v="505"/>
    <x v="226"/>
    <x v="0"/>
    <d v="1900-01-09T00:00:00"/>
    <x v="0"/>
    <s v="Mumbai"/>
    <s v="Neha Deshpande"/>
    <s v="Neha Deshpande"/>
    <x v="2"/>
    <x v="2"/>
    <s v="Apparel"/>
    <s v="Levis 511 Jeans"/>
    <x v="1"/>
    <s v="Delivered"/>
    <n v="5"/>
    <n v="2960"/>
    <n v="0.1"/>
    <n v="1940"/>
    <n v="13320"/>
    <n v="9700"/>
    <n v="3620"/>
    <n v="0.27177177177177175"/>
  </r>
  <r>
    <x v="506"/>
    <x v="226"/>
    <x v="0"/>
    <d v="1900-01-09T00:00:00"/>
    <x v="2"/>
    <s v="Chandigarh"/>
    <s v="Rohit Malhotra"/>
    <s v="Rohit Malhotra"/>
    <x v="0"/>
    <x v="0"/>
    <s v="Laptops"/>
    <s v="Hp Pavilion 15"/>
    <x v="1"/>
    <s v="Delivered"/>
    <n v="3"/>
    <n v="63890"/>
    <n v="0.08"/>
    <n v="41470"/>
    <n v="176336.4"/>
    <n v="124410"/>
    <n v="51926.399999999994"/>
    <n v="0.29447351766283081"/>
  </r>
  <r>
    <x v="507"/>
    <x v="227"/>
    <x v="0"/>
    <d v="1900-01-09T00:00:00"/>
    <x v="2"/>
    <s v="Jaipur"/>
    <s v="Rohit Malhotra"/>
    <s v="Rohit Malhotra"/>
    <x v="3"/>
    <x v="3"/>
    <s v="Storage"/>
    <s v="3-Door Wardrobe"/>
    <x v="0"/>
    <s v="Delivered"/>
    <n v="2"/>
    <n v="29170"/>
    <n v="0.1"/>
    <n v="19780"/>
    <n v="52506"/>
    <n v="39560"/>
    <n v="12946"/>
    <n v="0.24656229764217422"/>
  </r>
  <r>
    <x v="508"/>
    <x v="227"/>
    <x v="0"/>
    <d v="1900-01-09T00:00:00"/>
    <x v="3"/>
    <s v="Kochi"/>
    <s v="Karthik Raman"/>
    <s v="Karthik Raman"/>
    <x v="0"/>
    <x v="1"/>
    <s v="Air Conditioners"/>
    <s v="Daikin 1.5T Split Ac"/>
    <x v="0"/>
    <s v="Delivered"/>
    <n v="3"/>
    <n v="45030"/>
    <n v="0.12"/>
    <n v="34700"/>
    <n v="118879.2"/>
    <n v="104100"/>
    <n v="14779.199999999997"/>
    <n v="0.12432115963095308"/>
  </r>
  <r>
    <x v="509"/>
    <x v="227"/>
    <x v="0"/>
    <d v="1900-01-09T00:00:00"/>
    <x v="4"/>
    <s v="Jabalpur"/>
    <s v="Pooja Chouhan"/>
    <s v="Pooja Chouhan"/>
    <x v="0"/>
    <x v="1"/>
    <s v="Washing Machines"/>
    <s v="Ifb Front Load 7Kg"/>
    <x v="0"/>
    <s v="Delivered"/>
    <n v="2"/>
    <n v="35020"/>
    <n v="0"/>
    <n v="27630"/>
    <n v="70040"/>
    <n v="55260"/>
    <n v="14780"/>
    <n v="0.21102227298686466"/>
  </r>
  <r>
    <x v="510"/>
    <x v="227"/>
    <x v="0"/>
    <d v="1900-01-09T00:00:00"/>
    <x v="0"/>
    <s v="Ahmedabad"/>
    <s v="Prateek Shah"/>
    <s v="Prateek Shah"/>
    <x v="3"/>
    <x v="3"/>
    <s v="Storage"/>
    <s v="Metal Shoe Rack"/>
    <x v="0"/>
    <s v="Delivered"/>
    <n v="8"/>
    <n v="3580"/>
    <n v="0.15"/>
    <n v="2020"/>
    <n v="24344"/>
    <n v="16160"/>
    <n v="8184"/>
    <n v="0.33618139993427537"/>
  </r>
  <r>
    <x v="511"/>
    <x v="227"/>
    <x v="0"/>
    <d v="1900-01-09T00:00:00"/>
    <x v="0"/>
    <s v="Pune"/>
    <s v="Prateek Shah"/>
    <s v="Prateek Shah"/>
    <x v="0"/>
    <x v="3"/>
    <s v="Office Chairs"/>
    <s v="Green Soul Ergonomic Chair"/>
    <x v="1"/>
    <s v="Delivered"/>
    <n v="2"/>
    <n v="12670"/>
    <n v="0.25"/>
    <n v="8020"/>
    <n v="19005"/>
    <n v="16040"/>
    <n v="2965"/>
    <n v="0.15601157590107867"/>
  </r>
  <r>
    <x v="512"/>
    <x v="227"/>
    <x v="0"/>
    <d v="1900-01-09T00:00:00"/>
    <x v="1"/>
    <s v="Kolkata"/>
    <s v="Sourav Das"/>
    <s v="Sourav Das"/>
    <x v="3"/>
    <x v="4"/>
    <s v="Sports Gear"/>
    <s v="Sg Cricket Bat English Willow"/>
    <x v="1"/>
    <s v="Delivered"/>
    <n v="15"/>
    <n v="4320"/>
    <n v="0.18"/>
    <n v="2810"/>
    <n v="53136.000000000007"/>
    <n v="42150"/>
    <n v="10986.000000000007"/>
    <n v="0.20675248419150868"/>
  </r>
  <r>
    <x v="513"/>
    <x v="228"/>
    <x v="0"/>
    <d v="1900-01-09T00:00:00"/>
    <x v="0"/>
    <s v="Ahmedabad"/>
    <s v="Imran Sheikh"/>
    <s v="Imran Sheikh"/>
    <x v="2"/>
    <x v="3"/>
    <s v="Tables"/>
    <s v="6-Seater Dining Table"/>
    <x v="1"/>
    <s v="Shipped"/>
    <n v="7"/>
    <n v="23550"/>
    <n v="0.1"/>
    <n v="17930"/>
    <n v="148365"/>
    <n v="125510"/>
    <n v="22855"/>
    <n v="0.15404576551073365"/>
  </r>
  <r>
    <x v="514"/>
    <x v="228"/>
    <x v="0"/>
    <d v="1900-01-09T00:00:00"/>
    <x v="0"/>
    <s v="Pune"/>
    <s v="Neha Deshpande"/>
    <s v="Neha Deshpande"/>
    <x v="1"/>
    <x v="1"/>
    <s v="Refrigerators"/>
    <s v="Samsung 192L Single Door"/>
    <x v="0"/>
    <s v="Delivered"/>
    <n v="15"/>
    <n v="17190"/>
    <n v="0"/>
    <n v="12730"/>
    <n v="257850"/>
    <n v="190950"/>
    <n v="66900"/>
    <n v="0.25945317044793487"/>
  </r>
  <r>
    <x v="515"/>
    <x v="228"/>
    <x v="0"/>
    <d v="1900-01-09T00:00:00"/>
    <x v="1"/>
    <s v="Patna"/>
    <s v="Sourav Das"/>
    <s v="Sourav Das"/>
    <x v="0"/>
    <x v="0"/>
    <s v="Televisions"/>
    <s v="Mi Tv 5X 43 Inch"/>
    <x v="0"/>
    <s v="Delivered"/>
    <n v="1"/>
    <n v="31760"/>
    <n v="0.2"/>
    <n v="23730"/>
    <n v="25408"/>
    <n v="23730"/>
    <n v="1678"/>
    <n v="6.6042191435768269E-2"/>
  </r>
  <r>
    <x v="516"/>
    <x v="229"/>
    <x v="0"/>
    <d v="1900-01-09T00:00:00"/>
    <x v="3"/>
    <s v="Chennai"/>
    <s v="Anjali Menon"/>
    <s v="Anjali Menon"/>
    <x v="0"/>
    <x v="1"/>
    <s v="Washing Machines"/>
    <s v="Ifb Front Load 7Kg"/>
    <x v="1"/>
    <s v="Returned"/>
    <n v="2"/>
    <n v="36600"/>
    <n v="0.25"/>
    <n v="25290"/>
    <n v="54900"/>
    <n v="50580"/>
    <n v="4320"/>
    <n v="7.8688524590163941E-2"/>
  </r>
  <r>
    <x v="517"/>
    <x v="230"/>
    <x v="0"/>
    <d v="1900-01-09T00:00:00"/>
    <x v="0"/>
    <s v="Pune"/>
    <s v="Imran Sheikh"/>
    <s v="Imran Sheikh"/>
    <x v="1"/>
    <x v="2"/>
    <s v="Apparel"/>
    <s v="Levis 511 Jeans"/>
    <x v="0"/>
    <s v="Delivered"/>
    <n v="44"/>
    <n v="2980"/>
    <n v="0.2"/>
    <n v="2040"/>
    <n v="104896"/>
    <n v="89760"/>
    <n v="15136"/>
    <n v="0.14429530201342283"/>
  </r>
  <r>
    <x v="518"/>
    <x v="230"/>
    <x v="0"/>
    <d v="1900-01-09T00:00:00"/>
    <x v="1"/>
    <s v="Kolkata"/>
    <s v="Sourav Das"/>
    <s v="Sourav Das"/>
    <x v="2"/>
    <x v="0"/>
    <s v="Televisions"/>
    <s v="Samsung Crystal 4K 55 Inch"/>
    <x v="0"/>
    <s v="Delivered"/>
    <n v="2"/>
    <n v="53710"/>
    <n v="0.15"/>
    <n v="35290"/>
    <n v="91307"/>
    <n v="70580"/>
    <n v="20727"/>
    <n v="0.22700340609153735"/>
  </r>
  <r>
    <x v="519"/>
    <x v="230"/>
    <x v="0"/>
    <d v="1900-01-09T00:00:00"/>
    <x v="1"/>
    <s v="Patna"/>
    <s v="Sourav Das"/>
    <s v="Sourav Das"/>
    <x v="2"/>
    <x v="2"/>
    <s v="Apparel"/>
    <s v="Us Polo T-Shirt"/>
    <x v="0"/>
    <s v="Delivered"/>
    <n v="19"/>
    <n v="1160"/>
    <n v="0.05"/>
    <n v="780"/>
    <n v="20938"/>
    <n v="14820"/>
    <n v="6118"/>
    <n v="0.29219600725952816"/>
  </r>
  <r>
    <x v="520"/>
    <x v="231"/>
    <x v="0"/>
    <d v="1900-01-09T00:00:00"/>
    <x v="2"/>
    <s v="Jaipur"/>
    <s v="Aditya Verma"/>
    <s v="Aditya Verma"/>
    <x v="0"/>
    <x v="2"/>
    <s v="Accessories"/>
    <s v="Wildcraft 35L Backpack"/>
    <x v="1"/>
    <s v="Delivered"/>
    <n v="22"/>
    <n v="1920"/>
    <n v="0.05"/>
    <n v="1290"/>
    <n v="40128"/>
    <n v="28380"/>
    <n v="11748"/>
    <n v="0.29276315789473684"/>
  </r>
  <r>
    <x v="521"/>
    <x v="231"/>
    <x v="0"/>
    <d v="1900-01-09T00:00:00"/>
    <x v="1"/>
    <s v="Patna"/>
    <s v="Ritika Ghosh"/>
    <s v="Ritika Ghosh"/>
    <x v="0"/>
    <x v="0"/>
    <s v="Televisions"/>
    <s v="Samsung Crystal 4K 55 Inch"/>
    <x v="0"/>
    <s v="Delivered"/>
    <n v="2"/>
    <n v="55580"/>
    <n v="0"/>
    <n v="33350"/>
    <n v="111160"/>
    <n v="66700"/>
    <n v="44460"/>
    <n v="0.39996401583303348"/>
  </r>
  <r>
    <x v="522"/>
    <x v="231"/>
    <x v="0"/>
    <d v="1900-01-09T00:00:00"/>
    <x v="0"/>
    <s v="Mumbai"/>
    <s v="Imran Sheikh"/>
    <s v="Imran Sheikh"/>
    <x v="1"/>
    <x v="4"/>
    <s v="Fitness Equipment"/>
    <s v="Home Foldable Treadmill"/>
    <x v="2"/>
    <s v="Delivered"/>
    <n v="3"/>
    <n v="42840"/>
    <n v="0.1"/>
    <n v="24640"/>
    <n v="115668"/>
    <n v="73920"/>
    <n v="41748"/>
    <n v="0.3609295570079884"/>
  </r>
  <r>
    <x v="523"/>
    <x v="232"/>
    <x v="0"/>
    <d v="1900-01-09T00:00:00"/>
    <x v="1"/>
    <s v="Kolkata"/>
    <s v="Ritika Ghosh"/>
    <s v="Ritika Ghosh"/>
    <x v="0"/>
    <x v="4"/>
    <s v="Fitness Equipment"/>
    <s v="Home Foldable Treadmill"/>
    <x v="0"/>
    <s v="Delivered"/>
    <n v="1"/>
    <n v="42710"/>
    <n v="0.05"/>
    <n v="32500"/>
    <n v="40574.5"/>
    <n v="32500"/>
    <n v="8074.5"/>
    <n v="0.19900430073075454"/>
  </r>
  <r>
    <x v="524"/>
    <x v="233"/>
    <x v="0"/>
    <d v="1900-01-09T00:00:00"/>
    <x v="2"/>
    <s v="Lucknow"/>
    <s v="Rohit Malhotra"/>
    <s v="Rohit Malhotra"/>
    <x v="3"/>
    <x v="2"/>
    <s v="Footwear"/>
    <s v="Bata Formal Shoes"/>
    <x v="1"/>
    <s v="Delivered"/>
    <n v="59"/>
    <n v="2350"/>
    <n v="0"/>
    <n v="1410"/>
    <n v="138650"/>
    <n v="83190"/>
    <n v="55460"/>
    <n v="0.4"/>
  </r>
  <r>
    <x v="525"/>
    <x v="233"/>
    <x v="0"/>
    <d v="1900-01-09T00:00:00"/>
    <x v="1"/>
    <s v="Ranchi"/>
    <s v="Sourav Das"/>
    <s v="Sourav Das"/>
    <x v="3"/>
    <x v="1"/>
    <s v="Washing Machines"/>
    <s v="Ifb Front Load 7Kg"/>
    <x v="0"/>
    <s v="Delivered"/>
    <n v="6"/>
    <n v="35810"/>
    <n v="0.1"/>
    <n v="27570"/>
    <n v="193374"/>
    <n v="165420"/>
    <n v="27954"/>
    <n v="0.14455924788234198"/>
  </r>
  <r>
    <x v="526"/>
    <x v="233"/>
    <x v="0"/>
    <d v="1900-01-09T00:00:00"/>
    <x v="1"/>
    <s v="Patna"/>
    <s v="Sourav Das"/>
    <s v="Sourav Das"/>
    <x v="3"/>
    <x v="2"/>
    <s v="Apparel"/>
    <s v="Levis 511 Jeans"/>
    <x v="1"/>
    <s v="Delivered"/>
    <n v="36"/>
    <n v="2750"/>
    <n v="0.12"/>
    <n v="1660"/>
    <n v="87120"/>
    <n v="59760"/>
    <n v="27360"/>
    <n v="0.31404958677685951"/>
  </r>
  <r>
    <x v="527"/>
    <x v="233"/>
    <x v="0"/>
    <d v="1900-01-09T00:00:00"/>
    <x v="4"/>
    <s v="Gwalior"/>
    <s v="Pooja Chouhan"/>
    <s v="Pooja Chouhan"/>
    <x v="3"/>
    <x v="2"/>
    <s v="Accessories"/>
    <s v="Fastrack Analog Watch"/>
    <x v="1"/>
    <s v="Delivered"/>
    <n v="13"/>
    <n v="2540"/>
    <n v="0.12"/>
    <n v="1850"/>
    <n v="29057.599999999999"/>
    <n v="24050"/>
    <n v="5007.5999999999985"/>
    <n v="0.17233357193987112"/>
  </r>
  <r>
    <x v="528"/>
    <x v="233"/>
    <x v="0"/>
    <d v="1900-01-09T00:00:00"/>
    <x v="2"/>
    <s v="Delhi"/>
    <s v="Rohit Malhotra"/>
    <s v="Rohit Malhotra"/>
    <x v="2"/>
    <x v="2"/>
    <s v="Apparel"/>
    <s v="Levis 511 Jeans"/>
    <x v="0"/>
    <s v="Delivered"/>
    <n v="6"/>
    <n v="2780"/>
    <n v="0.1"/>
    <n v="2070"/>
    <n v="15012"/>
    <n v="12420"/>
    <n v="2592"/>
    <n v="0.17266187050359713"/>
  </r>
  <r>
    <x v="529"/>
    <x v="233"/>
    <x v="0"/>
    <d v="1900-01-09T00:00:00"/>
    <x v="1"/>
    <s v="Patna"/>
    <s v="Ritika Ghosh"/>
    <s v="Ritika Ghosh"/>
    <x v="2"/>
    <x v="0"/>
    <s v="Televisions"/>
    <s v="Samsung Crystal 4K 55 Inch"/>
    <x v="0"/>
    <s v="Delivered"/>
    <n v="4"/>
    <n v="53950"/>
    <n v="0.2"/>
    <n v="33630"/>
    <n v="172640"/>
    <n v="134520"/>
    <n v="38120"/>
    <n v="0.22080630213160335"/>
  </r>
  <r>
    <x v="530"/>
    <x v="233"/>
    <x v="0"/>
    <d v="1900-01-09T00:00:00"/>
    <x v="1"/>
    <s v="Guwahati"/>
    <s v="Sourav Das"/>
    <s v="Sourav Das"/>
    <x v="2"/>
    <x v="0"/>
    <s v="Audio Devices"/>
    <s v="Jbl Flip 6"/>
    <x v="0"/>
    <s v="Delivered"/>
    <n v="15"/>
    <n v="9740"/>
    <n v="0"/>
    <n v="7620"/>
    <n v="146100"/>
    <n v="114300"/>
    <n v="31800"/>
    <n v="0.21765913757700206"/>
  </r>
  <r>
    <x v="531"/>
    <x v="234"/>
    <x v="0"/>
    <d v="1900-01-09T00:00:00"/>
    <x v="4"/>
    <s v="Indore"/>
    <s v="Pooja Chouhan"/>
    <s v="Pooja Chouhan"/>
    <x v="3"/>
    <x v="1"/>
    <s v="Air Conditioners"/>
    <s v="Voltas 1.5T Inverter Ac"/>
    <x v="1"/>
    <s v="Delivered"/>
    <n v="2"/>
    <n v="37260"/>
    <n v="0.1"/>
    <n v="23230"/>
    <n v="67068"/>
    <n v="46460"/>
    <n v="20608"/>
    <n v="0.30727023319615915"/>
  </r>
  <r>
    <x v="532"/>
    <x v="235"/>
    <x v="0"/>
    <d v="1900-01-09T00:00:00"/>
    <x v="0"/>
    <s v="Nagpur"/>
    <s v="Imran Sheikh"/>
    <s v="Imran Sheikh"/>
    <x v="0"/>
    <x v="3"/>
    <s v="Sofas"/>
    <s v="3-Seater Fabric Sofa"/>
    <x v="1"/>
    <s v="Delivered"/>
    <n v="3"/>
    <n v="34340"/>
    <n v="0"/>
    <n v="19400"/>
    <n v="103020"/>
    <n v="58200"/>
    <n v="44820"/>
    <n v="0.43506115317414096"/>
  </r>
  <r>
    <x v="533"/>
    <x v="236"/>
    <x v="0"/>
    <d v="1900-01-09T00:00:00"/>
    <x v="0"/>
    <s v="Pune"/>
    <s v="Neha Deshpande"/>
    <s v="Neha Deshpande"/>
    <x v="2"/>
    <x v="1"/>
    <s v="Air Conditioners"/>
    <s v="Voltas 1.5T Inverter Ac"/>
    <x v="1"/>
    <s v="Delivered"/>
    <n v="4"/>
    <n v="35650"/>
    <n v="0.15"/>
    <n v="22200"/>
    <n v="121210"/>
    <n v="88800"/>
    <n v="32410"/>
    <n v="0.26738717927563732"/>
  </r>
  <r>
    <x v="534"/>
    <x v="236"/>
    <x v="0"/>
    <d v="1900-01-09T00:00:00"/>
    <x v="3"/>
    <s v="Kochi"/>
    <s v="Karthik Raman"/>
    <s v="Karthik Raman"/>
    <x v="1"/>
    <x v="0"/>
    <s v="Audio Devices"/>
    <s v="Boat Airdopes 141"/>
    <x v="2"/>
    <s v="Delivered"/>
    <n v="31"/>
    <n v="1790"/>
    <n v="0.12"/>
    <n v="1300"/>
    <n v="48831.199999999997"/>
    <n v="40300"/>
    <n v="8531.1999999999971"/>
    <n v="0.1747079735906551"/>
  </r>
  <r>
    <x v="535"/>
    <x v="237"/>
    <x v="0"/>
    <d v="1900-01-09T00:00:00"/>
    <x v="3"/>
    <s v="Chennai"/>
    <s v="Karthik Raman"/>
    <s v="Karthik Raman"/>
    <x v="3"/>
    <x v="0"/>
    <s v="Mobile Phones"/>
    <s v="Redmi Note 14"/>
    <x v="1"/>
    <s v="Shipped"/>
    <n v="6"/>
    <n v="17510"/>
    <n v="0"/>
    <n v="10610"/>
    <n v="105060"/>
    <n v="63660"/>
    <n v="41400"/>
    <n v="0.39406053683609366"/>
  </r>
  <r>
    <x v="536"/>
    <x v="237"/>
    <x v="0"/>
    <d v="1900-01-09T00:00:00"/>
    <x v="4"/>
    <s v="Ujjain"/>
    <s v="Pooja Chouhan"/>
    <s v="Pooja Chouhan"/>
    <x v="0"/>
    <x v="2"/>
    <s v="Accessories"/>
    <s v="Fastrack Analog Watch"/>
    <x v="2"/>
    <s v="Delivered"/>
    <n v="34"/>
    <n v="2410"/>
    <n v="0.15"/>
    <n v="1660"/>
    <n v="69649"/>
    <n v="56440"/>
    <n v="13209"/>
    <n v="0.18965096412008786"/>
  </r>
  <r>
    <x v="537"/>
    <x v="238"/>
    <x v="0"/>
    <d v="1900-01-09T00:00:00"/>
    <x v="2"/>
    <s v="Jaipur"/>
    <s v="Aditya Verma"/>
    <s v="Aditya Verma"/>
    <x v="2"/>
    <x v="1"/>
    <s v="Air Conditioners"/>
    <s v="Daikin 1.5T Split Ac"/>
    <x v="0"/>
    <s v="Delivered"/>
    <n v="4"/>
    <n v="42580"/>
    <n v="0.1"/>
    <n v="24140"/>
    <n v="153288"/>
    <n v="96560"/>
    <n v="56728"/>
    <n v="0.3700746307603987"/>
  </r>
  <r>
    <x v="538"/>
    <x v="238"/>
    <x v="0"/>
    <d v="1900-01-09T00:00:00"/>
    <x v="2"/>
    <s v="Chandigarh"/>
    <s v="Rohit Malhotra"/>
    <s v="Rohit Malhotra"/>
    <x v="2"/>
    <x v="0"/>
    <s v="Audio Devices"/>
    <s v="Sony Wh-Ch720N"/>
    <x v="0"/>
    <s v="Delivered"/>
    <n v="7"/>
    <n v="8110"/>
    <n v="0.12"/>
    <n v="5810"/>
    <n v="49957.599999999999"/>
    <n v="40670"/>
    <n v="9287.5999999999985"/>
    <n v="0.18590965138437393"/>
  </r>
  <r>
    <x v="539"/>
    <x v="238"/>
    <x v="0"/>
    <d v="1900-01-09T00:00:00"/>
    <x v="3"/>
    <s v="Chennai"/>
    <s v="Anjali Menon"/>
    <s v="Anjali Menon"/>
    <x v="0"/>
    <x v="2"/>
    <s v="Footwear"/>
    <s v="Nike Revolution 7"/>
    <x v="0"/>
    <s v="Shipped"/>
    <n v="11"/>
    <n v="4030"/>
    <n v="0"/>
    <n v="2730"/>
    <n v="44330"/>
    <n v="30030"/>
    <n v="14300"/>
    <n v="0.32258064516129031"/>
  </r>
  <r>
    <x v="540"/>
    <x v="239"/>
    <x v="0"/>
    <d v="1900-01-09T00:00:00"/>
    <x v="3"/>
    <s v="Kochi"/>
    <s v="Divya Nair"/>
    <s v="Divya Nair"/>
    <x v="0"/>
    <x v="2"/>
    <s v="Footwear"/>
    <s v="Campus Running Shoes"/>
    <x v="0"/>
    <s v="Delivered"/>
    <n v="11"/>
    <n v="1660"/>
    <n v="0.1"/>
    <n v="1220"/>
    <n v="16434"/>
    <n v="13420"/>
    <n v="3014"/>
    <n v="0.18340026773761714"/>
  </r>
  <r>
    <x v="541"/>
    <x v="240"/>
    <x v="0"/>
    <d v="1900-01-09T00:00:00"/>
    <x v="1"/>
    <s v="Bhubaneswar"/>
    <s v="Sourav Das"/>
    <s v="Sourav Das"/>
    <x v="3"/>
    <x v="2"/>
    <s v="Footwear"/>
    <s v="Nike Revolution 7"/>
    <x v="1"/>
    <s v="Delivered"/>
    <n v="30"/>
    <n v="3850"/>
    <n v="0.15"/>
    <n v="2170"/>
    <n v="98175"/>
    <n v="65100"/>
    <n v="33075"/>
    <n v="0.33689839572192515"/>
  </r>
  <r>
    <x v="542"/>
    <x v="241"/>
    <x v="0"/>
    <d v="1900-01-09T00:00:00"/>
    <x v="0"/>
    <s v="Mumbai"/>
    <s v="Prateek Shah"/>
    <s v="Prateek Shah"/>
    <x v="3"/>
    <x v="3"/>
    <s v="Tables"/>
    <s v="Study Table Engineered Wood"/>
    <x v="1"/>
    <s v="Delivered"/>
    <n v="4"/>
    <n v="8290"/>
    <n v="0.18"/>
    <n v="5930"/>
    <n v="27191.200000000001"/>
    <n v="23720"/>
    <n v="3471.2000000000007"/>
    <n v="0.12765894848333287"/>
  </r>
  <r>
    <x v="543"/>
    <x v="241"/>
    <x v="0"/>
    <d v="1900-01-09T00:00:00"/>
    <x v="2"/>
    <s v="Lucknow"/>
    <s v="Rohit Malhotra"/>
    <s v="Rohit Malhotra"/>
    <x v="0"/>
    <x v="3"/>
    <s v="Tables"/>
    <s v="Study Table Engineered Wood"/>
    <x v="2"/>
    <s v="Returned"/>
    <n v="7"/>
    <n v="9070"/>
    <n v="0"/>
    <n v="6150"/>
    <n v="63490"/>
    <n v="43050"/>
    <n v="20440"/>
    <n v="0.32194046306504959"/>
  </r>
  <r>
    <x v="544"/>
    <x v="242"/>
    <x v="0"/>
    <d v="1900-01-09T00:00:00"/>
    <x v="0"/>
    <s v="Nashik"/>
    <s v="Neha Deshpande"/>
    <s v="Neha Deshpande"/>
    <x v="2"/>
    <x v="1"/>
    <s v="Air Conditioners"/>
    <s v="Daikin 1.5T Split Ac"/>
    <x v="0"/>
    <s v="Shipped"/>
    <n v="1"/>
    <n v="44430"/>
    <n v="0.15"/>
    <n v="34550"/>
    <n v="37765.5"/>
    <n v="34550"/>
    <n v="3215.5"/>
    <n v="8.5143848221260143E-2"/>
  </r>
  <r>
    <x v="545"/>
    <x v="242"/>
    <x v="0"/>
    <d v="1900-01-09T00:00:00"/>
    <x v="4"/>
    <s v="Raipur"/>
    <s v="Manish Tiwari"/>
    <s v="Manish Tiwari"/>
    <x v="3"/>
    <x v="1"/>
    <s v="Washing Machines"/>
    <s v="Whirlpool Semi Auto 7.5Kg"/>
    <x v="1"/>
    <s v="Shipped"/>
    <n v="16"/>
    <n v="14890"/>
    <n v="0.1"/>
    <n v="8440"/>
    <n v="214416"/>
    <n v="135040"/>
    <n v="79376"/>
    <n v="0.37019625401089473"/>
  </r>
  <r>
    <x v="546"/>
    <x v="242"/>
    <x v="0"/>
    <d v="1900-01-09T00:00:00"/>
    <x v="4"/>
    <s v="Ujjain"/>
    <s v="Pooja Chouhan"/>
    <s v="Pooja Chouhan"/>
    <x v="1"/>
    <x v="1"/>
    <s v="Refrigerators"/>
    <s v="Lg 260L Double Door"/>
    <x v="1"/>
    <s v="Pending"/>
    <n v="1"/>
    <n v="29450"/>
    <n v="0.1"/>
    <n v="22800"/>
    <n v="26505"/>
    <n v="22800"/>
    <n v="3705"/>
    <n v="0.13978494623655913"/>
  </r>
  <r>
    <x v="547"/>
    <x v="242"/>
    <x v="0"/>
    <d v="1900-01-09T00:00:00"/>
    <x v="2"/>
    <s v="Noida"/>
    <s v="Simran Kaur"/>
    <s v="Simran Kaur"/>
    <x v="1"/>
    <x v="4"/>
    <s v="Fitness Equipment"/>
    <s v="Home Foldable Treadmill"/>
    <x v="1"/>
    <s v="Delivered"/>
    <n v="4"/>
    <n v="40120"/>
    <n v="0.1"/>
    <n v="29430"/>
    <n v="144432"/>
    <n v="117720"/>
    <n v="26712"/>
    <n v="0.18494516450648055"/>
  </r>
  <r>
    <x v="548"/>
    <x v="243"/>
    <x v="0"/>
    <d v="1900-01-09T00:00:00"/>
    <x v="4"/>
    <s v="Bhopal"/>
    <s v="Pooja Chouhan"/>
    <s v="Pooja Chouhan"/>
    <x v="3"/>
    <x v="0"/>
    <s v="Televisions"/>
    <s v="Mi Tv 5X 43 Inch"/>
    <x v="1"/>
    <s v="Delivered"/>
    <n v="3"/>
    <n v="31370"/>
    <n v="0.15"/>
    <n v="22560"/>
    <n v="79993.5"/>
    <n v="67680"/>
    <n v="12313.5"/>
    <n v="0.15393125691462431"/>
  </r>
  <r>
    <x v="549"/>
    <x v="243"/>
    <x v="0"/>
    <d v="1900-01-09T00:00:00"/>
    <x v="3"/>
    <s v="Visakhapatnam"/>
    <s v="Karthik Raman"/>
    <s v="Karthik Raman"/>
    <x v="3"/>
    <x v="0"/>
    <s v="Televisions"/>
    <s v="Samsung Crystal 4K 55 Inch"/>
    <x v="2"/>
    <s v="Delivered"/>
    <n v="9"/>
    <n v="51460"/>
    <n v="0.15"/>
    <n v="29980"/>
    <n v="393669"/>
    <n v="269820"/>
    <n v="123849"/>
    <n v="0.31460186095425346"/>
  </r>
  <r>
    <x v="550"/>
    <x v="243"/>
    <x v="0"/>
    <d v="1900-01-09T00:00:00"/>
    <x v="2"/>
    <s v="Delhi"/>
    <s v="Simran Kaur"/>
    <s v="Simran Kaur"/>
    <x v="0"/>
    <x v="0"/>
    <s v="Televisions"/>
    <s v="Samsung Crystal 4K 55 Inch"/>
    <x v="0"/>
    <s v="Pending"/>
    <n v="4"/>
    <n v="51440"/>
    <n v="0.25"/>
    <n v="37510"/>
    <n v="154320"/>
    <n v="150040"/>
    <n v="4280"/>
    <n v="2.7734577501296008E-2"/>
  </r>
  <r>
    <x v="551"/>
    <x v="244"/>
    <x v="0"/>
    <d v="1900-01-09T00:00:00"/>
    <x v="2"/>
    <s v="Noida"/>
    <s v="Simran Kaur"/>
    <s v="Simran Kaur"/>
    <x v="2"/>
    <x v="1"/>
    <s v="Air Conditioners"/>
    <s v="Daikin 1.5T Split Ac"/>
    <x v="0"/>
    <s v="Shipped"/>
    <n v="4"/>
    <n v="45210"/>
    <n v="0.05"/>
    <n v="27930"/>
    <n v="171798"/>
    <n v="111720"/>
    <n v="60078"/>
    <n v="0.34970139349701396"/>
  </r>
  <r>
    <x v="552"/>
    <x v="244"/>
    <x v="0"/>
    <d v="1900-01-09T00:00:00"/>
    <x v="4"/>
    <s v="Bhopal"/>
    <s v="Pooja Chouhan"/>
    <s v="Pooja Chouhan"/>
    <x v="0"/>
    <x v="3"/>
    <s v="Office Chairs"/>
    <s v="Green Soul Ergonomic Chair"/>
    <x v="0"/>
    <s v="Shipped"/>
    <n v="5"/>
    <n v="12570"/>
    <n v="0.12"/>
    <n v="8920"/>
    <n v="55308"/>
    <n v="44600"/>
    <n v="10708"/>
    <n v="0.19360671150647285"/>
  </r>
  <r>
    <x v="553"/>
    <x v="245"/>
    <x v="0"/>
    <d v="1900-01-09T00:00:00"/>
    <x v="0"/>
    <s v="Nashik"/>
    <s v="Imran Sheikh"/>
    <s v="Imran Sheikh"/>
    <x v="2"/>
    <x v="1"/>
    <s v="Washing Machines"/>
    <s v="Whirlpool Semi Auto 7.5Kg"/>
    <x v="0"/>
    <s v="Delivered"/>
    <n v="5"/>
    <n v="14370"/>
    <n v="0.12"/>
    <n v="11090"/>
    <n v="63228"/>
    <n v="55450"/>
    <n v="7778"/>
    <n v="0.12301511988359587"/>
  </r>
  <r>
    <x v="554"/>
    <x v="245"/>
    <x v="0"/>
    <d v="1900-01-09T00:00:00"/>
    <x v="3"/>
    <s v="Visakhapatnam"/>
    <s v="Divya Nair"/>
    <s v="Divya Nair"/>
    <x v="2"/>
    <x v="0"/>
    <s v="Mobile Phones"/>
    <s v="Redmi Note 14"/>
    <x v="1"/>
    <s v="Shipped"/>
    <n v="1"/>
    <n v="18110"/>
    <n v="0.15"/>
    <n v="10630"/>
    <n v="15393.5"/>
    <n v="10630"/>
    <n v="4763.5"/>
    <n v="0.30944879332185665"/>
  </r>
  <r>
    <x v="555"/>
    <x v="245"/>
    <x v="0"/>
    <d v="1900-01-09T00:00:00"/>
    <x v="2"/>
    <s v="Delhi"/>
    <s v="Simran Kaur"/>
    <s v="Simran Kaur"/>
    <x v="0"/>
    <x v="1"/>
    <s v="Washing Machines"/>
    <s v="Ifb Front Load 7Kg"/>
    <x v="0"/>
    <s v="Shipped"/>
    <n v="3"/>
    <n v="33570"/>
    <n v="0"/>
    <n v="19670"/>
    <n v="100710"/>
    <n v="59010"/>
    <n v="41700"/>
    <n v="0.41406017277330948"/>
  </r>
  <r>
    <x v="556"/>
    <x v="246"/>
    <x v="0"/>
    <d v="1900-01-10T00:00:00"/>
    <x v="3"/>
    <s v="Kochi"/>
    <s v="Anjali Menon"/>
    <s v="Anjali Menon"/>
    <x v="2"/>
    <x v="2"/>
    <s v="Footwear"/>
    <s v="Bata Formal Shoes"/>
    <x v="2"/>
    <s v="Delivered"/>
    <n v="39"/>
    <n v="2300"/>
    <n v="0.15"/>
    <n v="1550"/>
    <n v="76245"/>
    <n v="60450"/>
    <n v="15795"/>
    <n v="0.20716112531969311"/>
  </r>
  <r>
    <x v="557"/>
    <x v="246"/>
    <x v="0"/>
    <d v="1900-01-10T00:00:00"/>
    <x v="2"/>
    <s v="Lucknow"/>
    <s v="Aditya Verma"/>
    <s v="Aditya Verma"/>
    <x v="3"/>
    <x v="1"/>
    <s v="Air Conditioners"/>
    <s v="Daikin 1.5T Split Ac"/>
    <x v="2"/>
    <s v="Shipped"/>
    <n v="2"/>
    <n v="40890"/>
    <n v="0.05"/>
    <n v="29000"/>
    <n v="77691"/>
    <n v="58000"/>
    <n v="19691"/>
    <n v="0.25345278088839118"/>
  </r>
  <r>
    <x v="558"/>
    <x v="246"/>
    <x v="0"/>
    <d v="1900-01-10T00:00:00"/>
    <x v="1"/>
    <s v="Patna"/>
    <s v="Sourav Das"/>
    <s v="Sourav Das"/>
    <x v="0"/>
    <x v="0"/>
    <s v="Laptops"/>
    <s v="Macbook Air M3"/>
    <x v="2"/>
    <s v="Delivered"/>
    <n v="2"/>
    <n v="102140"/>
    <n v="0.05"/>
    <n v="57430"/>
    <n v="194066"/>
    <n v="114860"/>
    <n v="79206"/>
    <n v="0.40813949893335255"/>
  </r>
  <r>
    <x v="559"/>
    <x v="247"/>
    <x v="0"/>
    <d v="1900-01-10T00:00:00"/>
    <x v="2"/>
    <s v="Noida"/>
    <s v="Aditya Verma"/>
    <s v="Aditya Verma"/>
    <x v="3"/>
    <x v="0"/>
    <s v="Laptops"/>
    <s v="Macbook Air M3"/>
    <x v="2"/>
    <s v="Delivered"/>
    <n v="2"/>
    <n v="108360"/>
    <n v="0.12"/>
    <n v="66440"/>
    <n v="190713.60000000001"/>
    <n v="132880"/>
    <n v="57833.600000000006"/>
    <n v="0.30324843115540789"/>
  </r>
  <r>
    <x v="560"/>
    <x v="248"/>
    <x v="0"/>
    <d v="1900-01-10T00:00:00"/>
    <x v="0"/>
    <s v="Nashik"/>
    <s v="Neha Deshpande"/>
    <s v="Neha Deshpande"/>
    <x v="0"/>
    <x v="0"/>
    <s v="Televisions"/>
    <s v="Samsung Crystal 4K 55 Inch"/>
    <x v="1"/>
    <s v="Delivered"/>
    <n v="3"/>
    <n v="52050"/>
    <n v="0"/>
    <n v="38650"/>
    <n v="156150"/>
    <n v="115950"/>
    <n v="40200"/>
    <n v="0.2574447646493756"/>
  </r>
  <r>
    <x v="561"/>
    <x v="249"/>
    <x v="0"/>
    <d v="1900-01-10T00:00:00"/>
    <x v="1"/>
    <s v="Patna"/>
    <s v="Ritika Ghosh"/>
    <s v="Ritika Ghosh"/>
    <x v="0"/>
    <x v="3"/>
    <s v="Office Chairs"/>
    <s v="Green Soul Ergonomic Chair"/>
    <x v="1"/>
    <s v="Shipped"/>
    <n v="8"/>
    <n v="11870"/>
    <n v="0.1"/>
    <n v="8110"/>
    <n v="85464"/>
    <n v="64880"/>
    <n v="20584"/>
    <n v="0.24084994851633437"/>
  </r>
  <r>
    <x v="562"/>
    <x v="249"/>
    <x v="0"/>
    <d v="1900-01-10T00:00:00"/>
    <x v="4"/>
    <s v="Jabalpur"/>
    <s v="Pooja Chouhan"/>
    <s v="Pooja Chouhan"/>
    <x v="2"/>
    <x v="2"/>
    <s v="Apparel"/>
    <s v="Levis 511 Jeans"/>
    <x v="0"/>
    <s v="Returned"/>
    <n v="18"/>
    <n v="2820"/>
    <n v="0.1"/>
    <n v="2140"/>
    <n v="45684"/>
    <n v="38520"/>
    <n v="7164"/>
    <n v="0.15681639085894405"/>
  </r>
  <r>
    <x v="563"/>
    <x v="249"/>
    <x v="0"/>
    <d v="1900-01-10T00:00:00"/>
    <x v="3"/>
    <s v="Coimbatore"/>
    <s v="Anjali Menon"/>
    <s v="Anjali Menon"/>
    <x v="0"/>
    <x v="0"/>
    <s v="Audio Devices"/>
    <s v="Sony Wh-Ch720N"/>
    <x v="0"/>
    <s v="Delivered"/>
    <n v="3"/>
    <n v="9070"/>
    <n v="0.12"/>
    <n v="6990"/>
    <n v="23944.799999999999"/>
    <n v="20970"/>
    <n v="2974.7999999999993"/>
    <n v="0.12423574220707626"/>
  </r>
  <r>
    <x v="564"/>
    <x v="249"/>
    <x v="0"/>
    <d v="1900-01-10T00:00:00"/>
    <x v="2"/>
    <s v="Jaipur"/>
    <s v="Simran Kaur"/>
    <s v="Simran Kaur"/>
    <x v="3"/>
    <x v="2"/>
    <s v="Apparel"/>
    <s v="Allen Solly Formal Shirt"/>
    <x v="0"/>
    <s v="Delivered"/>
    <n v="38"/>
    <n v="1830"/>
    <n v="0.1"/>
    <n v="1380"/>
    <n v="62586"/>
    <n v="52440"/>
    <n v="10146"/>
    <n v="0.16211293260473589"/>
  </r>
  <r>
    <x v="565"/>
    <x v="250"/>
    <x v="0"/>
    <d v="1900-01-10T00:00:00"/>
    <x v="3"/>
    <s v="Visakhapatnam"/>
    <s v="Karthik Raman"/>
    <s v="Karthik Raman"/>
    <x v="0"/>
    <x v="2"/>
    <s v="Apparel"/>
    <s v="Allen Solly Formal Shirt"/>
    <x v="2"/>
    <s v="Delivered"/>
    <n v="8"/>
    <n v="1890"/>
    <n v="0"/>
    <n v="1370"/>
    <n v="15120"/>
    <n v="10960"/>
    <n v="4160"/>
    <n v="0.27513227513227512"/>
  </r>
  <r>
    <x v="566"/>
    <x v="250"/>
    <x v="0"/>
    <d v="1900-01-10T00:00:00"/>
    <x v="0"/>
    <s v="Nashik"/>
    <s v="Neha Deshpande"/>
    <s v="Neha Deshpande"/>
    <x v="2"/>
    <x v="1"/>
    <s v="Refrigerators"/>
    <s v="Lg 260L Double Door"/>
    <x v="0"/>
    <s v="Returned"/>
    <n v="6"/>
    <n v="27270"/>
    <n v="0"/>
    <n v="21040"/>
    <n v="163620"/>
    <n v="126240"/>
    <n v="37380"/>
    <n v="0.22845617895122847"/>
  </r>
  <r>
    <x v="567"/>
    <x v="250"/>
    <x v="0"/>
    <d v="1900-01-10T00:00:00"/>
    <x v="0"/>
    <s v="Pune"/>
    <s v="Neha Deshpande"/>
    <s v="Neha Deshpande"/>
    <x v="2"/>
    <x v="0"/>
    <s v="Televisions"/>
    <s v="Mi Tv 5X 43 Inch"/>
    <x v="2"/>
    <s v="Delivered"/>
    <n v="3"/>
    <n v="30820"/>
    <n v="0"/>
    <n v="23050"/>
    <n v="92460"/>
    <n v="69150"/>
    <n v="23310"/>
    <n v="0.25210902011680725"/>
  </r>
  <r>
    <x v="568"/>
    <x v="251"/>
    <x v="0"/>
    <d v="1900-01-10T00:00:00"/>
    <x v="3"/>
    <s v="Visakhapatnam"/>
    <s v="Karthik Raman"/>
    <s v="Karthik Raman"/>
    <x v="0"/>
    <x v="0"/>
    <s v="Televisions"/>
    <s v="Samsung Crystal 4K 55 Inch"/>
    <x v="0"/>
    <s v="Returned"/>
    <n v="2"/>
    <n v="50030"/>
    <n v="0.2"/>
    <n v="37220"/>
    <n v="80048"/>
    <n v="74440"/>
    <n v="5608"/>
    <n v="7.0057965220867477E-2"/>
  </r>
  <r>
    <x v="569"/>
    <x v="251"/>
    <x v="0"/>
    <d v="1900-01-10T00:00:00"/>
    <x v="0"/>
    <s v="Pune"/>
    <s v="Imran Sheikh"/>
    <s v="Imran Sheikh"/>
    <x v="0"/>
    <x v="0"/>
    <s v="Audio Devices"/>
    <s v="Jbl Flip 6"/>
    <x v="2"/>
    <s v="Delivered"/>
    <n v="12"/>
    <n v="9340"/>
    <n v="0.15"/>
    <n v="7210"/>
    <n v="95268"/>
    <n v="86520"/>
    <n v="8748"/>
    <n v="9.1825166897594152E-2"/>
  </r>
  <r>
    <x v="570"/>
    <x v="251"/>
    <x v="0"/>
    <d v="1900-01-10T00:00:00"/>
    <x v="3"/>
    <s v="Bengaluru"/>
    <s v="Divya Nair"/>
    <s v="Divya Nair"/>
    <x v="0"/>
    <x v="1"/>
    <s v="Washing Machines"/>
    <s v="Ifb Front Load 7Kg"/>
    <x v="1"/>
    <s v="Delivered"/>
    <n v="4"/>
    <n v="33880"/>
    <n v="0.15"/>
    <n v="19820"/>
    <n v="115192"/>
    <n v="79280"/>
    <n v="35912"/>
    <n v="0.31175776095562191"/>
  </r>
  <r>
    <x v="571"/>
    <x v="252"/>
    <x v="0"/>
    <d v="1900-01-10T00:00:00"/>
    <x v="3"/>
    <s v="Kochi"/>
    <s v="Karthik Raman"/>
    <s v="Karthik Raman"/>
    <x v="1"/>
    <x v="0"/>
    <s v="Laptops"/>
    <s v="Dell Inspiron 3520"/>
    <x v="1"/>
    <s v="Delivered"/>
    <n v="2"/>
    <n v="58880"/>
    <n v="0.1"/>
    <n v="40400"/>
    <n v="105984"/>
    <n v="80800"/>
    <n v="25184"/>
    <n v="0.2376207729468599"/>
  </r>
  <r>
    <x v="572"/>
    <x v="252"/>
    <x v="0"/>
    <d v="1900-01-10T00:00:00"/>
    <x v="2"/>
    <s v="Jaipur"/>
    <s v="Aditya Verma"/>
    <s v="Aditya Verma"/>
    <x v="3"/>
    <x v="3"/>
    <s v="Storage"/>
    <s v="Metal Shoe Rack"/>
    <x v="1"/>
    <s v="Delivered"/>
    <n v="12"/>
    <n v="3630"/>
    <n v="0.18"/>
    <n v="2200"/>
    <n v="35719.200000000004"/>
    <n v="26400"/>
    <n v="9319.2000000000044"/>
    <n v="0.26090169992609025"/>
  </r>
  <r>
    <x v="573"/>
    <x v="252"/>
    <x v="0"/>
    <d v="1900-01-10T00:00:00"/>
    <x v="2"/>
    <s v="Lucknow"/>
    <s v="Rohit Malhotra"/>
    <s v="Rohit Malhotra"/>
    <x v="0"/>
    <x v="1"/>
    <s v="Air Conditioners"/>
    <s v="Daikin 1.5T Split Ac"/>
    <x v="1"/>
    <s v="Returned"/>
    <n v="1"/>
    <n v="44660"/>
    <n v="0"/>
    <n v="32700"/>
    <n v="44660"/>
    <n v="32700"/>
    <n v="11960"/>
    <n v="0.26780116435288848"/>
  </r>
  <r>
    <x v="574"/>
    <x v="252"/>
    <x v="0"/>
    <d v="1900-01-10T00:00:00"/>
    <x v="2"/>
    <s v="Chandigarh"/>
    <s v="Aditya Verma"/>
    <s v="Aditya Verma"/>
    <x v="0"/>
    <x v="4"/>
    <s v="Activewear"/>
    <s v="Nivia Football Size 5"/>
    <x v="2"/>
    <s v="Delivered"/>
    <n v="16"/>
    <n v="940"/>
    <n v="0.12"/>
    <n v="580"/>
    <n v="13235.2"/>
    <n v="9280"/>
    <n v="3955.2000000000007"/>
    <n v="0.29883945841392656"/>
  </r>
  <r>
    <x v="575"/>
    <x v="252"/>
    <x v="0"/>
    <d v="1900-01-10T00:00:00"/>
    <x v="0"/>
    <s v="Nagpur"/>
    <s v="Neha Deshpande"/>
    <s v="Neha Deshpande"/>
    <x v="0"/>
    <x v="4"/>
    <s v="Sports Gear"/>
    <s v="Yonex Badminton Racket"/>
    <x v="0"/>
    <s v="Delivered"/>
    <n v="7"/>
    <n v="3140"/>
    <n v="0.15"/>
    <n v="1900"/>
    <n v="18683"/>
    <n v="13300"/>
    <n v="5383"/>
    <n v="0.28812289246908956"/>
  </r>
  <r>
    <x v="576"/>
    <x v="252"/>
    <x v="0"/>
    <d v="1900-01-10T00:00:00"/>
    <x v="3"/>
    <s v="Hyderabad"/>
    <s v="Karthik Raman"/>
    <s v="Karthik Raman"/>
    <x v="0"/>
    <x v="3"/>
    <s v="Sofas"/>
    <s v="Single Seater Recliner"/>
    <x v="2"/>
    <s v="Delivered"/>
    <n v="1"/>
    <n v="45570"/>
    <n v="0.2"/>
    <n v="26000"/>
    <n v="36456"/>
    <n v="26000"/>
    <n v="10456"/>
    <n v="0.28681149879306561"/>
  </r>
  <r>
    <x v="577"/>
    <x v="252"/>
    <x v="0"/>
    <d v="1900-01-10T00:00:00"/>
    <x v="4"/>
    <s v="Bhopal"/>
    <s v="Pooja Chouhan"/>
    <s v="Pooja Chouhan"/>
    <x v="0"/>
    <x v="4"/>
    <s v="Fitness Equipment"/>
    <s v="Adjustable Dumbbell Set 10Kg"/>
    <x v="2"/>
    <s v="Pending"/>
    <n v="4"/>
    <n v="2590"/>
    <n v="0.12"/>
    <n v="1820"/>
    <n v="9116.7999999999993"/>
    <n v="7280"/>
    <n v="1836.7999999999993"/>
    <n v="0.20147420147420142"/>
  </r>
  <r>
    <x v="578"/>
    <x v="253"/>
    <x v="0"/>
    <d v="1900-01-10T00:00:00"/>
    <x v="0"/>
    <s v="Nagpur"/>
    <s v="Imran Sheikh"/>
    <s v="Imran Sheikh"/>
    <x v="1"/>
    <x v="4"/>
    <s v="Sports Gear"/>
    <s v="Sg Cricket Bat English Willow"/>
    <x v="0"/>
    <s v="Delivered"/>
    <n v="19"/>
    <n v="4820"/>
    <n v="0.15"/>
    <n v="3490"/>
    <n v="77843"/>
    <n v="66310"/>
    <n v="11533"/>
    <n v="0.14815718818647791"/>
  </r>
  <r>
    <x v="579"/>
    <x v="253"/>
    <x v="0"/>
    <d v="1900-01-10T00:00:00"/>
    <x v="1"/>
    <s v="Guwahati"/>
    <s v="Sourav Das"/>
    <s v="Sourav Das"/>
    <x v="1"/>
    <x v="2"/>
    <s v="Accessories"/>
    <s v="Wildcraft 35L Backpack"/>
    <x v="1"/>
    <s v="Shipped"/>
    <n v="74"/>
    <n v="1840"/>
    <n v="0.1"/>
    <n v="1370"/>
    <n v="122544"/>
    <n v="101380"/>
    <n v="21164"/>
    <n v="0.17270531400966183"/>
  </r>
  <r>
    <x v="580"/>
    <x v="253"/>
    <x v="0"/>
    <d v="1900-01-10T00:00:00"/>
    <x v="4"/>
    <s v="Bhopal"/>
    <s v="Manish Tiwari"/>
    <s v="Manish Tiwari"/>
    <x v="2"/>
    <x v="1"/>
    <s v="Washing Machines"/>
    <s v="Whirlpool Semi Auto 7.5Kg"/>
    <x v="1"/>
    <s v="Delivered"/>
    <n v="1"/>
    <n v="14930"/>
    <n v="0.1"/>
    <n v="11620"/>
    <n v="13437"/>
    <n v="11620"/>
    <n v="1817"/>
    <n v="0.13522363622832478"/>
  </r>
  <r>
    <x v="581"/>
    <x v="253"/>
    <x v="0"/>
    <d v="1900-01-10T00:00:00"/>
    <x v="2"/>
    <s v="Lucknow"/>
    <s v="Rohit Malhotra"/>
    <s v="Rohit Malhotra"/>
    <x v="3"/>
    <x v="2"/>
    <s v="Accessories"/>
    <s v="Fastrack Analog Watch"/>
    <x v="1"/>
    <s v="Delivered"/>
    <n v="85"/>
    <n v="2520"/>
    <n v="0.05"/>
    <n v="1570"/>
    <n v="203490"/>
    <n v="133450"/>
    <n v="70040"/>
    <n v="0.34419381787802839"/>
  </r>
  <r>
    <x v="582"/>
    <x v="254"/>
    <x v="0"/>
    <d v="1900-01-10T00:00:00"/>
    <x v="4"/>
    <s v="Ujjain"/>
    <s v="Manish Tiwari"/>
    <s v="Manish Tiwari"/>
    <x v="0"/>
    <x v="2"/>
    <s v="Accessories"/>
    <s v="Fastrack Analog Watch"/>
    <x v="1"/>
    <s v="Delivered"/>
    <n v="18"/>
    <n v="2430"/>
    <n v="0.2"/>
    <n v="1750"/>
    <n v="34992"/>
    <n v="31500"/>
    <n v="3492"/>
    <n v="9.9794238683127576E-2"/>
  </r>
  <r>
    <x v="583"/>
    <x v="254"/>
    <x v="0"/>
    <d v="1900-01-10T00:00:00"/>
    <x v="3"/>
    <s v="Kochi"/>
    <s v="Divya Nair"/>
    <s v="Divya Nair"/>
    <x v="0"/>
    <x v="4"/>
    <s v="Activewear"/>
    <s v="Nivia Football Size 5"/>
    <x v="1"/>
    <s v="Delivered"/>
    <n v="32"/>
    <n v="910"/>
    <n v="0.15"/>
    <n v="600"/>
    <n v="24752"/>
    <n v="19200"/>
    <n v="5552"/>
    <n v="0.22430510665804784"/>
  </r>
  <r>
    <x v="584"/>
    <x v="254"/>
    <x v="0"/>
    <d v="1900-01-10T00:00:00"/>
    <x v="2"/>
    <s v="Lucknow"/>
    <s v="Rohit Malhotra"/>
    <s v="Rohit Malhotra"/>
    <x v="0"/>
    <x v="1"/>
    <s v="Kitchen Appliances"/>
    <s v="Prestige Mixer Grinder"/>
    <x v="1"/>
    <s v="Pending"/>
    <n v="11"/>
    <n v="4810"/>
    <n v="0.1"/>
    <n v="2890"/>
    <n v="47619"/>
    <n v="31790"/>
    <n v="15829"/>
    <n v="0.3324093324093324"/>
  </r>
  <r>
    <x v="585"/>
    <x v="254"/>
    <x v="0"/>
    <d v="1900-01-10T00:00:00"/>
    <x v="3"/>
    <s v="Chennai"/>
    <s v="Anjali Menon"/>
    <s v="Anjali Menon"/>
    <x v="3"/>
    <x v="2"/>
    <s v="Footwear"/>
    <s v="Bata Formal Shoes"/>
    <x v="0"/>
    <s v="Delivered"/>
    <n v="11"/>
    <n v="2290"/>
    <n v="0.18"/>
    <n v="1590"/>
    <n v="20655.800000000003"/>
    <n v="17490"/>
    <n v="3165.8000000000029"/>
    <n v="0.15326445840877634"/>
  </r>
  <r>
    <x v="586"/>
    <x v="254"/>
    <x v="0"/>
    <d v="1900-01-10T00:00:00"/>
    <x v="4"/>
    <s v="Bhopal"/>
    <s v="Manish Tiwari"/>
    <s v="Manish Tiwari"/>
    <x v="2"/>
    <x v="4"/>
    <s v="Sports Gear"/>
    <s v="Yonex Badminton Racket"/>
    <x v="0"/>
    <s v="Delivered"/>
    <n v="3"/>
    <n v="3450"/>
    <n v="0.15"/>
    <n v="2230"/>
    <n v="8797.5"/>
    <n v="6690"/>
    <n v="2107.5"/>
    <n v="0.23955669224211423"/>
  </r>
  <r>
    <x v="587"/>
    <x v="255"/>
    <x v="0"/>
    <d v="1900-01-10T00:00:00"/>
    <x v="4"/>
    <s v="Ujjain"/>
    <s v="Pooja Chouhan"/>
    <s v="Pooja Chouhan"/>
    <x v="0"/>
    <x v="1"/>
    <s v="Refrigerators"/>
    <s v="Lg 260L Double Door"/>
    <x v="0"/>
    <s v="Delivered"/>
    <n v="8"/>
    <n v="29970"/>
    <n v="0.1"/>
    <n v="22410"/>
    <n v="215784"/>
    <n v="179280"/>
    <n v="36504"/>
    <n v="0.16916916916916916"/>
  </r>
  <r>
    <x v="588"/>
    <x v="255"/>
    <x v="0"/>
    <d v="1900-01-10T00:00:00"/>
    <x v="3"/>
    <s v="Bengaluru"/>
    <s v="Karthik Raman"/>
    <s v="Karthik Raman"/>
    <x v="2"/>
    <x v="4"/>
    <s v="Fitness Equipment"/>
    <s v="Home Foldable Treadmill"/>
    <x v="1"/>
    <s v="Delivered"/>
    <n v="2"/>
    <n v="41490"/>
    <n v="0.1"/>
    <n v="28320"/>
    <n v="74682"/>
    <n v="56640"/>
    <n v="18042"/>
    <n v="0.24158431750622639"/>
  </r>
  <r>
    <x v="589"/>
    <x v="255"/>
    <x v="0"/>
    <d v="1900-01-10T00:00:00"/>
    <x v="3"/>
    <s v="Bengaluru"/>
    <s v="Anjali Menon"/>
    <s v="Anjali Menon"/>
    <x v="2"/>
    <x v="0"/>
    <s v="Televisions"/>
    <s v="Samsung Crystal 4K 55 Inch"/>
    <x v="2"/>
    <s v="Delivered"/>
    <n v="3"/>
    <n v="52220"/>
    <n v="0"/>
    <n v="36510"/>
    <n v="156660"/>
    <n v="109530"/>
    <n v="47130"/>
    <n v="0.30084258904634242"/>
  </r>
  <r>
    <x v="590"/>
    <x v="256"/>
    <x v="0"/>
    <d v="1900-01-10T00:00:00"/>
    <x v="1"/>
    <s v="Guwahati"/>
    <s v="Sourav Das"/>
    <s v="Sourav Das"/>
    <x v="3"/>
    <x v="0"/>
    <s v="Televisions"/>
    <s v="Samsung Crystal 4K 55 Inch"/>
    <x v="0"/>
    <s v="Delivered"/>
    <n v="6"/>
    <n v="55800"/>
    <n v="0.15"/>
    <n v="42310"/>
    <n v="284580"/>
    <n v="253860"/>
    <n v="30720"/>
    <n v="0.10794855576639258"/>
  </r>
  <r>
    <x v="591"/>
    <x v="256"/>
    <x v="0"/>
    <d v="1900-01-10T00:00:00"/>
    <x v="1"/>
    <s v="Ranchi"/>
    <s v="Sourav Das"/>
    <s v="Sourav Das"/>
    <x v="3"/>
    <x v="1"/>
    <s v="Air Conditioners"/>
    <s v="Daikin 1.5T Split Ac"/>
    <x v="1"/>
    <s v="Delivered"/>
    <n v="5"/>
    <n v="41460"/>
    <n v="0"/>
    <n v="29110"/>
    <n v="207300"/>
    <n v="145550"/>
    <n v="61750"/>
    <n v="0.29787747226242162"/>
  </r>
  <r>
    <x v="592"/>
    <x v="256"/>
    <x v="0"/>
    <d v="1900-01-10T00:00:00"/>
    <x v="0"/>
    <s v="Mumbai"/>
    <s v="Neha Deshpande"/>
    <s v="Neha Deshpande"/>
    <x v="1"/>
    <x v="0"/>
    <s v="Mobile Phones"/>
    <s v="Samsung Galaxy M35"/>
    <x v="1"/>
    <s v="Delivered"/>
    <n v="2"/>
    <n v="21840"/>
    <n v="0.2"/>
    <n v="15930"/>
    <n v="34944"/>
    <n v="31860"/>
    <n v="3084"/>
    <n v="8.8255494505494511E-2"/>
  </r>
  <r>
    <x v="593"/>
    <x v="256"/>
    <x v="0"/>
    <d v="1900-01-10T00:00:00"/>
    <x v="0"/>
    <s v="Mumbai"/>
    <s v="Neha Deshpande"/>
    <s v="Neha Deshpande"/>
    <x v="2"/>
    <x v="2"/>
    <s v="Accessories"/>
    <s v="Wildcraft 35L Backpack"/>
    <x v="0"/>
    <s v="Delivered"/>
    <n v="26"/>
    <n v="1940"/>
    <n v="0.08"/>
    <n v="1300"/>
    <n v="46404.800000000003"/>
    <n v="33800"/>
    <n v="12604.800000000003"/>
    <n v="0.27162707306140749"/>
  </r>
  <r>
    <x v="594"/>
    <x v="257"/>
    <x v="0"/>
    <d v="1900-01-10T00:00:00"/>
    <x v="2"/>
    <s v="Chandigarh"/>
    <s v="Simran Kaur"/>
    <s v="Simran Kaur"/>
    <x v="0"/>
    <x v="0"/>
    <s v="Audio Devices"/>
    <s v="Boat Airdopes 141"/>
    <x v="0"/>
    <s v="Delivered"/>
    <n v="29"/>
    <n v="1770"/>
    <n v="0.08"/>
    <n v="1220"/>
    <n v="47223.6"/>
    <n v="35380"/>
    <n v="11843.599999999999"/>
    <n v="0.25079832964873494"/>
  </r>
  <r>
    <x v="595"/>
    <x v="257"/>
    <x v="0"/>
    <d v="1900-01-10T00:00:00"/>
    <x v="2"/>
    <s v="Gurugram"/>
    <s v="Rohit Malhotra"/>
    <s v="Rohit Malhotra"/>
    <x v="3"/>
    <x v="4"/>
    <s v="Sports Gear"/>
    <s v="Sg Cricket Bat English Willow"/>
    <x v="0"/>
    <s v="Shipped"/>
    <n v="22"/>
    <n v="4860"/>
    <n v="0.15"/>
    <n v="3570"/>
    <n v="90882"/>
    <n v="78540"/>
    <n v="12342"/>
    <n v="0.13580246913580246"/>
  </r>
  <r>
    <x v="596"/>
    <x v="257"/>
    <x v="0"/>
    <d v="1900-01-10T00:00:00"/>
    <x v="0"/>
    <s v="Ahmedabad"/>
    <s v="Imran Sheikh"/>
    <s v="Imran Sheikh"/>
    <x v="3"/>
    <x v="4"/>
    <s v="Fitness Equipment"/>
    <s v="Adjustable Dumbbell Set 10Kg"/>
    <x v="0"/>
    <s v="Delivered"/>
    <n v="52"/>
    <n v="2440"/>
    <n v="0.2"/>
    <n v="1870"/>
    <n v="101504"/>
    <n v="97240"/>
    <n v="4264"/>
    <n v="4.2008196721311473E-2"/>
  </r>
  <r>
    <x v="597"/>
    <x v="258"/>
    <x v="0"/>
    <d v="1900-01-10T00:00:00"/>
    <x v="3"/>
    <s v="Hyderabad"/>
    <s v="Anjali Menon"/>
    <s v="Anjali Menon"/>
    <x v="1"/>
    <x v="3"/>
    <s v="Office Chairs"/>
    <s v="Nilkamal Executive Chair"/>
    <x v="0"/>
    <s v="Shipped"/>
    <n v="9"/>
    <n v="6190"/>
    <n v="0.08"/>
    <n v="3870"/>
    <n v="51253.200000000004"/>
    <n v="34830"/>
    <n v="16423.200000000004"/>
    <n v="0.32043267542319315"/>
  </r>
  <r>
    <x v="598"/>
    <x v="258"/>
    <x v="0"/>
    <d v="1900-01-10T00:00:00"/>
    <x v="2"/>
    <s v="Chandigarh"/>
    <s v="Simran Kaur"/>
    <s v="Simran Kaur"/>
    <x v="0"/>
    <x v="1"/>
    <s v="Air Conditioners"/>
    <s v="Voltas 1.5T Inverter Ac"/>
    <x v="0"/>
    <s v="Delivered"/>
    <n v="2"/>
    <n v="34660"/>
    <n v="0.15"/>
    <n v="25730"/>
    <n v="58922"/>
    <n v="51460"/>
    <n v="7462"/>
    <n v="0.12664200128984079"/>
  </r>
  <r>
    <x v="599"/>
    <x v="259"/>
    <x v="0"/>
    <d v="1900-01-10T00:00:00"/>
    <x v="3"/>
    <s v="Kochi"/>
    <s v="Divya Nair"/>
    <s v="Divya Nair"/>
    <x v="0"/>
    <x v="4"/>
    <s v="Activewear"/>
    <s v="Nivia Football Size 5"/>
    <x v="2"/>
    <s v="Delivered"/>
    <n v="39"/>
    <n v="870"/>
    <n v="0.05"/>
    <n v="520"/>
    <n v="32233.5"/>
    <n v="20280"/>
    <n v="11953.5"/>
    <n v="0.37084089534180276"/>
  </r>
  <r>
    <x v="600"/>
    <x v="259"/>
    <x v="0"/>
    <d v="1900-01-10T00:00:00"/>
    <x v="4"/>
    <s v="Bhopal"/>
    <s v="Pooja Chouhan"/>
    <s v="Pooja Chouhan"/>
    <x v="2"/>
    <x v="0"/>
    <s v="Audio Devices"/>
    <s v="Sony Wh-Ch720N"/>
    <x v="1"/>
    <s v="Delivered"/>
    <n v="9"/>
    <n v="9040"/>
    <n v="0"/>
    <n v="5620"/>
    <n v="81360"/>
    <n v="50580"/>
    <n v="30780"/>
    <n v="0.37831858407079644"/>
  </r>
  <r>
    <x v="601"/>
    <x v="259"/>
    <x v="0"/>
    <d v="1900-01-10T00:00:00"/>
    <x v="1"/>
    <s v="Kolkata"/>
    <s v="Sourav Das"/>
    <s v="Sourav Das"/>
    <x v="0"/>
    <x v="1"/>
    <s v="Washing Machines"/>
    <s v="Ifb Front Load 7Kg"/>
    <x v="1"/>
    <s v="Delivered"/>
    <n v="4"/>
    <n v="36470"/>
    <n v="0.12"/>
    <n v="22360"/>
    <n v="128374.39999999999"/>
    <n v="89440"/>
    <n v="38934.399999999994"/>
    <n v="0.30328788294239345"/>
  </r>
  <r>
    <x v="602"/>
    <x v="259"/>
    <x v="0"/>
    <d v="1900-01-10T00:00:00"/>
    <x v="4"/>
    <s v="Jabalpur"/>
    <s v="Manish Tiwari"/>
    <s v="Manish Tiwari"/>
    <x v="2"/>
    <x v="0"/>
    <s v="Audio Devices"/>
    <s v="Boat Airdopes 141"/>
    <x v="2"/>
    <s v="Delivered"/>
    <n v="18"/>
    <n v="1770"/>
    <n v="0.08"/>
    <n v="1110"/>
    <n v="29311.200000000001"/>
    <n v="19980"/>
    <n v="9331.2000000000007"/>
    <n v="0.31834929992630806"/>
  </r>
  <r>
    <x v="603"/>
    <x v="260"/>
    <x v="0"/>
    <d v="1900-01-10T00:00:00"/>
    <x v="1"/>
    <s v="Kolkata"/>
    <s v="Sourav Das"/>
    <s v="Sourav Das"/>
    <x v="0"/>
    <x v="4"/>
    <s v="Sports Gear"/>
    <s v="Sg Cricket Bat English Willow"/>
    <x v="0"/>
    <s v="Delivered"/>
    <n v="11"/>
    <n v="4620"/>
    <n v="0"/>
    <n v="3630"/>
    <n v="50820"/>
    <n v="39930"/>
    <n v="10890"/>
    <n v="0.21428571428571427"/>
  </r>
  <r>
    <x v="604"/>
    <x v="260"/>
    <x v="0"/>
    <d v="1900-01-10T00:00:00"/>
    <x v="0"/>
    <s v="Nagpur"/>
    <s v="Neha Deshpande"/>
    <s v="Neha Deshpande"/>
    <x v="1"/>
    <x v="3"/>
    <s v="Office Chairs"/>
    <s v="Nilkamal Executive Chair"/>
    <x v="0"/>
    <s v="Delivered"/>
    <n v="21"/>
    <n v="6410"/>
    <n v="0.1"/>
    <n v="4620"/>
    <n v="121149"/>
    <n v="97020"/>
    <n v="24129"/>
    <n v="0.19916796671866874"/>
  </r>
  <r>
    <x v="605"/>
    <x v="260"/>
    <x v="0"/>
    <d v="1900-01-10T00:00:00"/>
    <x v="1"/>
    <s v="Bhubaneswar"/>
    <s v="Ritika Ghosh"/>
    <s v="Ritika Ghosh"/>
    <x v="2"/>
    <x v="4"/>
    <s v="Sports Gear"/>
    <s v="Sg Cricket Bat English Willow"/>
    <x v="0"/>
    <s v="Delivered"/>
    <n v="8"/>
    <n v="4410"/>
    <n v="0.1"/>
    <n v="3190"/>
    <n v="31752"/>
    <n v="25520"/>
    <n v="6232"/>
    <n v="0.1962711010330058"/>
  </r>
  <r>
    <x v="606"/>
    <x v="260"/>
    <x v="0"/>
    <d v="1900-01-10T00:00:00"/>
    <x v="4"/>
    <s v="Bhopal"/>
    <s v="Pooja Chouhan"/>
    <s v="Pooja Chouhan"/>
    <x v="2"/>
    <x v="3"/>
    <s v="Office Chairs"/>
    <s v="Green Soul Ergonomic Chair"/>
    <x v="1"/>
    <s v="Delivered"/>
    <n v="7"/>
    <n v="12960"/>
    <n v="0.2"/>
    <n v="7600"/>
    <n v="72576"/>
    <n v="53200"/>
    <n v="19376"/>
    <n v="0.26697530864197533"/>
  </r>
  <r>
    <x v="607"/>
    <x v="261"/>
    <x v="0"/>
    <d v="1900-01-10T00:00:00"/>
    <x v="1"/>
    <s v="Guwahati"/>
    <s v="Ritika Ghosh"/>
    <s v="Ritika Ghosh"/>
    <x v="0"/>
    <x v="2"/>
    <s v="Apparel"/>
    <s v="Us Polo T-Shirt"/>
    <x v="1"/>
    <s v="Returned"/>
    <n v="6"/>
    <n v="1170"/>
    <n v="0.05"/>
    <n v="890"/>
    <n v="6669"/>
    <n v="5340"/>
    <n v="1329"/>
    <n v="0.19928025191183085"/>
  </r>
  <r>
    <x v="608"/>
    <x v="262"/>
    <x v="0"/>
    <d v="1900-01-10T00:00:00"/>
    <x v="0"/>
    <s v="Ahmedabad"/>
    <s v="Neha Deshpande"/>
    <s v="Neha Deshpande"/>
    <x v="2"/>
    <x v="0"/>
    <s v="Audio Devices"/>
    <s v="Sony Wh-Ch720N"/>
    <x v="0"/>
    <s v="Returned"/>
    <n v="3"/>
    <n v="8840"/>
    <n v="0.08"/>
    <n v="6590"/>
    <n v="24398.400000000001"/>
    <n v="19770"/>
    <n v="4628.4000000000015"/>
    <n v="0.18970096399763925"/>
  </r>
  <r>
    <x v="609"/>
    <x v="262"/>
    <x v="0"/>
    <d v="1900-01-10T00:00:00"/>
    <x v="1"/>
    <s v="Bhubaneswar"/>
    <s v="Ritika Ghosh"/>
    <s v="Ritika Ghosh"/>
    <x v="0"/>
    <x v="0"/>
    <s v="Televisions"/>
    <s v="Samsung Crystal 4K 55 Inch"/>
    <x v="1"/>
    <s v="Delivered"/>
    <n v="3"/>
    <n v="54770"/>
    <n v="0.1"/>
    <n v="40010"/>
    <n v="147879"/>
    <n v="120030"/>
    <n v="27849"/>
    <n v="0.18832288560241819"/>
  </r>
  <r>
    <x v="610"/>
    <x v="262"/>
    <x v="0"/>
    <d v="1900-01-10T00:00:00"/>
    <x v="0"/>
    <s v="Nagpur"/>
    <s v="Imran Sheikh"/>
    <s v="Imran Sheikh"/>
    <x v="0"/>
    <x v="4"/>
    <s v="Sports Gear"/>
    <s v="Yonex Badminton Racket"/>
    <x v="1"/>
    <s v="Delivered"/>
    <n v="12"/>
    <n v="3390"/>
    <n v="0"/>
    <n v="2160"/>
    <n v="40680"/>
    <n v="25920"/>
    <n v="14760"/>
    <n v="0.36283185840707965"/>
  </r>
  <r>
    <x v="611"/>
    <x v="263"/>
    <x v="0"/>
    <d v="1900-01-10T00:00:00"/>
    <x v="1"/>
    <s v="Bhubaneswar"/>
    <s v="Ritika Ghosh"/>
    <s v="Ritika Ghosh"/>
    <x v="0"/>
    <x v="4"/>
    <s v="Activewear"/>
    <s v="Nivia Football Size 5"/>
    <x v="1"/>
    <s v="Delivered"/>
    <n v="11"/>
    <n v="950"/>
    <n v="0.08"/>
    <n v="620"/>
    <n v="9614"/>
    <n v="6820"/>
    <n v="2794"/>
    <n v="0.29061784897025172"/>
  </r>
  <r>
    <x v="612"/>
    <x v="263"/>
    <x v="0"/>
    <d v="1900-01-10T00:00:00"/>
    <x v="3"/>
    <s v="Hyderabad"/>
    <s v="Karthik Raman"/>
    <s v="Karthik Raman"/>
    <x v="1"/>
    <x v="3"/>
    <s v="Office Chairs"/>
    <s v="Nilkamal Executive Chair"/>
    <x v="0"/>
    <s v="Delivered"/>
    <n v="11"/>
    <n v="6830"/>
    <n v="0.15"/>
    <n v="5020"/>
    <n v="63860.5"/>
    <n v="55220"/>
    <n v="8640.5"/>
    <n v="0.13530273016966671"/>
  </r>
  <r>
    <x v="613"/>
    <x v="263"/>
    <x v="0"/>
    <d v="1900-01-10T00:00:00"/>
    <x v="1"/>
    <s v="Kolkata"/>
    <s v="Ritika Ghosh"/>
    <s v="Ritika Ghosh"/>
    <x v="3"/>
    <x v="1"/>
    <s v="Air Conditioners"/>
    <s v="Voltas 1.5T Inverter Ac"/>
    <x v="0"/>
    <s v="Shipped"/>
    <n v="4"/>
    <n v="37590"/>
    <n v="0.15"/>
    <n v="29170"/>
    <n v="127806"/>
    <n v="116680"/>
    <n v="11126"/>
    <n v="8.705381593978373E-2"/>
  </r>
  <r>
    <x v="614"/>
    <x v="264"/>
    <x v="0"/>
    <d v="1900-01-10T00:00:00"/>
    <x v="0"/>
    <s v="Surat"/>
    <s v="Neha Deshpande"/>
    <s v="Neha Deshpande"/>
    <x v="1"/>
    <x v="1"/>
    <s v="Air Conditioners"/>
    <s v="Voltas 1.5T Inverter Ac"/>
    <x v="2"/>
    <s v="Delivered"/>
    <n v="2"/>
    <n v="36320"/>
    <n v="0.1"/>
    <n v="27110"/>
    <n v="65376"/>
    <n v="54220"/>
    <n v="11156"/>
    <n v="0.17064366128242781"/>
  </r>
  <r>
    <x v="615"/>
    <x v="264"/>
    <x v="0"/>
    <d v="1900-01-10T00:00:00"/>
    <x v="1"/>
    <s v="Bhubaneswar"/>
    <s v="Sourav Das"/>
    <s v="Sourav Das"/>
    <x v="0"/>
    <x v="3"/>
    <s v="Office Chairs"/>
    <s v="Green Soul Ergonomic Chair"/>
    <x v="1"/>
    <s v="Delivered"/>
    <n v="8"/>
    <n v="11460"/>
    <n v="0.05"/>
    <n v="8850"/>
    <n v="87096"/>
    <n v="70800"/>
    <n v="16296"/>
    <n v="0.18710388536786993"/>
  </r>
  <r>
    <x v="616"/>
    <x v="264"/>
    <x v="0"/>
    <d v="1900-01-10T00:00:00"/>
    <x v="0"/>
    <s v="Nashik"/>
    <s v="Neha Deshpande"/>
    <s v="Neha Deshpande"/>
    <x v="0"/>
    <x v="3"/>
    <s v="Tables"/>
    <s v="Study Table Engineered Wood"/>
    <x v="0"/>
    <s v="Delivered"/>
    <n v="11"/>
    <n v="8870"/>
    <n v="0.2"/>
    <n v="5460"/>
    <n v="78056"/>
    <n v="60060"/>
    <n v="17996"/>
    <n v="0.23055242390078917"/>
  </r>
  <r>
    <x v="617"/>
    <x v="265"/>
    <x v="0"/>
    <d v="1900-01-10T00:00:00"/>
    <x v="3"/>
    <s v="Hyderabad"/>
    <s v="Karthik Raman"/>
    <s v="Karthik Raman"/>
    <x v="2"/>
    <x v="0"/>
    <s v="Audio Devices"/>
    <s v="Boat Airdopes 141"/>
    <x v="1"/>
    <s v="Delivered"/>
    <n v="29"/>
    <n v="1830"/>
    <n v="0.18"/>
    <n v="1250"/>
    <n v="43517.4"/>
    <n v="36250"/>
    <n v="7267.4000000000015"/>
    <n v="0.16699986671997871"/>
  </r>
  <r>
    <x v="618"/>
    <x v="265"/>
    <x v="0"/>
    <d v="1900-01-10T00:00:00"/>
    <x v="3"/>
    <s v="Bengaluru"/>
    <s v="Anjali Menon"/>
    <s v="Anjali Menon"/>
    <x v="3"/>
    <x v="0"/>
    <s v="Mobile Phones"/>
    <s v="Samsung Galaxy M35"/>
    <x v="1"/>
    <s v="Delivered"/>
    <n v="17"/>
    <n v="21990"/>
    <n v="0.1"/>
    <n v="12680"/>
    <n v="336447"/>
    <n v="215560"/>
    <n v="120887"/>
    <n v="0.35930473447526656"/>
  </r>
  <r>
    <x v="619"/>
    <x v="266"/>
    <x v="0"/>
    <d v="1900-01-10T00:00:00"/>
    <x v="1"/>
    <s v="Kolkata"/>
    <s v="Sourav Das"/>
    <s v="Sourav Das"/>
    <x v="2"/>
    <x v="4"/>
    <s v="Fitness Equipment"/>
    <s v="Home Foldable Treadmill"/>
    <x v="1"/>
    <s v="Delivered"/>
    <n v="3"/>
    <n v="40380"/>
    <n v="0.08"/>
    <n v="24900"/>
    <n v="111448.8"/>
    <n v="74700"/>
    <n v="36748.800000000003"/>
    <n v="0.32973706311777251"/>
  </r>
  <r>
    <x v="620"/>
    <x v="266"/>
    <x v="0"/>
    <d v="1900-01-10T00:00:00"/>
    <x v="2"/>
    <s v="Gurugram"/>
    <s v="Simran Kaur"/>
    <s v="Simran Kaur"/>
    <x v="0"/>
    <x v="1"/>
    <s v="Air Conditioners"/>
    <s v="Daikin 1.5T Split Ac"/>
    <x v="0"/>
    <s v="Delivered"/>
    <n v="4"/>
    <n v="44130"/>
    <n v="0.12"/>
    <n v="26340"/>
    <n v="155337.60000000001"/>
    <n v="105360"/>
    <n v="49977.600000000006"/>
    <n v="0.32173536864223473"/>
  </r>
  <r>
    <x v="621"/>
    <x v="267"/>
    <x v="0"/>
    <d v="1900-01-10T00:00:00"/>
    <x v="2"/>
    <s v="Lucknow"/>
    <s v="Simran Kaur"/>
    <s v="Simran Kaur"/>
    <x v="0"/>
    <x v="3"/>
    <s v="Storage"/>
    <s v="Metal Shoe Rack"/>
    <x v="2"/>
    <s v="Delivered"/>
    <n v="10"/>
    <n v="3620"/>
    <n v="0.1"/>
    <n v="2840"/>
    <n v="32580"/>
    <n v="28400"/>
    <n v="4180"/>
    <n v="0.12829957028852057"/>
  </r>
  <r>
    <x v="622"/>
    <x v="268"/>
    <x v="0"/>
    <d v="1900-01-10T00:00:00"/>
    <x v="2"/>
    <s v="Gurugram"/>
    <s v="Aditya Verma"/>
    <s v="Aditya Verma"/>
    <x v="0"/>
    <x v="2"/>
    <s v="Footwear"/>
    <s v="Nike Revolution 7"/>
    <x v="0"/>
    <s v="Delivered"/>
    <n v="3"/>
    <n v="3620"/>
    <n v="0.1"/>
    <n v="2690"/>
    <n v="9774"/>
    <n v="8070"/>
    <n v="1704"/>
    <n v="0.17434008594229589"/>
  </r>
  <r>
    <x v="623"/>
    <x v="268"/>
    <x v="0"/>
    <d v="1900-01-10T00:00:00"/>
    <x v="0"/>
    <s v="Surat"/>
    <s v="Neha Deshpande"/>
    <s v="Neha Deshpande"/>
    <x v="3"/>
    <x v="1"/>
    <s v="Kitchen Appliances"/>
    <s v="Prestige Mixer Grinder"/>
    <x v="2"/>
    <s v="Pending"/>
    <n v="23"/>
    <n v="4560"/>
    <n v="0"/>
    <n v="3580"/>
    <n v="104880"/>
    <n v="82340"/>
    <n v="22540"/>
    <n v="0.21491228070175439"/>
  </r>
  <r>
    <x v="624"/>
    <x v="268"/>
    <x v="0"/>
    <d v="1900-01-10T00:00:00"/>
    <x v="2"/>
    <s v="Jaipur"/>
    <s v="Aditya Verma"/>
    <s v="Aditya Verma"/>
    <x v="0"/>
    <x v="1"/>
    <s v="Washing Machines"/>
    <s v="Ifb Front Load 7Kg"/>
    <x v="1"/>
    <s v="Delivered"/>
    <n v="1"/>
    <n v="33030"/>
    <n v="0"/>
    <n v="23910"/>
    <n v="33030"/>
    <n v="23910"/>
    <n v="9120"/>
    <n v="0.27611262488646687"/>
  </r>
  <r>
    <x v="625"/>
    <x v="269"/>
    <x v="0"/>
    <d v="1900-01-10T00:00:00"/>
    <x v="0"/>
    <s v="Nagpur"/>
    <s v="Neha Deshpande"/>
    <s v="Neha Deshpande"/>
    <x v="0"/>
    <x v="2"/>
    <s v="Footwear"/>
    <s v="Nike Revolution 7"/>
    <x v="2"/>
    <s v="Delivered"/>
    <n v="5"/>
    <n v="3690"/>
    <n v="0.12"/>
    <n v="2830"/>
    <n v="16236"/>
    <n v="14150"/>
    <n v="2086"/>
    <n v="0.12847992116284798"/>
  </r>
  <r>
    <x v="626"/>
    <x v="269"/>
    <x v="0"/>
    <d v="1900-01-10T00:00:00"/>
    <x v="3"/>
    <s v="Hyderabad"/>
    <s v="Anjali Menon"/>
    <s v="Anjali Menon"/>
    <x v="0"/>
    <x v="3"/>
    <s v="Storage"/>
    <s v="3-Door Wardrobe"/>
    <x v="1"/>
    <s v="Delivered"/>
    <n v="4"/>
    <n v="27000"/>
    <n v="0.18"/>
    <n v="17730"/>
    <n v="88560"/>
    <n v="70920"/>
    <n v="17640"/>
    <n v="0.1991869918699187"/>
  </r>
  <r>
    <x v="627"/>
    <x v="269"/>
    <x v="0"/>
    <d v="1900-01-10T00:00:00"/>
    <x v="2"/>
    <s v="Noida"/>
    <s v="Simran Kaur"/>
    <s v="Simran Kaur"/>
    <x v="0"/>
    <x v="3"/>
    <s v="Sofas"/>
    <s v="3-Seater Fabric Sofa"/>
    <x v="1"/>
    <s v="Delivered"/>
    <n v="1"/>
    <n v="31810"/>
    <n v="0.08"/>
    <n v="24910"/>
    <n v="29265.200000000001"/>
    <n v="24910"/>
    <n v="4355.2000000000007"/>
    <n v="0.14881839181006795"/>
  </r>
  <r>
    <x v="628"/>
    <x v="269"/>
    <x v="0"/>
    <d v="1900-01-10T00:00:00"/>
    <x v="4"/>
    <s v="Bhopal"/>
    <s v="Pooja Chouhan"/>
    <s v="Pooja Chouhan"/>
    <x v="3"/>
    <x v="1"/>
    <s v="Washing Machines"/>
    <s v="Whirlpool Semi Auto 7.5Kg"/>
    <x v="0"/>
    <s v="Delivered"/>
    <n v="2"/>
    <n v="15030"/>
    <n v="0.18"/>
    <n v="9230"/>
    <n v="24649.200000000001"/>
    <n v="18460"/>
    <n v="6189.2000000000007"/>
    <n v="0.25109131330834267"/>
  </r>
  <r>
    <x v="629"/>
    <x v="269"/>
    <x v="0"/>
    <d v="1900-01-10T00:00:00"/>
    <x v="4"/>
    <s v="Raipur"/>
    <s v="Pooja Chouhan"/>
    <s v="Pooja Chouhan"/>
    <x v="0"/>
    <x v="0"/>
    <s v="Audio Devices"/>
    <s v="Jbl Flip 6"/>
    <x v="1"/>
    <s v="Delivered"/>
    <n v="3"/>
    <n v="9170"/>
    <n v="0.2"/>
    <n v="6520"/>
    <n v="22008"/>
    <n v="19560"/>
    <n v="2448"/>
    <n v="0.11123227917121047"/>
  </r>
  <r>
    <x v="630"/>
    <x v="269"/>
    <x v="0"/>
    <d v="1900-01-10T00:00:00"/>
    <x v="0"/>
    <s v="Nashik"/>
    <s v="Neha Deshpande"/>
    <s v="Neha Deshpande"/>
    <x v="2"/>
    <x v="0"/>
    <s v="Audio Devices"/>
    <s v="Boat Airdopes 141"/>
    <x v="1"/>
    <s v="Delivered"/>
    <n v="13"/>
    <n v="1890"/>
    <n v="0.2"/>
    <n v="1100"/>
    <n v="19656"/>
    <n v="14300"/>
    <n v="5356"/>
    <n v="0.2724867724867725"/>
  </r>
  <r>
    <x v="631"/>
    <x v="269"/>
    <x v="0"/>
    <d v="1900-01-10T00:00:00"/>
    <x v="3"/>
    <s v="Bengaluru"/>
    <s v="Anjali Menon"/>
    <s v="Anjali Menon"/>
    <x v="2"/>
    <x v="0"/>
    <s v="Audio Devices"/>
    <s v="Sony Wh-Ch720N"/>
    <x v="2"/>
    <s v="Delivered"/>
    <n v="14"/>
    <n v="8750"/>
    <n v="0.1"/>
    <n v="5930"/>
    <n v="110250"/>
    <n v="83020"/>
    <n v="27230"/>
    <n v="0.24698412698412697"/>
  </r>
  <r>
    <x v="632"/>
    <x v="270"/>
    <x v="0"/>
    <d v="1900-01-10T00:00:00"/>
    <x v="2"/>
    <s v="Lucknow"/>
    <s v="Aditya Verma"/>
    <s v="Aditya Verma"/>
    <x v="0"/>
    <x v="1"/>
    <s v="Kitchen Appliances"/>
    <s v="Prestige Mixer Grinder"/>
    <x v="1"/>
    <s v="Delivered"/>
    <n v="15"/>
    <n v="4850"/>
    <n v="0.2"/>
    <n v="3280"/>
    <n v="58200"/>
    <n v="49200"/>
    <n v="9000"/>
    <n v="0.15463917525773196"/>
  </r>
  <r>
    <x v="633"/>
    <x v="270"/>
    <x v="0"/>
    <d v="1900-01-10T00:00:00"/>
    <x v="2"/>
    <s v="Lucknow"/>
    <s v="Aditya Verma"/>
    <s v="Aditya Verma"/>
    <x v="0"/>
    <x v="1"/>
    <s v="Refrigerators"/>
    <s v="Lg 260L Double Door"/>
    <x v="2"/>
    <s v="Delivered"/>
    <n v="4"/>
    <n v="28340"/>
    <n v="0.05"/>
    <n v="18310"/>
    <n v="107692"/>
    <n v="73240"/>
    <n v="34452"/>
    <n v="0.31991234260669316"/>
  </r>
  <r>
    <x v="634"/>
    <x v="270"/>
    <x v="0"/>
    <d v="1900-01-10T00:00:00"/>
    <x v="0"/>
    <s v="Nagpur"/>
    <s v="Neha Deshpande"/>
    <s v="Neha Deshpande"/>
    <x v="3"/>
    <x v="3"/>
    <s v="Storage"/>
    <s v="Metal Shoe Rack"/>
    <x v="2"/>
    <s v="Returned"/>
    <n v="8"/>
    <n v="3670"/>
    <n v="0.08"/>
    <n v="2650"/>
    <n v="27011.200000000001"/>
    <n v="21200"/>
    <n v="5811.2000000000007"/>
    <n v="0.21514038621016468"/>
  </r>
  <r>
    <x v="635"/>
    <x v="271"/>
    <x v="0"/>
    <d v="1900-01-11T00:00:00"/>
    <x v="4"/>
    <s v="Indore"/>
    <s v="Pooja Chouhan"/>
    <s v="Pooja Chouhan"/>
    <x v="0"/>
    <x v="0"/>
    <s v="Audio Devices"/>
    <s v="Sony Wh-Ch720N"/>
    <x v="0"/>
    <s v="Delivered"/>
    <n v="8"/>
    <n v="8270"/>
    <n v="0.1"/>
    <n v="5390"/>
    <n v="59544"/>
    <n v="43120"/>
    <n v="16424"/>
    <n v="0.27582963858659143"/>
  </r>
  <r>
    <x v="636"/>
    <x v="271"/>
    <x v="0"/>
    <d v="1900-01-11T00:00:00"/>
    <x v="0"/>
    <s v="Ahmedabad"/>
    <s v="Prateek Shah"/>
    <s v="Prateek Shah"/>
    <x v="3"/>
    <x v="2"/>
    <s v="Accessories"/>
    <s v="Wildcraft 35L Backpack"/>
    <x v="1"/>
    <s v="Pending"/>
    <n v="25"/>
    <n v="1930"/>
    <n v="0.1"/>
    <n v="1340"/>
    <n v="43425"/>
    <n v="33500"/>
    <n v="9925"/>
    <n v="0.22855497985031664"/>
  </r>
  <r>
    <x v="637"/>
    <x v="271"/>
    <x v="0"/>
    <d v="1900-01-11T00:00:00"/>
    <x v="1"/>
    <s v="Guwahati"/>
    <s v="Sourav Das"/>
    <s v="Sourav Das"/>
    <x v="1"/>
    <x v="3"/>
    <s v="Sofas"/>
    <s v="Single Seater Recliner"/>
    <x v="0"/>
    <s v="Delivered"/>
    <n v="6"/>
    <n v="44580"/>
    <n v="0.12"/>
    <n v="33460"/>
    <n v="235382.39999999999"/>
    <n v="200760"/>
    <n v="34622.399999999994"/>
    <n v="0.14709001182756229"/>
  </r>
  <r>
    <x v="638"/>
    <x v="272"/>
    <x v="0"/>
    <d v="1900-01-11T00:00:00"/>
    <x v="0"/>
    <s v="Nagpur"/>
    <s v="Prateek Shah"/>
    <s v="Prateek Shah"/>
    <x v="0"/>
    <x v="0"/>
    <s v="Laptops"/>
    <s v="Hp Pavilion 15"/>
    <x v="1"/>
    <s v="Delivered"/>
    <n v="3"/>
    <n v="61960"/>
    <n v="0.15"/>
    <n v="46310"/>
    <n v="157998"/>
    <n v="138930"/>
    <n v="19068"/>
    <n v="0.12068507196293624"/>
  </r>
  <r>
    <x v="639"/>
    <x v="273"/>
    <x v="0"/>
    <d v="1900-01-11T00:00:00"/>
    <x v="3"/>
    <s v="Visakhapatnam"/>
    <s v="Anjali Menon"/>
    <s v="Anjali Menon"/>
    <x v="0"/>
    <x v="1"/>
    <s v="Washing Machines"/>
    <s v="Ifb Front Load 7Kg"/>
    <x v="1"/>
    <s v="Delivered"/>
    <n v="4"/>
    <n v="34790"/>
    <n v="0.05"/>
    <n v="23230"/>
    <n v="132202"/>
    <n v="92920"/>
    <n v="39282"/>
    <n v="0.29713620066262236"/>
  </r>
  <r>
    <x v="640"/>
    <x v="274"/>
    <x v="0"/>
    <d v="1900-01-11T00:00:00"/>
    <x v="1"/>
    <s v="Kolkata"/>
    <s v="Sourav Das"/>
    <s v="Sourav Das"/>
    <x v="1"/>
    <x v="3"/>
    <s v="Storage"/>
    <s v="Metal Shoe Rack"/>
    <x v="1"/>
    <s v="Returned"/>
    <n v="22"/>
    <n v="3680"/>
    <n v="0.12"/>
    <n v="2560"/>
    <n v="71244.800000000003"/>
    <n v="56320"/>
    <n v="14924.800000000003"/>
    <n v="0.20948616600790518"/>
  </r>
  <r>
    <x v="641"/>
    <x v="275"/>
    <x v="0"/>
    <d v="1900-01-11T00:00:00"/>
    <x v="4"/>
    <s v="Bhopal"/>
    <s v="Pooja Chouhan"/>
    <s v="Pooja Chouhan"/>
    <x v="2"/>
    <x v="3"/>
    <s v="Storage"/>
    <s v="Metal Shoe Rack"/>
    <x v="0"/>
    <s v="Shipped"/>
    <n v="2"/>
    <n v="3620"/>
    <n v="0.15"/>
    <n v="2080"/>
    <n v="6154"/>
    <n v="4160"/>
    <n v="1994"/>
    <n v="0.32401689957751056"/>
  </r>
  <r>
    <x v="642"/>
    <x v="275"/>
    <x v="0"/>
    <d v="1900-01-11T00:00:00"/>
    <x v="3"/>
    <s v="Coimbatore"/>
    <s v="Anjali Menon"/>
    <s v="Anjali Menon"/>
    <x v="0"/>
    <x v="2"/>
    <s v="Footwear"/>
    <s v="Campus Running Shoes"/>
    <x v="1"/>
    <s v="Delivered"/>
    <n v="22"/>
    <n v="1590"/>
    <n v="0.1"/>
    <n v="1060"/>
    <n v="31482"/>
    <n v="23320"/>
    <n v="8162"/>
    <n v="0.25925925925925924"/>
  </r>
  <r>
    <x v="643"/>
    <x v="276"/>
    <x v="0"/>
    <d v="1900-01-11T00:00:00"/>
    <x v="1"/>
    <s v="Bhubaneswar"/>
    <s v="Ritika Ghosh"/>
    <s v="Ritika Ghosh"/>
    <x v="3"/>
    <x v="0"/>
    <s v="Mobile Phones"/>
    <s v="Redmi Note 14"/>
    <x v="0"/>
    <s v="Delivered"/>
    <n v="14"/>
    <n v="19040"/>
    <n v="0"/>
    <n v="12580"/>
    <n v="266560"/>
    <n v="176120"/>
    <n v="90440"/>
    <n v="0.3392857142857143"/>
  </r>
  <r>
    <x v="644"/>
    <x v="276"/>
    <x v="0"/>
    <d v="1900-01-11T00:00:00"/>
    <x v="1"/>
    <s v="Bhubaneswar"/>
    <s v="Ritika Ghosh"/>
    <s v="Ritika Ghosh"/>
    <x v="3"/>
    <x v="3"/>
    <s v="Tables"/>
    <s v="Study Table Engineered Wood"/>
    <x v="0"/>
    <s v="Delivered"/>
    <n v="14"/>
    <n v="8990"/>
    <n v="0.25"/>
    <n v="6020"/>
    <n v="94395"/>
    <n v="84280"/>
    <n v="10115"/>
    <n v="0.10715609936967001"/>
  </r>
  <r>
    <x v="645"/>
    <x v="276"/>
    <x v="0"/>
    <d v="1900-01-11T00:00:00"/>
    <x v="3"/>
    <s v="Bengaluru"/>
    <s v="Karthik Raman"/>
    <s v="Karthik Raman"/>
    <x v="0"/>
    <x v="1"/>
    <s v="Air Conditioners"/>
    <s v="Daikin 1.5T Split Ac"/>
    <x v="2"/>
    <s v="Delivered"/>
    <n v="1"/>
    <n v="44070"/>
    <n v="0.12"/>
    <n v="27730"/>
    <n v="38781.599999999999"/>
    <n v="27730"/>
    <n v="11051.599999999999"/>
    <n v="0.28497019204983803"/>
  </r>
  <r>
    <x v="646"/>
    <x v="277"/>
    <x v="0"/>
    <d v="1900-01-11T00:00:00"/>
    <x v="2"/>
    <s v="Gurugram"/>
    <s v="Simran Kaur"/>
    <s v="Simran Kaur"/>
    <x v="3"/>
    <x v="0"/>
    <s v="Audio Devices"/>
    <s v="Jbl Flip 6"/>
    <x v="0"/>
    <s v="Delivered"/>
    <n v="10"/>
    <n v="9300"/>
    <n v="0.1"/>
    <n v="6620"/>
    <n v="83700"/>
    <n v="66200"/>
    <n v="17500"/>
    <n v="0.20908004778972522"/>
  </r>
  <r>
    <x v="647"/>
    <x v="277"/>
    <x v="0"/>
    <d v="1900-01-11T00:00:00"/>
    <x v="3"/>
    <s v="Visakhapatnam"/>
    <s v="Anjali Menon"/>
    <s v="Anjali Menon"/>
    <x v="2"/>
    <x v="1"/>
    <s v="Kitchen Appliances"/>
    <s v="Pigeon Induction Cooktop"/>
    <x v="0"/>
    <s v="Delivered"/>
    <n v="32"/>
    <n v="2800"/>
    <n v="0"/>
    <n v="1710"/>
    <n v="89600"/>
    <n v="54720"/>
    <n v="34880"/>
    <n v="0.38928571428571429"/>
  </r>
  <r>
    <x v="648"/>
    <x v="278"/>
    <x v="0"/>
    <d v="1900-01-11T00:00:00"/>
    <x v="1"/>
    <s v="Patna"/>
    <s v="Sourav Das"/>
    <s v="Sourav Das"/>
    <x v="3"/>
    <x v="0"/>
    <s v="Laptops"/>
    <s v="Macbook Air M3"/>
    <x v="1"/>
    <s v="Shipped"/>
    <n v="6"/>
    <n v="107840"/>
    <n v="0.15"/>
    <n v="75940"/>
    <n v="549984"/>
    <n v="455640"/>
    <n v="94344"/>
    <n v="0.17153953569558386"/>
  </r>
  <r>
    <x v="649"/>
    <x v="278"/>
    <x v="0"/>
    <d v="1900-01-11T00:00:00"/>
    <x v="1"/>
    <s v="Siliguri"/>
    <s v="Sourav Das"/>
    <s v="Sourav Das"/>
    <x v="2"/>
    <x v="0"/>
    <s v="Laptops"/>
    <s v="Dell Inspiron 3520"/>
    <x v="1"/>
    <s v="Delivered"/>
    <n v="2"/>
    <n v="57390"/>
    <n v="0.18"/>
    <n v="32930"/>
    <n v="94119.6"/>
    <n v="65860"/>
    <n v="28259.600000000006"/>
    <n v="0.3002520197705898"/>
  </r>
  <r>
    <x v="650"/>
    <x v="278"/>
    <x v="0"/>
    <d v="1900-01-11T00:00:00"/>
    <x v="0"/>
    <s v="Ahmedabad"/>
    <s v="Neha Deshpande"/>
    <s v="Neha Deshpande"/>
    <x v="3"/>
    <x v="1"/>
    <s v="Air Conditioners"/>
    <s v="Voltas 1.5T Inverter Ac"/>
    <x v="0"/>
    <s v="Delivered"/>
    <n v="3"/>
    <n v="36820"/>
    <n v="0.2"/>
    <n v="20870"/>
    <n v="88368"/>
    <n v="62610"/>
    <n v="25758"/>
    <n v="0.29148560564910375"/>
  </r>
  <r>
    <x v="651"/>
    <x v="278"/>
    <x v="0"/>
    <d v="1900-01-11T00:00:00"/>
    <x v="4"/>
    <s v="Jabalpur"/>
    <s v="Pooja Chouhan"/>
    <s v="Pooja Chouhan"/>
    <x v="0"/>
    <x v="0"/>
    <s v="Audio Devices"/>
    <s v="Jbl Flip 6"/>
    <x v="0"/>
    <s v="Delivered"/>
    <n v="14"/>
    <n v="9210"/>
    <n v="0.12"/>
    <n v="5350"/>
    <n v="113467.2"/>
    <n v="74900"/>
    <n v="38567.199999999997"/>
    <n v="0.33989734478333827"/>
  </r>
  <r>
    <x v="652"/>
    <x v="279"/>
    <x v="0"/>
    <d v="1900-01-11T00:00:00"/>
    <x v="2"/>
    <s v="Noida"/>
    <s v="Simran Kaur"/>
    <s v="Simran Kaur"/>
    <x v="3"/>
    <x v="3"/>
    <s v="Storage"/>
    <s v="3-Door Wardrobe"/>
    <x v="1"/>
    <s v="Delivered"/>
    <n v="13"/>
    <n v="27520"/>
    <n v="0.08"/>
    <n v="20440"/>
    <n v="329139.20000000001"/>
    <n v="265720"/>
    <n v="63419.200000000012"/>
    <n v="0.19268200202224472"/>
  </r>
  <r>
    <x v="653"/>
    <x v="280"/>
    <x v="0"/>
    <d v="1900-01-11T00:00:00"/>
    <x v="1"/>
    <s v="Siliguri"/>
    <s v="Ritika Ghosh"/>
    <s v="Ritika Ghosh"/>
    <x v="3"/>
    <x v="0"/>
    <s v="Laptops"/>
    <s v="Macbook Air M3"/>
    <x v="0"/>
    <s v="Delivered"/>
    <n v="2"/>
    <n v="102990"/>
    <n v="0.1"/>
    <n v="70850"/>
    <n v="185382"/>
    <n v="141700"/>
    <n v="43682"/>
    <n v="0.23563236991725195"/>
  </r>
  <r>
    <x v="654"/>
    <x v="281"/>
    <x v="0"/>
    <d v="1900-01-11T00:00:00"/>
    <x v="3"/>
    <s v="Hyderabad"/>
    <s v="Karthik Raman"/>
    <s v="Karthik Raman"/>
    <x v="2"/>
    <x v="2"/>
    <s v="Footwear"/>
    <s v="Bata Formal Shoes"/>
    <x v="2"/>
    <s v="Delivered"/>
    <n v="15"/>
    <n v="2350"/>
    <n v="0.2"/>
    <n v="1390"/>
    <n v="28200"/>
    <n v="20850"/>
    <n v="7350"/>
    <n v="0.26063829787234044"/>
  </r>
  <r>
    <x v="655"/>
    <x v="281"/>
    <x v="0"/>
    <d v="1900-01-11T00:00:00"/>
    <x v="0"/>
    <s v="Nagpur"/>
    <s v="Imran Sheikh"/>
    <s v="Imran Sheikh"/>
    <x v="0"/>
    <x v="0"/>
    <s v="Laptops"/>
    <s v="Hp Pavilion 15"/>
    <x v="2"/>
    <s v="Delivered"/>
    <n v="3"/>
    <n v="59900"/>
    <n v="0.12"/>
    <n v="45600"/>
    <n v="158136"/>
    <n v="136800"/>
    <n v="21336"/>
    <n v="0.13492183942935196"/>
  </r>
  <r>
    <x v="656"/>
    <x v="281"/>
    <x v="0"/>
    <d v="1900-01-11T00:00:00"/>
    <x v="0"/>
    <s v="Ahmedabad"/>
    <s v="Imran Sheikh"/>
    <s v="Imran Sheikh"/>
    <x v="1"/>
    <x v="3"/>
    <s v="Office Chairs"/>
    <s v="Nilkamal Executive Chair"/>
    <x v="0"/>
    <s v="Delivered"/>
    <n v="4"/>
    <n v="6460"/>
    <n v="0.2"/>
    <n v="4610"/>
    <n v="20672"/>
    <n v="18440"/>
    <n v="2232"/>
    <n v="0.10797213622291021"/>
  </r>
  <r>
    <x v="657"/>
    <x v="282"/>
    <x v="0"/>
    <d v="1900-01-11T00:00:00"/>
    <x v="1"/>
    <s v="Ranchi"/>
    <s v="Sourav Das"/>
    <s v="Sourav Das"/>
    <x v="0"/>
    <x v="4"/>
    <s v="Activewear"/>
    <s v="Puma Track Pants"/>
    <x v="1"/>
    <s v="Delivered"/>
    <n v="24"/>
    <n v="1690"/>
    <n v="0"/>
    <n v="1300"/>
    <n v="40560"/>
    <n v="31200"/>
    <n v="9360"/>
    <n v="0.23076923076923078"/>
  </r>
  <r>
    <x v="658"/>
    <x v="282"/>
    <x v="0"/>
    <d v="1900-01-11T00:00:00"/>
    <x v="1"/>
    <s v="Patna"/>
    <s v="Sourav Das"/>
    <s v="Sourav Das"/>
    <x v="0"/>
    <x v="1"/>
    <s v="Refrigerators"/>
    <s v="Samsung 192L Single Door"/>
    <x v="0"/>
    <s v="Delivered"/>
    <n v="2"/>
    <n v="15670"/>
    <n v="0.25"/>
    <n v="12140"/>
    <n v="23505"/>
    <n v="24280"/>
    <n v="-775"/>
    <n v="-3.2971708147202725E-2"/>
  </r>
  <r>
    <x v="659"/>
    <x v="282"/>
    <x v="0"/>
    <d v="1900-01-11T00:00:00"/>
    <x v="2"/>
    <s v="Noida"/>
    <s v="Simran Kaur"/>
    <s v="Simran Kaur"/>
    <x v="3"/>
    <x v="3"/>
    <s v="Office Chairs"/>
    <s v="Nilkamal Executive Chair"/>
    <x v="0"/>
    <s v="Delivered"/>
    <n v="11"/>
    <n v="6770"/>
    <n v="0.1"/>
    <n v="4160"/>
    <n v="67023"/>
    <n v="45760"/>
    <n v="21263"/>
    <n v="0.31724930247825373"/>
  </r>
  <r>
    <x v="660"/>
    <x v="282"/>
    <x v="0"/>
    <d v="1900-01-11T00:00:00"/>
    <x v="4"/>
    <s v="Raipur"/>
    <s v="Manish Tiwari"/>
    <s v="Manish Tiwari"/>
    <x v="1"/>
    <x v="0"/>
    <s v="Televisions"/>
    <s v="Mi Tv 5X 43 Inch"/>
    <x v="0"/>
    <s v="Delivered"/>
    <n v="3"/>
    <n v="31040"/>
    <n v="0.25"/>
    <n v="24190"/>
    <n v="69840"/>
    <n v="72570"/>
    <n v="-2730"/>
    <n v="-3.9089347079037801E-2"/>
  </r>
  <r>
    <x v="661"/>
    <x v="283"/>
    <x v="0"/>
    <d v="1900-01-11T00:00:00"/>
    <x v="0"/>
    <s v="Surat"/>
    <s v="Neha Deshpande"/>
    <s v="Neha Deshpande"/>
    <x v="3"/>
    <x v="0"/>
    <s v="Audio Devices"/>
    <s v="Boat Airdopes 141"/>
    <x v="1"/>
    <s v="Delivered"/>
    <n v="38"/>
    <n v="1840"/>
    <n v="0.08"/>
    <n v="1340"/>
    <n v="64326.400000000001"/>
    <n v="50920"/>
    <n v="13406.400000000001"/>
    <n v="0.20841209829867677"/>
  </r>
  <r>
    <x v="662"/>
    <x v="284"/>
    <x v="0"/>
    <d v="1900-01-11T00:00:00"/>
    <x v="2"/>
    <s v="Chandigarh"/>
    <s v="Simran Kaur"/>
    <s v="Simran Kaur"/>
    <x v="3"/>
    <x v="3"/>
    <s v="Sofas"/>
    <s v="3-Seater Fabric Sofa"/>
    <x v="0"/>
    <s v="Delivered"/>
    <n v="1"/>
    <n v="31320"/>
    <n v="0.25"/>
    <n v="18490"/>
    <n v="23490"/>
    <n v="18490"/>
    <n v="5000"/>
    <n v="0.21285653469561516"/>
  </r>
  <r>
    <x v="663"/>
    <x v="285"/>
    <x v="0"/>
    <d v="1900-01-11T00:00:00"/>
    <x v="2"/>
    <s v="Delhi"/>
    <s v="Aditya Verma"/>
    <s v="Aditya Verma"/>
    <x v="0"/>
    <x v="1"/>
    <s v="Washing Machines"/>
    <s v="Whirlpool Semi Auto 7.5Kg"/>
    <x v="0"/>
    <s v="Delivered"/>
    <n v="8"/>
    <n v="13670"/>
    <n v="0.1"/>
    <n v="8600"/>
    <n v="98424"/>
    <n v="68800"/>
    <n v="29624"/>
    <n v="0.30098349995935952"/>
  </r>
  <r>
    <x v="664"/>
    <x v="285"/>
    <x v="0"/>
    <d v="1900-01-11T00:00:00"/>
    <x v="3"/>
    <s v="Visakhapatnam"/>
    <s v="Karthik Raman"/>
    <s v="Karthik Raman"/>
    <x v="2"/>
    <x v="4"/>
    <s v="Sports Gear"/>
    <s v="Sg Cricket Bat English Willow"/>
    <x v="1"/>
    <s v="Delivered"/>
    <n v="12"/>
    <n v="4430"/>
    <n v="0"/>
    <n v="2580"/>
    <n v="53160"/>
    <n v="30960"/>
    <n v="22200"/>
    <n v="0.41760722347629797"/>
  </r>
  <r>
    <x v="665"/>
    <x v="285"/>
    <x v="0"/>
    <d v="1900-01-11T00:00:00"/>
    <x v="3"/>
    <s v="Chennai"/>
    <s v="Anjali Menon"/>
    <s v="Anjali Menon"/>
    <x v="0"/>
    <x v="0"/>
    <s v="Televisions"/>
    <s v="Samsung Crystal 4K 55 Inch"/>
    <x v="0"/>
    <s v="Delivered"/>
    <n v="2"/>
    <n v="51050"/>
    <n v="0.08"/>
    <n v="35570"/>
    <n v="93932"/>
    <n v="71140"/>
    <n v="22792"/>
    <n v="0.24264361452965974"/>
  </r>
  <r>
    <x v="666"/>
    <x v="285"/>
    <x v="0"/>
    <d v="1900-01-11T00:00:00"/>
    <x v="2"/>
    <s v="Delhi"/>
    <s v="Rohit Malhotra"/>
    <s v="Rohit Malhotra"/>
    <x v="2"/>
    <x v="2"/>
    <s v="Footwear"/>
    <s v="Bata Formal Shoes"/>
    <x v="1"/>
    <s v="Delivered"/>
    <n v="21"/>
    <n v="2140"/>
    <n v="0.08"/>
    <n v="1660"/>
    <n v="41344.800000000003"/>
    <n v="34860"/>
    <n v="6484.8000000000029"/>
    <n v="0.15684681023974001"/>
  </r>
  <r>
    <x v="667"/>
    <x v="285"/>
    <x v="0"/>
    <d v="1900-01-11T00:00:00"/>
    <x v="1"/>
    <s v="Patna"/>
    <s v="Ritika Ghosh"/>
    <s v="Ritika Ghosh"/>
    <x v="3"/>
    <x v="3"/>
    <s v="Sofas"/>
    <s v="3-Seater Fabric Sofa"/>
    <x v="1"/>
    <s v="Delivered"/>
    <n v="4"/>
    <n v="33780"/>
    <n v="0"/>
    <n v="24110"/>
    <n v="135120"/>
    <n v="96440"/>
    <n v="38680"/>
    <n v="0.28626406157489637"/>
  </r>
  <r>
    <x v="668"/>
    <x v="285"/>
    <x v="0"/>
    <d v="1900-01-11T00:00:00"/>
    <x v="3"/>
    <s v="Kochi"/>
    <s v="Divya Nair"/>
    <s v="Divya Nair"/>
    <x v="0"/>
    <x v="3"/>
    <s v="Tables"/>
    <s v="Study Table Engineered Wood"/>
    <x v="1"/>
    <s v="Delivered"/>
    <n v="3"/>
    <n v="8210"/>
    <n v="0.18"/>
    <n v="6300"/>
    <n v="20196.600000000002"/>
    <n v="18900"/>
    <n v="1296.6000000000022"/>
    <n v="6.4198924571462618E-2"/>
  </r>
  <r>
    <x v="669"/>
    <x v="286"/>
    <x v="0"/>
    <d v="1900-01-11T00:00:00"/>
    <x v="2"/>
    <s v="Noida"/>
    <s v="Aditya Verma"/>
    <s v="Aditya Verma"/>
    <x v="0"/>
    <x v="2"/>
    <s v="Accessories"/>
    <s v="Fastrack Analog Watch"/>
    <x v="1"/>
    <s v="Delivered"/>
    <n v="13"/>
    <n v="2530"/>
    <n v="0.12"/>
    <n v="1620"/>
    <n v="28943.200000000001"/>
    <n v="21060"/>
    <n v="7883.2000000000007"/>
    <n v="0.27236794825727634"/>
  </r>
  <r>
    <x v="670"/>
    <x v="287"/>
    <x v="0"/>
    <d v="1900-01-11T00:00:00"/>
    <x v="3"/>
    <s v="Kochi"/>
    <s v="Divya Nair"/>
    <s v="Divya Nair"/>
    <x v="2"/>
    <x v="1"/>
    <s v="Washing Machines"/>
    <s v="Whirlpool Semi Auto 7.5Kg"/>
    <x v="1"/>
    <s v="Delivered"/>
    <n v="5"/>
    <n v="14940"/>
    <n v="0.1"/>
    <n v="11570"/>
    <n v="67230"/>
    <n v="57850"/>
    <n v="9380"/>
    <n v="0.13952104715156924"/>
  </r>
  <r>
    <x v="671"/>
    <x v="287"/>
    <x v="0"/>
    <d v="1900-01-11T00:00:00"/>
    <x v="3"/>
    <s v="Hyderabad"/>
    <s v="Karthik Raman"/>
    <s v="Karthik Raman"/>
    <x v="0"/>
    <x v="1"/>
    <s v="Air Conditioners"/>
    <s v="Voltas 1.5T Inverter Ac"/>
    <x v="0"/>
    <s v="Shipped"/>
    <n v="3"/>
    <n v="38760"/>
    <n v="0.15"/>
    <n v="26670"/>
    <n v="98838"/>
    <n v="80010"/>
    <n v="18828"/>
    <n v="0.19049353487525042"/>
  </r>
  <r>
    <x v="672"/>
    <x v="288"/>
    <x v="0"/>
    <d v="1900-01-11T00:00:00"/>
    <x v="1"/>
    <s v="Bhubaneswar"/>
    <s v="Ritika Ghosh"/>
    <s v="Ritika Ghosh"/>
    <x v="0"/>
    <x v="0"/>
    <s v="Audio Devices"/>
    <s v="Sony Wh-Ch720N"/>
    <x v="0"/>
    <s v="Delivered"/>
    <n v="13"/>
    <n v="8160"/>
    <n v="0.15"/>
    <n v="5160"/>
    <n v="90168"/>
    <n v="67080"/>
    <n v="23088"/>
    <n v="0.25605536332179929"/>
  </r>
  <r>
    <x v="673"/>
    <x v="288"/>
    <x v="0"/>
    <d v="1900-01-11T00:00:00"/>
    <x v="0"/>
    <s v="Pune"/>
    <s v="Neha Deshpande"/>
    <s v="Neha Deshpande"/>
    <x v="2"/>
    <x v="2"/>
    <s v="Footwear"/>
    <s v="Nike Revolution 7"/>
    <x v="0"/>
    <s v="Delivered"/>
    <n v="2"/>
    <n v="3960"/>
    <n v="0.05"/>
    <n v="2520"/>
    <n v="7524"/>
    <n v="5040"/>
    <n v="2484"/>
    <n v="0.33014354066985646"/>
  </r>
  <r>
    <x v="674"/>
    <x v="289"/>
    <x v="0"/>
    <d v="1900-01-11T00:00:00"/>
    <x v="3"/>
    <s v="Bengaluru"/>
    <s v="Anjali Menon"/>
    <s v="Anjali Menon"/>
    <x v="2"/>
    <x v="0"/>
    <s v="Televisions"/>
    <s v="Mi Tv 5X 43 Inch"/>
    <x v="1"/>
    <s v="Delivered"/>
    <n v="4"/>
    <n v="30520"/>
    <n v="0.1"/>
    <n v="20600"/>
    <n v="109872"/>
    <n v="82400"/>
    <n v="27472"/>
    <n v="0.25003640599970878"/>
  </r>
  <r>
    <x v="675"/>
    <x v="289"/>
    <x v="0"/>
    <d v="1900-01-11T00:00:00"/>
    <x v="0"/>
    <s v="Pune"/>
    <s v="Neha Deshpande"/>
    <s v="Neha Deshpande"/>
    <x v="0"/>
    <x v="4"/>
    <s v="Activewear"/>
    <s v="Puma Track Pants"/>
    <x v="1"/>
    <s v="Delivered"/>
    <n v="34"/>
    <n v="1650"/>
    <n v="0.12"/>
    <n v="1130"/>
    <n v="49368"/>
    <n v="38420"/>
    <n v="10948"/>
    <n v="0.22176308539944903"/>
  </r>
  <r>
    <x v="676"/>
    <x v="290"/>
    <x v="0"/>
    <d v="1900-01-11T00:00:00"/>
    <x v="0"/>
    <s v="Mumbai"/>
    <s v="Prateek Shah"/>
    <s v="Prateek Shah"/>
    <x v="0"/>
    <x v="0"/>
    <s v="Laptops"/>
    <s v="Macbook Air M3"/>
    <x v="1"/>
    <s v="Delivered"/>
    <n v="4"/>
    <n v="111140"/>
    <n v="0.12"/>
    <n v="73330"/>
    <n v="391212.79999999999"/>
    <n v="293320"/>
    <n v="97892.799999999988"/>
    <n v="0.25022903136093705"/>
  </r>
  <r>
    <x v="677"/>
    <x v="291"/>
    <x v="0"/>
    <d v="1900-01-11T00:00:00"/>
    <x v="2"/>
    <s v="Gurugram"/>
    <s v="Rohit Malhotra"/>
    <s v="Rohit Malhotra"/>
    <x v="3"/>
    <x v="0"/>
    <s v="Laptops"/>
    <s v="Dell Inspiron 3520"/>
    <x v="2"/>
    <s v="Shipped"/>
    <n v="4"/>
    <n v="53480"/>
    <n v="0.12"/>
    <n v="41930"/>
    <n v="188249.60000000001"/>
    <n v="167720"/>
    <n v="20529.600000000006"/>
    <n v="0.10905521180390293"/>
  </r>
  <r>
    <x v="678"/>
    <x v="291"/>
    <x v="0"/>
    <d v="1900-01-11T00:00:00"/>
    <x v="2"/>
    <s v="Delhi"/>
    <s v="Aditya Verma"/>
    <s v="Aditya Verma"/>
    <x v="0"/>
    <x v="2"/>
    <s v="Footwear"/>
    <s v="Bata Formal Shoes"/>
    <x v="0"/>
    <s v="Delivered"/>
    <n v="3"/>
    <n v="2120"/>
    <n v="0.08"/>
    <n v="1540"/>
    <n v="5851.2"/>
    <n v="4620"/>
    <n v="1231.1999999999998"/>
    <n v="0.21041837571780145"/>
  </r>
  <r>
    <x v="679"/>
    <x v="291"/>
    <x v="0"/>
    <d v="1900-01-11T00:00:00"/>
    <x v="3"/>
    <s v="Hyderabad"/>
    <s v="Anjali Menon"/>
    <s v="Anjali Menon"/>
    <x v="0"/>
    <x v="2"/>
    <s v="Footwear"/>
    <s v="Nike Revolution 7"/>
    <x v="1"/>
    <s v="Delivered"/>
    <n v="12"/>
    <n v="3940"/>
    <n v="0.05"/>
    <n v="2250"/>
    <n v="44916"/>
    <n v="27000"/>
    <n v="17916"/>
    <n v="0.39887790542345714"/>
  </r>
  <r>
    <x v="680"/>
    <x v="292"/>
    <x v="0"/>
    <d v="1900-01-11T00:00:00"/>
    <x v="1"/>
    <s v="Bhubaneswar"/>
    <s v="Sourav Das"/>
    <s v="Sourav Das"/>
    <x v="2"/>
    <x v="2"/>
    <s v="Apparel"/>
    <s v="Us Polo T-Shirt"/>
    <x v="0"/>
    <s v="Shipped"/>
    <n v="19"/>
    <n v="1240"/>
    <n v="0.15"/>
    <n v="820"/>
    <n v="20026"/>
    <n v="15580"/>
    <n v="4446"/>
    <n v="0.22201138519924099"/>
  </r>
  <r>
    <x v="681"/>
    <x v="293"/>
    <x v="0"/>
    <d v="1900-01-11T00:00:00"/>
    <x v="3"/>
    <s v="Bengaluru"/>
    <s v="Karthik Raman"/>
    <s v="Karthik Raman"/>
    <x v="3"/>
    <x v="1"/>
    <s v="Kitchen Appliances"/>
    <s v="Prestige Mixer Grinder"/>
    <x v="0"/>
    <s v="Delivered"/>
    <n v="8"/>
    <n v="4330"/>
    <n v="0"/>
    <n v="2870"/>
    <n v="34640"/>
    <n v="22960"/>
    <n v="11680"/>
    <n v="0.33718244803695152"/>
  </r>
  <r>
    <x v="682"/>
    <x v="293"/>
    <x v="0"/>
    <d v="1900-01-11T00:00:00"/>
    <x v="2"/>
    <s v="Noida"/>
    <s v="Aditya Verma"/>
    <s v="Aditya Verma"/>
    <x v="0"/>
    <x v="0"/>
    <s v="Laptops"/>
    <s v="Dell Inspiron 3520"/>
    <x v="0"/>
    <s v="Delivered"/>
    <n v="3"/>
    <n v="58620"/>
    <n v="0.05"/>
    <n v="43970"/>
    <n v="167067"/>
    <n v="131910"/>
    <n v="35157"/>
    <n v="0.21043653145145361"/>
  </r>
  <r>
    <x v="683"/>
    <x v="293"/>
    <x v="0"/>
    <d v="1900-01-11T00:00:00"/>
    <x v="0"/>
    <s v="Nashik"/>
    <s v="Neha Deshpande"/>
    <s v="Neha Deshpande"/>
    <x v="2"/>
    <x v="4"/>
    <s v="Fitness Equipment"/>
    <s v="Adjustable Dumbbell Set 10Kg"/>
    <x v="1"/>
    <s v="Delivered"/>
    <n v="37"/>
    <n v="2320"/>
    <n v="0.05"/>
    <n v="1510"/>
    <n v="81548"/>
    <n v="55870"/>
    <n v="25678"/>
    <n v="0.31488203266787657"/>
  </r>
  <r>
    <x v="684"/>
    <x v="293"/>
    <x v="0"/>
    <d v="1900-01-11T00:00:00"/>
    <x v="0"/>
    <s v="Ahmedabad"/>
    <s v="Prateek Shah"/>
    <s v="Prateek Shah"/>
    <x v="3"/>
    <x v="4"/>
    <s v="Activewear"/>
    <s v="Puma Track Pants"/>
    <x v="2"/>
    <s v="Delivered"/>
    <n v="9"/>
    <n v="1700"/>
    <n v="0.15"/>
    <n v="1090"/>
    <n v="13005"/>
    <n v="9810"/>
    <n v="3195"/>
    <n v="0.24567474048442905"/>
  </r>
  <r>
    <x v="685"/>
    <x v="294"/>
    <x v="0"/>
    <d v="1900-01-11T00:00:00"/>
    <x v="2"/>
    <s v="Lucknow"/>
    <s v="Aditya Verma"/>
    <s v="Aditya Verma"/>
    <x v="1"/>
    <x v="0"/>
    <s v="Televisions"/>
    <s v="Mi Tv 5X 43 Inch"/>
    <x v="2"/>
    <s v="Delivered"/>
    <n v="6"/>
    <n v="33420"/>
    <n v="0.2"/>
    <n v="25940"/>
    <n v="160416"/>
    <n v="155640"/>
    <n v="4776"/>
    <n v="2.9772591262716936E-2"/>
  </r>
  <r>
    <x v="686"/>
    <x v="294"/>
    <x v="0"/>
    <d v="1900-01-11T00:00:00"/>
    <x v="2"/>
    <s v="Jaipur"/>
    <s v="Simran Kaur"/>
    <s v="Simran Kaur"/>
    <x v="2"/>
    <x v="2"/>
    <s v="Apparel"/>
    <s v="Us Polo T-Shirt"/>
    <x v="0"/>
    <s v="Pending"/>
    <n v="10"/>
    <n v="1240"/>
    <n v="0"/>
    <n v="770"/>
    <n v="12400"/>
    <n v="7700"/>
    <n v="4700"/>
    <n v="0.37903225806451613"/>
  </r>
  <r>
    <x v="687"/>
    <x v="294"/>
    <x v="0"/>
    <d v="1900-01-11T00:00:00"/>
    <x v="4"/>
    <s v="Ujjain"/>
    <s v="Pooja Chouhan"/>
    <s v="Pooja Chouhan"/>
    <x v="3"/>
    <x v="1"/>
    <s v="Refrigerators"/>
    <s v="Lg 260L Double Door"/>
    <x v="0"/>
    <s v="Delivered"/>
    <n v="11"/>
    <n v="28880"/>
    <n v="0"/>
    <n v="22380"/>
    <n v="317680"/>
    <n v="246180"/>
    <n v="71500"/>
    <n v="0.22506925207756232"/>
  </r>
  <r>
    <x v="688"/>
    <x v="294"/>
    <x v="0"/>
    <d v="1900-01-11T00:00:00"/>
    <x v="0"/>
    <s v="Surat"/>
    <s v="Neha Deshpande"/>
    <s v="Neha Deshpande"/>
    <x v="0"/>
    <x v="0"/>
    <s v="Audio Devices"/>
    <s v="Sony Wh-Ch720N"/>
    <x v="0"/>
    <s v="Delivered"/>
    <n v="10"/>
    <n v="8810"/>
    <n v="0"/>
    <n v="5380"/>
    <n v="88100"/>
    <n v="53800"/>
    <n v="34300"/>
    <n v="0.38933030646992056"/>
  </r>
  <r>
    <x v="689"/>
    <x v="294"/>
    <x v="0"/>
    <d v="1900-01-11T00:00:00"/>
    <x v="3"/>
    <s v="Coimbatore"/>
    <s v="Anjali Menon"/>
    <s v="Anjali Menon"/>
    <x v="3"/>
    <x v="2"/>
    <s v="Accessories"/>
    <s v="Fastrack Analog Watch"/>
    <x v="0"/>
    <s v="Delivered"/>
    <n v="66"/>
    <n v="2470"/>
    <n v="0.12"/>
    <n v="1400"/>
    <n v="143457.60000000001"/>
    <n v="92400"/>
    <n v="51057.600000000006"/>
    <n v="0.35590725064409279"/>
  </r>
  <r>
    <x v="690"/>
    <x v="295"/>
    <x v="0"/>
    <d v="1900-01-11T00:00:00"/>
    <x v="2"/>
    <s v="Chandigarh"/>
    <s v="Aditya Verma"/>
    <s v="Aditya Verma"/>
    <x v="2"/>
    <x v="3"/>
    <s v="Storage"/>
    <s v="Metal Shoe Rack"/>
    <x v="0"/>
    <s v="Delivered"/>
    <n v="15"/>
    <n v="3340"/>
    <n v="0.18"/>
    <n v="2160"/>
    <n v="41082"/>
    <n v="32400"/>
    <n v="8682"/>
    <n v="0.21133343069957647"/>
  </r>
  <r>
    <x v="691"/>
    <x v="295"/>
    <x v="0"/>
    <d v="1900-01-11T00:00:00"/>
    <x v="0"/>
    <s v="Ahmedabad"/>
    <s v="Prateek Shah"/>
    <s v="Prateek Shah"/>
    <x v="2"/>
    <x v="3"/>
    <s v="Office Chairs"/>
    <s v="Nilkamal Executive Chair"/>
    <x v="0"/>
    <s v="Delivered"/>
    <n v="9"/>
    <n v="6550"/>
    <n v="0"/>
    <n v="4260"/>
    <n v="58950"/>
    <n v="38340"/>
    <n v="20610"/>
    <n v="0.34961832061068704"/>
  </r>
  <r>
    <x v="692"/>
    <x v="295"/>
    <x v="0"/>
    <d v="1900-01-11T00:00:00"/>
    <x v="4"/>
    <s v="Indore"/>
    <s v="Pooja Chouhan"/>
    <s v="Pooja Chouhan"/>
    <x v="1"/>
    <x v="0"/>
    <s v="Audio Devices"/>
    <s v="Boat Airdopes 141"/>
    <x v="2"/>
    <s v="Delivered"/>
    <n v="45"/>
    <n v="1800"/>
    <n v="0.18"/>
    <n v="1340"/>
    <n v="66420"/>
    <n v="60300"/>
    <n v="6120"/>
    <n v="9.2140921409214094E-2"/>
  </r>
  <r>
    <x v="693"/>
    <x v="295"/>
    <x v="0"/>
    <d v="1900-01-11T00:00:00"/>
    <x v="3"/>
    <s v="Bengaluru"/>
    <s v="Anjali Menon"/>
    <s v="Anjali Menon"/>
    <x v="0"/>
    <x v="2"/>
    <s v="Footwear"/>
    <s v="Campus Running Shoes"/>
    <x v="1"/>
    <s v="Delivered"/>
    <n v="37"/>
    <n v="1710"/>
    <n v="0.05"/>
    <n v="1300"/>
    <n v="60106.5"/>
    <n v="48100"/>
    <n v="12006.5"/>
    <n v="0.19975377039088951"/>
  </r>
  <r>
    <x v="694"/>
    <x v="296"/>
    <x v="0"/>
    <d v="1900-01-11T00:00:00"/>
    <x v="3"/>
    <s v="Kochi"/>
    <s v="Anjali Menon"/>
    <s v="Anjali Menon"/>
    <x v="0"/>
    <x v="1"/>
    <s v="Kitchen Appliances"/>
    <s v="Pigeon Induction Cooktop"/>
    <x v="2"/>
    <s v="Delivered"/>
    <n v="21"/>
    <n v="2640"/>
    <n v="0.18"/>
    <n v="1520"/>
    <n v="45460.800000000003"/>
    <n v="31920"/>
    <n v="13540.800000000003"/>
    <n v="0.29785661492978571"/>
  </r>
  <r>
    <x v="695"/>
    <x v="297"/>
    <x v="0"/>
    <d v="1900-01-11T00:00:00"/>
    <x v="0"/>
    <s v="Mumbai"/>
    <s v="Prateek Shah"/>
    <s v="Prateek Shah"/>
    <x v="3"/>
    <x v="3"/>
    <s v="Sofas"/>
    <s v="3-Seater Fabric Sofa"/>
    <x v="2"/>
    <s v="Delivered"/>
    <n v="7"/>
    <n v="34540"/>
    <n v="0.12"/>
    <n v="22520"/>
    <n v="212766.4"/>
    <n v="157640"/>
    <n v="55126.399999999994"/>
    <n v="0.25909354108543453"/>
  </r>
  <r>
    <x v="696"/>
    <x v="298"/>
    <x v="1"/>
    <d v="1899-12-31T00:00:00"/>
    <x v="1"/>
    <s v="Siliguri"/>
    <s v="Ritika Ghosh"/>
    <s v="Ritika Ghosh"/>
    <x v="3"/>
    <x v="2"/>
    <s v="Accessories"/>
    <s v="Wildcraft 35L Backpack"/>
    <x v="0"/>
    <s v="Delivered"/>
    <n v="50"/>
    <n v="2000"/>
    <n v="0.1"/>
    <n v="1380"/>
    <n v="90000"/>
    <n v="69000"/>
    <n v="21000"/>
    <n v="0.23333333333333334"/>
  </r>
  <r>
    <x v="697"/>
    <x v="299"/>
    <x v="1"/>
    <d v="1899-12-31T00:00:00"/>
    <x v="2"/>
    <s v="Delhi"/>
    <s v="Simran Kaur"/>
    <s v="Simran Kaur"/>
    <x v="1"/>
    <x v="2"/>
    <s v="Footwear"/>
    <s v="Nike Revolution 7"/>
    <x v="0"/>
    <s v="Delivered"/>
    <n v="16"/>
    <n v="3810"/>
    <n v="0"/>
    <n v="2210"/>
    <n v="60960"/>
    <n v="35360"/>
    <n v="25600"/>
    <n v="0.41994750656167978"/>
  </r>
  <r>
    <x v="698"/>
    <x v="299"/>
    <x v="1"/>
    <d v="1899-12-31T00:00:00"/>
    <x v="3"/>
    <s v="Coimbatore"/>
    <s v="Karthik Raman"/>
    <s v="Karthik Raman"/>
    <x v="3"/>
    <x v="1"/>
    <s v="Washing Machines"/>
    <s v="Whirlpool Semi Auto 7.5Kg"/>
    <x v="0"/>
    <s v="Delivered"/>
    <n v="8"/>
    <n v="14600"/>
    <n v="0"/>
    <n v="8460"/>
    <n v="116800"/>
    <n v="67680"/>
    <n v="49120"/>
    <n v="0.42054794520547945"/>
  </r>
  <r>
    <x v="699"/>
    <x v="299"/>
    <x v="1"/>
    <d v="1899-12-31T00:00:00"/>
    <x v="3"/>
    <s v="Bengaluru"/>
    <s v="Karthik Raman"/>
    <s v="Karthik Raman"/>
    <x v="0"/>
    <x v="4"/>
    <s v="Sports Gear"/>
    <s v="Sg Cricket Bat English Willow"/>
    <x v="1"/>
    <s v="Delivered"/>
    <n v="6"/>
    <n v="4470"/>
    <n v="0.05"/>
    <n v="3100"/>
    <n v="25479"/>
    <n v="18600"/>
    <n v="6879"/>
    <n v="0.26998704815730601"/>
  </r>
  <r>
    <x v="700"/>
    <x v="299"/>
    <x v="1"/>
    <d v="1899-12-31T00:00:00"/>
    <x v="4"/>
    <s v="Ujjain"/>
    <s v="Pooja Chouhan"/>
    <s v="Pooja Chouhan"/>
    <x v="1"/>
    <x v="2"/>
    <s v="Apparel"/>
    <s v="Levis 511 Jeans"/>
    <x v="1"/>
    <s v="Shipped"/>
    <n v="13"/>
    <n v="2850"/>
    <n v="0.12"/>
    <n v="2130"/>
    <n v="32604"/>
    <n v="27690"/>
    <n v="4914"/>
    <n v="0.15071770334928231"/>
  </r>
  <r>
    <x v="701"/>
    <x v="299"/>
    <x v="1"/>
    <d v="1899-12-31T00:00:00"/>
    <x v="2"/>
    <s v="Chandigarh"/>
    <s v="Rohit Malhotra"/>
    <s v="Rohit Malhotra"/>
    <x v="0"/>
    <x v="2"/>
    <s v="Accessories"/>
    <s v="Fastrack Analog Watch"/>
    <x v="1"/>
    <s v="Delivered"/>
    <n v="31"/>
    <n v="2690"/>
    <n v="0.05"/>
    <n v="1890"/>
    <n v="79220.5"/>
    <n v="58590"/>
    <n v="20630.5"/>
    <n v="0.26041870475445117"/>
  </r>
  <r>
    <x v="702"/>
    <x v="299"/>
    <x v="1"/>
    <d v="1899-12-31T00:00:00"/>
    <x v="4"/>
    <s v="Ujjain"/>
    <s v="Manish Tiwari"/>
    <s v="Manish Tiwari"/>
    <x v="3"/>
    <x v="2"/>
    <s v="Apparel"/>
    <s v="Levis 511 Jeans"/>
    <x v="1"/>
    <s v="Delivered"/>
    <n v="17"/>
    <n v="2960"/>
    <n v="0.05"/>
    <n v="2280"/>
    <n v="47804"/>
    <n v="38760"/>
    <n v="9044"/>
    <n v="0.1891891891891892"/>
  </r>
  <r>
    <x v="703"/>
    <x v="300"/>
    <x v="1"/>
    <d v="1899-12-31T00:00:00"/>
    <x v="2"/>
    <s v="Noida"/>
    <s v="Rohit Malhotra"/>
    <s v="Rohit Malhotra"/>
    <x v="2"/>
    <x v="1"/>
    <s v="Washing Machines"/>
    <s v="Ifb Front Load 7Kg"/>
    <x v="0"/>
    <s v="Delivered"/>
    <n v="3"/>
    <n v="35380"/>
    <n v="0"/>
    <n v="25430"/>
    <n v="106140"/>
    <n v="76290"/>
    <n v="29850"/>
    <n v="0.28123233465234598"/>
  </r>
  <r>
    <x v="704"/>
    <x v="300"/>
    <x v="1"/>
    <d v="1899-12-31T00:00:00"/>
    <x v="2"/>
    <s v="Jaipur"/>
    <s v="Aditya Verma"/>
    <s v="Aditya Verma"/>
    <x v="0"/>
    <x v="2"/>
    <s v="Apparel"/>
    <s v="Levis 511 Jeans"/>
    <x v="1"/>
    <s v="Shipped"/>
    <n v="34"/>
    <n v="2790"/>
    <n v="0.05"/>
    <n v="1890"/>
    <n v="90117"/>
    <n v="64260"/>
    <n v="25857"/>
    <n v="0.28692699490662138"/>
  </r>
  <r>
    <x v="705"/>
    <x v="300"/>
    <x v="1"/>
    <d v="1899-12-31T00:00:00"/>
    <x v="3"/>
    <s v="Visakhapatnam"/>
    <s v="Anjali Menon"/>
    <s v="Anjali Menon"/>
    <x v="0"/>
    <x v="3"/>
    <s v="Storage"/>
    <s v="3-Door Wardrobe"/>
    <x v="0"/>
    <s v="Returned"/>
    <n v="7"/>
    <n v="29290"/>
    <n v="0"/>
    <n v="22740"/>
    <n v="205030"/>
    <n v="159180"/>
    <n v="45850"/>
    <n v="0.22362581085694777"/>
  </r>
  <r>
    <x v="706"/>
    <x v="300"/>
    <x v="1"/>
    <d v="1899-12-31T00:00:00"/>
    <x v="0"/>
    <s v="Surat"/>
    <s v="Neha Deshpande"/>
    <s v="Neha Deshpande"/>
    <x v="3"/>
    <x v="0"/>
    <s v="Televisions"/>
    <s v="Samsung Crystal 4K 55 Inch"/>
    <x v="0"/>
    <s v="Delivered"/>
    <n v="4"/>
    <n v="53040"/>
    <n v="0.08"/>
    <n v="39220"/>
    <n v="195187.20000000001"/>
    <n v="156880"/>
    <n v="38307.200000000012"/>
    <n v="0.19625877106695525"/>
  </r>
  <r>
    <x v="707"/>
    <x v="300"/>
    <x v="1"/>
    <d v="1899-12-31T00:00:00"/>
    <x v="4"/>
    <s v="Raipur"/>
    <s v="Pooja Chouhan"/>
    <s v="Pooja Chouhan"/>
    <x v="0"/>
    <x v="2"/>
    <s v="Apparel"/>
    <s v="Levis 511 Jeans"/>
    <x v="0"/>
    <s v="Delivered"/>
    <n v="22"/>
    <n v="2870"/>
    <n v="0.1"/>
    <n v="1770"/>
    <n v="56826"/>
    <n v="38940"/>
    <n v="17886"/>
    <n v="0.31475029036004648"/>
  </r>
  <r>
    <x v="708"/>
    <x v="300"/>
    <x v="1"/>
    <d v="1899-12-31T00:00:00"/>
    <x v="3"/>
    <s v="Kochi"/>
    <s v="Karthik Raman"/>
    <s v="Karthik Raman"/>
    <x v="0"/>
    <x v="2"/>
    <s v="Accessories"/>
    <s v="Fastrack Analog Watch"/>
    <x v="1"/>
    <s v="Delivered"/>
    <n v="9"/>
    <n v="2610"/>
    <n v="0.1"/>
    <n v="1730"/>
    <n v="21141"/>
    <n v="15570"/>
    <n v="5571"/>
    <n v="0.26351638995317156"/>
  </r>
  <r>
    <x v="709"/>
    <x v="301"/>
    <x v="1"/>
    <d v="1899-12-31T00:00:00"/>
    <x v="4"/>
    <s v="Indore"/>
    <s v="Pooja Chouhan"/>
    <s v="Pooja Chouhan"/>
    <x v="3"/>
    <x v="1"/>
    <s v="Washing Machines"/>
    <s v="Whirlpool Semi Auto 7.5Kg"/>
    <x v="2"/>
    <s v="Delivered"/>
    <n v="12"/>
    <n v="13530"/>
    <n v="0.05"/>
    <n v="8660"/>
    <n v="154242"/>
    <n v="103920"/>
    <n v="50322"/>
    <n v="0.32625354961683589"/>
  </r>
  <r>
    <x v="710"/>
    <x v="301"/>
    <x v="1"/>
    <d v="1899-12-31T00:00:00"/>
    <x v="4"/>
    <s v="Indore"/>
    <s v="Pooja Chouhan"/>
    <s v="Pooja Chouhan"/>
    <x v="2"/>
    <x v="2"/>
    <s v="Footwear"/>
    <s v="Nike Revolution 7"/>
    <x v="0"/>
    <s v="Delivered"/>
    <n v="6"/>
    <n v="3620"/>
    <n v="0.08"/>
    <n v="2230"/>
    <n v="19982.400000000001"/>
    <n v="13380"/>
    <n v="6602.4000000000015"/>
    <n v="0.33041076147009374"/>
  </r>
  <r>
    <x v="711"/>
    <x v="301"/>
    <x v="1"/>
    <d v="1899-12-31T00:00:00"/>
    <x v="2"/>
    <s v="Gurugram"/>
    <s v="Simran Kaur"/>
    <s v="Simran Kaur"/>
    <x v="0"/>
    <x v="1"/>
    <s v="Air Conditioners"/>
    <s v="Voltas 1.5T Inverter Ac"/>
    <x v="2"/>
    <s v="Delivered"/>
    <n v="1"/>
    <n v="36630"/>
    <n v="0.05"/>
    <n v="21110"/>
    <n v="34798.5"/>
    <n v="21110"/>
    <n v="13688.5"/>
    <n v="0.39336465652255126"/>
  </r>
  <r>
    <x v="712"/>
    <x v="301"/>
    <x v="1"/>
    <d v="1899-12-31T00:00:00"/>
    <x v="3"/>
    <s v="Visakhapatnam"/>
    <s v="Divya Nair"/>
    <s v="Divya Nair"/>
    <x v="0"/>
    <x v="0"/>
    <s v="Laptops"/>
    <s v="Dell Inspiron 3520"/>
    <x v="1"/>
    <s v="Delivered"/>
    <n v="3"/>
    <n v="55230"/>
    <n v="0.08"/>
    <n v="33580"/>
    <n v="152434.80000000002"/>
    <n v="100740"/>
    <n v="51694.800000000017"/>
    <n v="0.3391272858953468"/>
  </r>
  <r>
    <x v="713"/>
    <x v="302"/>
    <x v="1"/>
    <d v="1899-12-31T00:00:00"/>
    <x v="2"/>
    <s v="Delhi"/>
    <s v="Aditya Verma"/>
    <s v="Aditya Verma"/>
    <x v="2"/>
    <x v="4"/>
    <s v="Fitness Equipment"/>
    <s v="Adjustable Dumbbell Set 10Kg"/>
    <x v="2"/>
    <s v="Delivered"/>
    <n v="15"/>
    <n v="2540"/>
    <n v="0.18"/>
    <n v="1810"/>
    <n v="31242.000000000004"/>
    <n v="27150"/>
    <n v="4092.0000000000036"/>
    <n v="0.13097753024774353"/>
  </r>
  <r>
    <x v="714"/>
    <x v="302"/>
    <x v="1"/>
    <d v="1899-12-31T00:00:00"/>
    <x v="2"/>
    <s v="Lucknow"/>
    <s v="Aditya Verma"/>
    <s v="Aditya Verma"/>
    <x v="3"/>
    <x v="2"/>
    <s v="Apparel"/>
    <s v="Us Polo T-Shirt"/>
    <x v="1"/>
    <s v="Shipped"/>
    <n v="42"/>
    <n v="1230"/>
    <n v="0.2"/>
    <n v="830"/>
    <n v="41328"/>
    <n v="34860"/>
    <n v="6468"/>
    <n v="0.1565040650406504"/>
  </r>
  <r>
    <x v="715"/>
    <x v="302"/>
    <x v="1"/>
    <d v="1899-12-31T00:00:00"/>
    <x v="3"/>
    <s v="Kochi"/>
    <s v="Divya Nair"/>
    <s v="Divya Nair"/>
    <x v="3"/>
    <x v="0"/>
    <s v="Televisions"/>
    <s v="Mi Tv 5X 43 Inch"/>
    <x v="0"/>
    <s v="Delivered"/>
    <n v="8"/>
    <n v="33790"/>
    <n v="0.08"/>
    <n v="21130"/>
    <n v="248694.40000000002"/>
    <n v="169040"/>
    <n v="79654.400000000023"/>
    <n v="0.32029028397905229"/>
  </r>
  <r>
    <x v="716"/>
    <x v="302"/>
    <x v="1"/>
    <d v="1899-12-31T00:00:00"/>
    <x v="3"/>
    <s v="Bengaluru"/>
    <s v="Divya Nair"/>
    <s v="Divya Nair"/>
    <x v="0"/>
    <x v="2"/>
    <s v="Accessories"/>
    <s v="Fastrack Analog Watch"/>
    <x v="1"/>
    <s v="Delivered"/>
    <n v="5"/>
    <n v="2530"/>
    <n v="0.05"/>
    <n v="1960"/>
    <n v="12017.5"/>
    <n v="9800"/>
    <n v="2217.5"/>
    <n v="0.18452257125026003"/>
  </r>
  <r>
    <x v="717"/>
    <x v="303"/>
    <x v="1"/>
    <d v="1899-12-31T00:00:00"/>
    <x v="3"/>
    <s v="Visakhapatnam"/>
    <s v="Anjali Menon"/>
    <s v="Anjali Menon"/>
    <x v="0"/>
    <x v="0"/>
    <s v="Mobile Phones"/>
    <s v="Samsung Galaxy M35"/>
    <x v="2"/>
    <s v="Delivered"/>
    <n v="1"/>
    <n v="22600"/>
    <n v="0.08"/>
    <n v="14090"/>
    <n v="20792"/>
    <n v="14090"/>
    <n v="6702"/>
    <n v="0.32233551365909963"/>
  </r>
  <r>
    <x v="718"/>
    <x v="303"/>
    <x v="1"/>
    <d v="1899-12-31T00:00:00"/>
    <x v="0"/>
    <s v="Mumbai"/>
    <s v="Neha Deshpande"/>
    <s v="Neha Deshpande"/>
    <x v="0"/>
    <x v="4"/>
    <s v="Sports Gear"/>
    <s v="Yonex Badminton Racket"/>
    <x v="0"/>
    <s v="Delivered"/>
    <n v="15"/>
    <n v="3050"/>
    <n v="0.2"/>
    <n v="1980"/>
    <n v="36600"/>
    <n v="29700"/>
    <n v="6900"/>
    <n v="0.18852459016393441"/>
  </r>
  <r>
    <x v="719"/>
    <x v="303"/>
    <x v="1"/>
    <d v="1899-12-31T00:00:00"/>
    <x v="0"/>
    <s v="Nagpur"/>
    <s v="Imran Sheikh"/>
    <s v="Imran Sheikh"/>
    <x v="0"/>
    <x v="1"/>
    <s v="Refrigerators"/>
    <s v="Samsung 192L Single Door"/>
    <x v="1"/>
    <s v="Delivered"/>
    <n v="1"/>
    <n v="15540"/>
    <n v="0.1"/>
    <n v="9800"/>
    <n v="13986"/>
    <n v="9800"/>
    <n v="4186"/>
    <n v="0.29929929929929933"/>
  </r>
  <r>
    <x v="720"/>
    <x v="303"/>
    <x v="1"/>
    <d v="1899-12-31T00:00:00"/>
    <x v="0"/>
    <s v="Surat"/>
    <s v="Neha Deshpande"/>
    <s v="Neha Deshpande"/>
    <x v="2"/>
    <x v="4"/>
    <s v="Sports Gear"/>
    <s v="Sg Cricket Bat English Willow"/>
    <x v="0"/>
    <s v="Delivered"/>
    <n v="6"/>
    <n v="4450"/>
    <n v="0"/>
    <n v="2580"/>
    <n v="26700"/>
    <n v="15480"/>
    <n v="11220"/>
    <n v="0.42022471910112358"/>
  </r>
  <r>
    <x v="721"/>
    <x v="304"/>
    <x v="1"/>
    <d v="1899-12-31T00:00:00"/>
    <x v="0"/>
    <s v="Nagpur"/>
    <s v="Prateek Shah"/>
    <s v="Prateek Shah"/>
    <x v="2"/>
    <x v="0"/>
    <s v="Televisions"/>
    <s v="Samsung Crystal 4K 55 Inch"/>
    <x v="0"/>
    <s v="Delivered"/>
    <n v="4"/>
    <n v="55190"/>
    <n v="0"/>
    <n v="41300"/>
    <n v="220760"/>
    <n v="165200"/>
    <n v="55560"/>
    <n v="0.25167602826599023"/>
  </r>
  <r>
    <x v="722"/>
    <x v="305"/>
    <x v="1"/>
    <d v="1899-12-31T00:00:00"/>
    <x v="3"/>
    <s v="Kochi"/>
    <s v="Karthik Raman"/>
    <s v="Karthik Raman"/>
    <x v="2"/>
    <x v="3"/>
    <s v="Storage"/>
    <s v="3-Door Wardrobe"/>
    <x v="1"/>
    <s v="Delivered"/>
    <n v="5"/>
    <n v="28010"/>
    <n v="0.15"/>
    <n v="21930"/>
    <n v="119042.5"/>
    <n v="109650"/>
    <n v="9392.5"/>
    <n v="7.8900392716886827E-2"/>
  </r>
  <r>
    <x v="723"/>
    <x v="305"/>
    <x v="1"/>
    <d v="1899-12-31T00:00:00"/>
    <x v="0"/>
    <s v="Nashik"/>
    <s v="Imran Sheikh"/>
    <s v="Imran Sheikh"/>
    <x v="3"/>
    <x v="2"/>
    <s v="Footwear"/>
    <s v="Campus Running Shoes"/>
    <x v="0"/>
    <s v="Returned"/>
    <n v="48"/>
    <n v="1570"/>
    <n v="0.18"/>
    <n v="1100"/>
    <n v="61795.200000000004"/>
    <n v="52800"/>
    <n v="8995.2000000000044"/>
    <n v="0.14556470405468391"/>
  </r>
  <r>
    <x v="724"/>
    <x v="305"/>
    <x v="1"/>
    <d v="1899-12-31T00:00:00"/>
    <x v="3"/>
    <s v="Kochi"/>
    <s v="Karthik Raman"/>
    <s v="Karthik Raman"/>
    <x v="0"/>
    <x v="0"/>
    <s v="Laptops"/>
    <s v="Dell Inspiron 3520"/>
    <x v="1"/>
    <s v="Returned"/>
    <n v="1"/>
    <n v="55580"/>
    <n v="0.08"/>
    <n v="32210"/>
    <n v="51133.600000000006"/>
    <n v="32210"/>
    <n v="18923.600000000006"/>
    <n v="0.37008151196082428"/>
  </r>
  <r>
    <x v="725"/>
    <x v="306"/>
    <x v="1"/>
    <d v="1899-12-31T00:00:00"/>
    <x v="3"/>
    <s v="Chennai"/>
    <s v="Divya Nair"/>
    <s v="Divya Nair"/>
    <x v="3"/>
    <x v="2"/>
    <s v="Apparel"/>
    <s v="Allen Solly Formal Shirt"/>
    <x v="2"/>
    <s v="Delivered"/>
    <n v="54"/>
    <n v="1820"/>
    <n v="0.2"/>
    <n v="1230"/>
    <n v="78624"/>
    <n v="66420"/>
    <n v="12204"/>
    <n v="0.15521978021978022"/>
  </r>
  <r>
    <x v="726"/>
    <x v="306"/>
    <x v="1"/>
    <d v="1899-12-31T00:00:00"/>
    <x v="4"/>
    <s v="Raipur"/>
    <s v="Pooja Chouhan"/>
    <s v="Pooja Chouhan"/>
    <x v="3"/>
    <x v="4"/>
    <s v="Sports Gear"/>
    <s v="Yonex Badminton Racket"/>
    <x v="1"/>
    <s v="Delivered"/>
    <n v="16"/>
    <n v="3280"/>
    <n v="0.15"/>
    <n v="2340"/>
    <n v="44608"/>
    <n v="37440"/>
    <n v="7168"/>
    <n v="0.1606886657101865"/>
  </r>
  <r>
    <x v="727"/>
    <x v="307"/>
    <x v="1"/>
    <d v="1899-12-31T00:00:00"/>
    <x v="0"/>
    <s v="Surat"/>
    <s v="Imran Sheikh"/>
    <s v="Imran Sheikh"/>
    <x v="2"/>
    <x v="3"/>
    <s v="Sofas"/>
    <s v="3-Seater Fabric Sofa"/>
    <x v="1"/>
    <s v="Delivered"/>
    <n v="4"/>
    <n v="33810"/>
    <n v="0.18"/>
    <n v="19810"/>
    <n v="110896.8"/>
    <n v="79240"/>
    <n v="31656.800000000003"/>
    <n v="0.2854617987173661"/>
  </r>
  <r>
    <x v="728"/>
    <x v="308"/>
    <x v="1"/>
    <d v="1899-12-31T00:00:00"/>
    <x v="2"/>
    <s v="Delhi"/>
    <s v="Simran Kaur"/>
    <s v="Simran Kaur"/>
    <x v="0"/>
    <x v="0"/>
    <s v="Audio Devices"/>
    <s v="Sony Wh-Ch720N"/>
    <x v="0"/>
    <s v="Delivered"/>
    <n v="13"/>
    <n v="8880"/>
    <n v="0.2"/>
    <n v="6660"/>
    <n v="92352"/>
    <n v="86580"/>
    <n v="5772"/>
    <n v="6.25E-2"/>
  </r>
  <r>
    <x v="729"/>
    <x v="308"/>
    <x v="1"/>
    <d v="1899-12-31T00:00:00"/>
    <x v="2"/>
    <s v="Jaipur"/>
    <s v="Rohit Malhotra"/>
    <s v="Rohit Malhotra"/>
    <x v="0"/>
    <x v="0"/>
    <s v="Audio Devices"/>
    <s v="Jbl Flip 6"/>
    <x v="0"/>
    <s v="Delivered"/>
    <n v="10"/>
    <n v="8870"/>
    <n v="0.1"/>
    <n v="6760"/>
    <n v="79830"/>
    <n v="67600"/>
    <n v="12230"/>
    <n v="0.15320055117123887"/>
  </r>
  <r>
    <x v="730"/>
    <x v="309"/>
    <x v="1"/>
    <d v="1899-12-31T00:00:00"/>
    <x v="4"/>
    <s v="Ujjain"/>
    <s v="Manish Tiwari"/>
    <s v="Manish Tiwari"/>
    <x v="1"/>
    <x v="0"/>
    <s v="Televisions"/>
    <s v="Samsung Crystal 4K 55 Inch"/>
    <x v="2"/>
    <s v="Shipped"/>
    <n v="5"/>
    <n v="50760"/>
    <n v="0.1"/>
    <n v="30970"/>
    <n v="228420"/>
    <n v="154850"/>
    <n v="73570"/>
    <n v="0.32208212941073461"/>
  </r>
  <r>
    <x v="731"/>
    <x v="309"/>
    <x v="1"/>
    <d v="1899-12-31T00:00:00"/>
    <x v="2"/>
    <s v="Jaipur"/>
    <s v="Aditya Verma"/>
    <s v="Aditya Verma"/>
    <x v="0"/>
    <x v="1"/>
    <s v="Air Conditioners"/>
    <s v="Voltas 1.5T Inverter Ac"/>
    <x v="2"/>
    <s v="Delivered"/>
    <n v="3"/>
    <n v="34980"/>
    <n v="0.08"/>
    <n v="22940"/>
    <n v="96544.8"/>
    <n v="68820"/>
    <n v="27724.800000000003"/>
    <n v="0.28717030849926667"/>
  </r>
  <r>
    <x v="732"/>
    <x v="309"/>
    <x v="1"/>
    <d v="1899-12-31T00:00:00"/>
    <x v="4"/>
    <s v="Indore"/>
    <s v="Manish Tiwari"/>
    <s v="Manish Tiwari"/>
    <x v="0"/>
    <x v="0"/>
    <s v="Mobile Phones"/>
    <s v="Samsung Galaxy M35"/>
    <x v="1"/>
    <s v="Delivered"/>
    <n v="8"/>
    <n v="23440"/>
    <n v="0.12"/>
    <n v="14540"/>
    <n v="165017.60000000001"/>
    <n v="116320"/>
    <n v="48697.600000000006"/>
    <n v="0.29510549177784673"/>
  </r>
  <r>
    <x v="733"/>
    <x v="310"/>
    <x v="1"/>
    <d v="1899-12-31T00:00:00"/>
    <x v="3"/>
    <s v="Bengaluru"/>
    <s v="Divya Nair"/>
    <s v="Divya Nair"/>
    <x v="1"/>
    <x v="0"/>
    <s v="Mobile Phones"/>
    <s v="Iphone 15"/>
    <x v="1"/>
    <s v="Delivered"/>
    <n v="6"/>
    <n v="65920"/>
    <n v="0.05"/>
    <n v="50150"/>
    <n v="375744"/>
    <n v="300900"/>
    <n v="74844"/>
    <n v="0.19918880940214614"/>
  </r>
  <r>
    <x v="734"/>
    <x v="310"/>
    <x v="1"/>
    <d v="1899-12-31T00:00:00"/>
    <x v="4"/>
    <s v="Jabalpur"/>
    <s v="Manish Tiwari"/>
    <s v="Manish Tiwari"/>
    <x v="0"/>
    <x v="3"/>
    <s v="Office Chairs"/>
    <s v="Green Soul Ergonomic Chair"/>
    <x v="0"/>
    <s v="Shipped"/>
    <n v="4"/>
    <n v="12740"/>
    <n v="0.05"/>
    <n v="9750"/>
    <n v="48412"/>
    <n v="39000"/>
    <n v="9412"/>
    <n v="0.19441460794844254"/>
  </r>
  <r>
    <x v="735"/>
    <x v="311"/>
    <x v="1"/>
    <d v="1899-12-31T00:00:00"/>
    <x v="0"/>
    <s v="Surat"/>
    <s v="Imran Sheikh"/>
    <s v="Imran Sheikh"/>
    <x v="0"/>
    <x v="2"/>
    <s v="Footwear"/>
    <s v="Nike Revolution 7"/>
    <x v="1"/>
    <s v="Delivered"/>
    <n v="13"/>
    <n v="4070"/>
    <n v="0"/>
    <n v="2790"/>
    <n v="52910"/>
    <n v="36270"/>
    <n v="16640"/>
    <n v="0.31449631449631449"/>
  </r>
  <r>
    <x v="736"/>
    <x v="311"/>
    <x v="1"/>
    <d v="1899-12-31T00:00:00"/>
    <x v="4"/>
    <s v="Raipur"/>
    <s v="Pooja Chouhan"/>
    <s v="Pooja Chouhan"/>
    <x v="0"/>
    <x v="0"/>
    <s v="Televisions"/>
    <s v="Samsung Crystal 4K 55 Inch"/>
    <x v="1"/>
    <s v="Delivered"/>
    <n v="2"/>
    <n v="51430"/>
    <n v="0.15"/>
    <n v="37810"/>
    <n v="87431"/>
    <n v="75620"/>
    <n v="11811"/>
    <n v="0.13508938477199162"/>
  </r>
  <r>
    <x v="737"/>
    <x v="312"/>
    <x v="1"/>
    <d v="1899-12-31T00:00:00"/>
    <x v="0"/>
    <s v="Pune"/>
    <s v="Imran Sheikh"/>
    <s v="Imran Sheikh"/>
    <x v="3"/>
    <x v="3"/>
    <s v="Office Chairs"/>
    <s v="Nilkamal Executive Chair"/>
    <x v="0"/>
    <s v="Pending"/>
    <n v="7"/>
    <n v="6520"/>
    <n v="0.25"/>
    <n v="4810"/>
    <n v="34230"/>
    <n v="33670"/>
    <n v="560"/>
    <n v="1.6359918200408999E-2"/>
  </r>
  <r>
    <x v="738"/>
    <x v="312"/>
    <x v="1"/>
    <d v="1899-12-31T00:00:00"/>
    <x v="4"/>
    <s v="Ujjain"/>
    <s v="Manish Tiwari"/>
    <s v="Manish Tiwari"/>
    <x v="2"/>
    <x v="3"/>
    <s v="Sofas"/>
    <s v="3-Seater Fabric Sofa"/>
    <x v="0"/>
    <s v="Delivered"/>
    <n v="1"/>
    <n v="30970"/>
    <n v="0.15"/>
    <n v="21340"/>
    <n v="26324.5"/>
    <n v="21340"/>
    <n v="4984.5"/>
    <n v="0.18934832570419191"/>
  </r>
  <r>
    <x v="739"/>
    <x v="312"/>
    <x v="1"/>
    <d v="1899-12-31T00:00:00"/>
    <x v="1"/>
    <s v="Guwahati"/>
    <s v="Sourav Das"/>
    <s v="Sourav Das"/>
    <x v="3"/>
    <x v="0"/>
    <s v="Laptops"/>
    <s v="Dell Inspiron 3520"/>
    <x v="1"/>
    <s v="Shipped"/>
    <n v="4"/>
    <n v="57920"/>
    <n v="0.1"/>
    <n v="43520"/>
    <n v="208512"/>
    <n v="174080"/>
    <n v="34432"/>
    <n v="0.16513198281154082"/>
  </r>
  <r>
    <x v="740"/>
    <x v="313"/>
    <x v="1"/>
    <d v="1899-12-31T00:00:00"/>
    <x v="1"/>
    <s v="Bhubaneswar"/>
    <s v="Ritika Ghosh"/>
    <s v="Ritika Ghosh"/>
    <x v="0"/>
    <x v="0"/>
    <s v="Laptops"/>
    <s v="Macbook Air M3"/>
    <x v="2"/>
    <s v="Delivered"/>
    <n v="3"/>
    <n v="101960"/>
    <n v="0.2"/>
    <n v="68490"/>
    <n v="244704"/>
    <n v="205470"/>
    <n v="39234"/>
    <n v="0.16033248332679481"/>
  </r>
  <r>
    <x v="741"/>
    <x v="313"/>
    <x v="1"/>
    <d v="1899-12-31T00:00:00"/>
    <x v="3"/>
    <s v="Visakhapatnam"/>
    <s v="Anjali Menon"/>
    <s v="Anjali Menon"/>
    <x v="3"/>
    <x v="2"/>
    <s v="Footwear"/>
    <s v="Bata Formal Shoes"/>
    <x v="0"/>
    <s v="Returned"/>
    <n v="12"/>
    <n v="2120"/>
    <n v="0.1"/>
    <n v="1670"/>
    <n v="22896"/>
    <n v="20040"/>
    <n v="2856"/>
    <n v="0.12473794549266247"/>
  </r>
  <r>
    <x v="742"/>
    <x v="314"/>
    <x v="1"/>
    <d v="1899-12-31T00:00:00"/>
    <x v="1"/>
    <s v="Guwahati"/>
    <s v="Sourav Das"/>
    <s v="Sourav Das"/>
    <x v="2"/>
    <x v="0"/>
    <s v="Audio Devices"/>
    <s v="Jbl Flip 6"/>
    <x v="1"/>
    <s v="Pending"/>
    <n v="11"/>
    <n v="9880"/>
    <n v="0.08"/>
    <n v="5850"/>
    <n v="99985.600000000006"/>
    <n v="64350"/>
    <n v="35635.600000000006"/>
    <n v="0.35640732265446229"/>
  </r>
  <r>
    <x v="743"/>
    <x v="315"/>
    <x v="1"/>
    <d v="1899-12-31T00:00:00"/>
    <x v="4"/>
    <s v="Ujjain"/>
    <s v="Manish Tiwari"/>
    <s v="Manish Tiwari"/>
    <x v="2"/>
    <x v="0"/>
    <s v="Laptops"/>
    <s v="Dell Inspiron 3520"/>
    <x v="0"/>
    <s v="Pending"/>
    <n v="2"/>
    <n v="56100"/>
    <n v="0.05"/>
    <n v="43790"/>
    <n v="106590"/>
    <n v="87580"/>
    <n v="19010"/>
    <n v="0.17834693686086875"/>
  </r>
  <r>
    <x v="744"/>
    <x v="315"/>
    <x v="1"/>
    <d v="1899-12-31T00:00:00"/>
    <x v="0"/>
    <s v="Mumbai"/>
    <s v="Neha Deshpande"/>
    <s v="Neha Deshpande"/>
    <x v="0"/>
    <x v="1"/>
    <s v="Washing Machines"/>
    <s v="Ifb Front Load 7Kg"/>
    <x v="0"/>
    <s v="Delivered"/>
    <n v="2"/>
    <n v="32970"/>
    <n v="0.12"/>
    <n v="24620"/>
    <n v="58027.199999999997"/>
    <n v="49240"/>
    <n v="8787.1999999999971"/>
    <n v="0.15143243168720871"/>
  </r>
  <r>
    <x v="745"/>
    <x v="316"/>
    <x v="1"/>
    <d v="1899-12-31T00:00:00"/>
    <x v="3"/>
    <s v="Hyderabad"/>
    <s v="Karthik Raman"/>
    <s v="Karthik Raman"/>
    <x v="1"/>
    <x v="0"/>
    <s v="Mobile Phones"/>
    <s v="Iphone 15"/>
    <x v="2"/>
    <s v="Delivered"/>
    <n v="6"/>
    <n v="66690"/>
    <n v="0"/>
    <n v="45240"/>
    <n v="400140"/>
    <n v="271440"/>
    <n v="128700"/>
    <n v="0.32163742690058478"/>
  </r>
  <r>
    <x v="746"/>
    <x v="316"/>
    <x v="1"/>
    <d v="1899-12-31T00:00:00"/>
    <x v="1"/>
    <s v="Guwahati"/>
    <s v="Sourav Das"/>
    <s v="Sourav Das"/>
    <x v="0"/>
    <x v="2"/>
    <s v="Footwear"/>
    <s v="Bata Formal Shoes"/>
    <x v="2"/>
    <s v="Delivered"/>
    <n v="18"/>
    <n v="2360"/>
    <n v="0.1"/>
    <n v="1720"/>
    <n v="38232"/>
    <n v="30960"/>
    <n v="7272"/>
    <n v="0.19020715630885121"/>
  </r>
  <r>
    <x v="747"/>
    <x v="317"/>
    <x v="1"/>
    <d v="1899-12-31T00:00:00"/>
    <x v="1"/>
    <s v="Siliguri"/>
    <s v="Sourav Das"/>
    <s v="Sourav Das"/>
    <x v="1"/>
    <x v="1"/>
    <s v="Air Conditioners"/>
    <s v="Daikin 1.5T Split Ac"/>
    <x v="1"/>
    <s v="Delivered"/>
    <n v="2"/>
    <n v="43410"/>
    <n v="0"/>
    <n v="31460"/>
    <n v="86820"/>
    <n v="62920"/>
    <n v="23900"/>
    <n v="0.27528219304307761"/>
  </r>
  <r>
    <x v="748"/>
    <x v="317"/>
    <x v="1"/>
    <d v="1899-12-31T00:00:00"/>
    <x v="2"/>
    <s v="Chandigarh"/>
    <s v="Aditya Verma"/>
    <s v="Aditya Verma"/>
    <x v="3"/>
    <x v="1"/>
    <s v="Washing Machines"/>
    <s v="Whirlpool Semi Auto 7.5Kg"/>
    <x v="1"/>
    <s v="Delivered"/>
    <n v="12"/>
    <n v="13450"/>
    <n v="0.08"/>
    <n v="9680"/>
    <n v="148488"/>
    <n v="116160"/>
    <n v="32328"/>
    <n v="0.21771456279295295"/>
  </r>
  <r>
    <x v="749"/>
    <x v="317"/>
    <x v="1"/>
    <d v="1899-12-31T00:00:00"/>
    <x v="2"/>
    <s v="Noida"/>
    <s v="Aditya Verma"/>
    <s v="Aditya Verma"/>
    <x v="3"/>
    <x v="4"/>
    <s v="Activewear"/>
    <s v="Puma Track Pants"/>
    <x v="2"/>
    <s v="Delivered"/>
    <n v="13"/>
    <n v="1560"/>
    <n v="0.08"/>
    <n v="1030"/>
    <n v="18657.600000000002"/>
    <n v="13390"/>
    <n v="5267.6000000000022"/>
    <n v="0.28232998885172805"/>
  </r>
  <r>
    <x v="750"/>
    <x v="317"/>
    <x v="1"/>
    <d v="1899-12-31T00:00:00"/>
    <x v="4"/>
    <s v="Ujjain"/>
    <s v="Manish Tiwari"/>
    <s v="Manish Tiwari"/>
    <x v="2"/>
    <x v="3"/>
    <s v="Office Chairs"/>
    <s v="Nilkamal Executive Chair"/>
    <x v="1"/>
    <s v="Delivered"/>
    <n v="7"/>
    <n v="6310"/>
    <n v="0"/>
    <n v="4340"/>
    <n v="44170"/>
    <n v="30380"/>
    <n v="13790"/>
    <n v="0.312202852614897"/>
  </r>
  <r>
    <x v="751"/>
    <x v="318"/>
    <x v="1"/>
    <d v="1899-12-31T00:00:00"/>
    <x v="3"/>
    <s v="Kochi"/>
    <s v="Anjali Menon"/>
    <s v="Anjali Menon"/>
    <x v="0"/>
    <x v="1"/>
    <s v="Kitchen Appliances"/>
    <s v="Philips Air Fryer"/>
    <x v="1"/>
    <s v="Delivered"/>
    <n v="12"/>
    <n v="9190"/>
    <n v="0.08"/>
    <n v="5570"/>
    <n v="101457.60000000001"/>
    <n v="66840"/>
    <n v="34617.600000000006"/>
    <n v="0.34120263045843785"/>
  </r>
  <r>
    <x v="752"/>
    <x v="319"/>
    <x v="1"/>
    <d v="1899-12-31T00:00:00"/>
    <x v="0"/>
    <s v="Ahmedabad"/>
    <s v="Neha Deshpande"/>
    <s v="Neha Deshpande"/>
    <x v="0"/>
    <x v="0"/>
    <s v="Televisions"/>
    <s v="Samsung Crystal 4K 55 Inch"/>
    <x v="0"/>
    <s v="Shipped"/>
    <n v="3"/>
    <n v="51800"/>
    <n v="0.2"/>
    <n v="32360"/>
    <n v="124320"/>
    <n v="97080"/>
    <n v="27240"/>
    <n v="0.21911196911196912"/>
  </r>
  <r>
    <x v="753"/>
    <x v="319"/>
    <x v="1"/>
    <d v="1899-12-31T00:00:00"/>
    <x v="3"/>
    <s v="Kochi"/>
    <s v="Anjali Menon"/>
    <s v="Anjali Menon"/>
    <x v="0"/>
    <x v="4"/>
    <s v="Activewear"/>
    <s v="Nivia Football Size 5"/>
    <x v="1"/>
    <s v="Shipped"/>
    <n v="10"/>
    <n v="950"/>
    <n v="0.08"/>
    <n v="730"/>
    <n v="8740"/>
    <n v="7300"/>
    <n v="1440"/>
    <n v="0.16475972540045766"/>
  </r>
  <r>
    <x v="754"/>
    <x v="320"/>
    <x v="1"/>
    <d v="1899-12-31T00:00:00"/>
    <x v="2"/>
    <s v="Gurugram"/>
    <s v="Rohit Malhotra"/>
    <s v="Rohit Malhotra"/>
    <x v="3"/>
    <x v="4"/>
    <s v="Sports Gear"/>
    <s v="Sg Cricket Bat English Willow"/>
    <x v="1"/>
    <s v="Shipped"/>
    <n v="13"/>
    <n v="4770"/>
    <n v="0.15"/>
    <n v="2710"/>
    <n v="52708.5"/>
    <n v="35230"/>
    <n v="17478.5"/>
    <n v="0.33160685657910965"/>
  </r>
  <r>
    <x v="755"/>
    <x v="320"/>
    <x v="1"/>
    <d v="1899-12-31T00:00:00"/>
    <x v="1"/>
    <s v="Kolkata"/>
    <s v="Ritika Ghosh"/>
    <s v="Ritika Ghosh"/>
    <x v="3"/>
    <x v="2"/>
    <s v="Apparel"/>
    <s v="Allen Solly Formal Shirt"/>
    <x v="1"/>
    <s v="Shipped"/>
    <n v="5"/>
    <n v="1760"/>
    <n v="0.1"/>
    <n v="1190"/>
    <n v="7920"/>
    <n v="5950"/>
    <n v="1970"/>
    <n v="0.24873737373737373"/>
  </r>
  <r>
    <x v="756"/>
    <x v="321"/>
    <x v="1"/>
    <d v="1899-12-31T00:00:00"/>
    <x v="3"/>
    <s v="Coimbatore"/>
    <s v="Anjali Menon"/>
    <s v="Anjali Menon"/>
    <x v="0"/>
    <x v="2"/>
    <s v="Apparel"/>
    <s v="Us Polo T-Shirt"/>
    <x v="1"/>
    <s v="Returned"/>
    <n v="9"/>
    <n v="1290"/>
    <n v="0.12"/>
    <n v="1000"/>
    <n v="10216.799999999999"/>
    <n v="9000"/>
    <n v="1216.7999999999993"/>
    <n v="0.11909795630725857"/>
  </r>
  <r>
    <x v="757"/>
    <x v="322"/>
    <x v="1"/>
    <d v="1899-12-31T00:00:00"/>
    <x v="1"/>
    <s v="Guwahati"/>
    <s v="Ritika              Ghosh"/>
    <s v="Ritika Ghosh"/>
    <x v="0"/>
    <x v="2"/>
    <s v="Apparel"/>
    <s v="Allen Solly Formal Shirt"/>
    <x v="1"/>
    <s v="Delivered"/>
    <n v="21"/>
    <n v="1860"/>
    <n v="0.12"/>
    <n v="1230"/>
    <n v="34372.800000000003"/>
    <n v="25830"/>
    <n v="8542.8000000000029"/>
    <n v="0.24853372434017601"/>
  </r>
  <r>
    <x v="758"/>
    <x v="323"/>
    <x v="1"/>
    <d v="1900-01-01T00:00:00"/>
    <x v="2"/>
    <s v="Gurugram"/>
    <s v="Simran Kaur"/>
    <s v="Simran Kaur"/>
    <x v="0"/>
    <x v="0"/>
    <s v="Televisions"/>
    <s v="Samsung Crystal 4K 55 Inch"/>
    <x v="0"/>
    <s v="Delivered"/>
    <n v="4"/>
    <n v="51920"/>
    <n v="0.05"/>
    <n v="39630"/>
    <n v="197296"/>
    <n v="158520"/>
    <n v="38776"/>
    <n v="0.19653718271024248"/>
  </r>
  <r>
    <x v="759"/>
    <x v="323"/>
    <x v="1"/>
    <d v="1900-01-01T00:00:00"/>
    <x v="3"/>
    <s v="Coimbatore"/>
    <s v="Anjali Menon"/>
    <s v="Anjali Menon"/>
    <x v="1"/>
    <x v="0"/>
    <s v="Audio Devices"/>
    <s v="Boat Airdopes 141"/>
    <x v="0"/>
    <s v="Delivered"/>
    <n v="47"/>
    <n v="1740"/>
    <n v="0.08"/>
    <n v="1000"/>
    <n v="75237.600000000006"/>
    <n v="47000"/>
    <n v="28237.600000000006"/>
    <n v="0.37531234382808598"/>
  </r>
  <r>
    <x v="760"/>
    <x v="324"/>
    <x v="1"/>
    <d v="1900-01-01T00:00:00"/>
    <x v="0"/>
    <s v="Pune"/>
    <s v="Prateek Shah"/>
    <s v="Prateek Shah"/>
    <x v="3"/>
    <x v="1"/>
    <s v="Washing Machines"/>
    <s v="Ifb Front Load 7Kg"/>
    <x v="0"/>
    <s v="Delivered"/>
    <n v="2"/>
    <n v="36300"/>
    <n v="0.05"/>
    <n v="20790"/>
    <n v="68970"/>
    <n v="41580"/>
    <n v="27390"/>
    <n v="0.39712918660287083"/>
  </r>
  <r>
    <x v="761"/>
    <x v="324"/>
    <x v="1"/>
    <d v="1900-01-01T00:00:00"/>
    <x v="3"/>
    <s v="Bengaluru"/>
    <s v="Divya Nair"/>
    <s v="Divya Nair"/>
    <x v="0"/>
    <x v="0"/>
    <s v="Laptops"/>
    <s v="Dell Inspiron 3520"/>
    <x v="0"/>
    <s v="Delivered"/>
    <n v="1"/>
    <n v="57260"/>
    <n v="0.18"/>
    <n v="43250"/>
    <n v="46953.200000000004"/>
    <n v="43250"/>
    <n v="3703.2000000000044"/>
    <n v="7.8870023768348146E-2"/>
  </r>
  <r>
    <x v="762"/>
    <x v="325"/>
    <x v="1"/>
    <d v="1900-01-01T00:00:00"/>
    <x v="4"/>
    <s v="Gwalior"/>
    <s v="Pooja Chouhan"/>
    <s v="Pooja Chouhan"/>
    <x v="0"/>
    <x v="2"/>
    <s v="Apparel"/>
    <s v="Us Polo T-Shirt"/>
    <x v="1"/>
    <s v="Delivered"/>
    <n v="10"/>
    <n v="1270"/>
    <n v="0"/>
    <n v="850"/>
    <n v="12700"/>
    <n v="8500"/>
    <n v="4200"/>
    <n v="0.33070866141732286"/>
  </r>
  <r>
    <x v="763"/>
    <x v="325"/>
    <x v="1"/>
    <d v="1900-01-01T00:00:00"/>
    <x v="4"/>
    <s v="Raipur"/>
    <s v="Manish Tiwari"/>
    <s v="Manish Tiwari"/>
    <x v="0"/>
    <x v="3"/>
    <s v="Tables"/>
    <s v="Study Table Engineered Wood"/>
    <x v="0"/>
    <s v="Delivered"/>
    <n v="15"/>
    <n v="8580"/>
    <n v="0.08"/>
    <n v="6200"/>
    <n v="118404"/>
    <n v="93000"/>
    <n v="25404"/>
    <n v="0.21455356237964934"/>
  </r>
  <r>
    <x v="764"/>
    <x v="325"/>
    <x v="1"/>
    <d v="1900-01-01T00:00:00"/>
    <x v="4"/>
    <s v="Raipur"/>
    <s v="Manish Tiwari"/>
    <s v="Manish Tiwari"/>
    <x v="0"/>
    <x v="3"/>
    <s v="Office Chairs"/>
    <s v="Nilkamal Executive Chair"/>
    <x v="2"/>
    <s v="Delivered"/>
    <n v="9"/>
    <n v="6980"/>
    <n v="0.2"/>
    <n v="3910"/>
    <n v="50256"/>
    <n v="35190"/>
    <n v="15066"/>
    <n v="0.29978510028653294"/>
  </r>
  <r>
    <x v="765"/>
    <x v="326"/>
    <x v="1"/>
    <d v="1900-01-01T00:00:00"/>
    <x v="2"/>
    <s v="Jaipur"/>
    <s v="Aditya Verma"/>
    <s v="Aditya Verma"/>
    <x v="0"/>
    <x v="4"/>
    <s v="Fitness Equipment"/>
    <s v="Home Foldable Treadmill"/>
    <x v="2"/>
    <s v="Pending"/>
    <n v="3"/>
    <n v="45270"/>
    <n v="0.05"/>
    <n v="33790"/>
    <n v="129019.5"/>
    <n v="101370"/>
    <n v="27649.5"/>
    <n v="0.21430481438852267"/>
  </r>
  <r>
    <x v="766"/>
    <x v="327"/>
    <x v="1"/>
    <d v="1900-01-01T00:00:00"/>
    <x v="0"/>
    <s v="Surat"/>
    <s v="Imran Sheikh"/>
    <s v="Imran Sheikh"/>
    <x v="0"/>
    <x v="0"/>
    <s v="Televisions"/>
    <s v="Mi Tv 5X 43 Inch"/>
    <x v="1"/>
    <s v="Delivered"/>
    <n v="4"/>
    <n v="34340"/>
    <n v="0.18"/>
    <n v="20510"/>
    <n v="112635.20000000001"/>
    <n v="82040"/>
    <n v="30595.200000000012"/>
    <n v="0.27163089336193313"/>
  </r>
  <r>
    <x v="767"/>
    <x v="327"/>
    <x v="1"/>
    <d v="1900-01-01T00:00:00"/>
    <x v="4"/>
    <s v="Raipur"/>
    <s v="Manish Tiwari"/>
    <s v="Manish Tiwari"/>
    <x v="0"/>
    <x v="0"/>
    <s v="Audio Devices"/>
    <s v="Jbl Flip 6"/>
    <x v="1"/>
    <s v="Shipped"/>
    <n v="11"/>
    <n v="9420"/>
    <n v="0.15"/>
    <n v="6450"/>
    <n v="88077"/>
    <n v="70950"/>
    <n v="17127"/>
    <n v="0.19445485200449605"/>
  </r>
  <r>
    <x v="768"/>
    <x v="327"/>
    <x v="1"/>
    <d v="1900-01-01T00:00:00"/>
    <x v="4"/>
    <s v="Ujjain"/>
    <s v="Pooja Chouhan"/>
    <s v="Pooja Chouhan"/>
    <x v="0"/>
    <x v="1"/>
    <s v="Refrigerators"/>
    <s v="Samsung 192L Single Door"/>
    <x v="2"/>
    <s v="Delivered"/>
    <n v="3"/>
    <n v="16190"/>
    <n v="0"/>
    <n v="11670"/>
    <n v="48570"/>
    <n v="35010"/>
    <n v="13560"/>
    <n v="0.27918468190240892"/>
  </r>
  <r>
    <x v="769"/>
    <x v="327"/>
    <x v="1"/>
    <d v="1900-01-01T00:00:00"/>
    <x v="0"/>
    <s v="Surat"/>
    <s v="Prateek Shah"/>
    <s v="Prateek Shah"/>
    <x v="3"/>
    <x v="0"/>
    <s v="Televisions"/>
    <s v="Samsung Crystal 4K 55 Inch"/>
    <x v="1"/>
    <s v="Delivered"/>
    <n v="2"/>
    <n v="54740"/>
    <n v="0.05"/>
    <n v="38390"/>
    <n v="104006"/>
    <n v="76780"/>
    <n v="27226"/>
    <n v="0.26177335922927525"/>
  </r>
  <r>
    <x v="770"/>
    <x v="328"/>
    <x v="1"/>
    <d v="1900-01-01T00:00:00"/>
    <x v="0"/>
    <s v="Mumbai"/>
    <s v="Prateek Shah"/>
    <s v="Prateek Shah"/>
    <x v="3"/>
    <x v="3"/>
    <s v="Office Chairs"/>
    <s v="Green Soul Ergonomic Chair"/>
    <x v="1"/>
    <s v="Pending"/>
    <n v="7"/>
    <n v="11890"/>
    <n v="0.08"/>
    <n v="8250"/>
    <n v="76571.600000000006"/>
    <n v="57750"/>
    <n v="18821.600000000006"/>
    <n v="0.24580392730464043"/>
  </r>
  <r>
    <x v="771"/>
    <x v="329"/>
    <x v="1"/>
    <d v="1900-01-01T00:00:00"/>
    <x v="0"/>
    <s v="Pune"/>
    <s v="Neha Deshpande"/>
    <s v="Neha Deshpande"/>
    <x v="0"/>
    <x v="0"/>
    <s v="Mobile Phones"/>
    <s v="Iphone 15"/>
    <x v="2"/>
    <s v="Delivered"/>
    <n v="3"/>
    <n v="69700"/>
    <n v="0.15"/>
    <n v="42230"/>
    <n v="177735"/>
    <n v="126690"/>
    <n v="51045"/>
    <n v="0.28719723183391005"/>
  </r>
  <r>
    <x v="772"/>
    <x v="329"/>
    <x v="1"/>
    <d v="1900-01-01T00:00:00"/>
    <x v="2"/>
    <s v="Gurugram"/>
    <s v="Rohit Malhotra"/>
    <s v="Rohit Malhotra"/>
    <x v="1"/>
    <x v="4"/>
    <s v="Activewear"/>
    <s v="Nivia Football Size 5"/>
    <x v="0"/>
    <s v="Delivered"/>
    <n v="47"/>
    <n v="860"/>
    <n v="0.1"/>
    <n v="600"/>
    <n v="36378"/>
    <n v="28200"/>
    <n v="8178"/>
    <n v="0.22480620155038761"/>
  </r>
  <r>
    <x v="773"/>
    <x v="330"/>
    <x v="1"/>
    <d v="1900-01-01T00:00:00"/>
    <x v="0"/>
    <s v="Mumbai"/>
    <s v="Neha Deshpande"/>
    <s v="Neha Deshpande"/>
    <x v="3"/>
    <x v="2"/>
    <s v="Apparel"/>
    <s v="Levis 511 Jeans"/>
    <x v="0"/>
    <s v="Delivered"/>
    <n v="45"/>
    <n v="2770"/>
    <n v="0.08"/>
    <n v="1810"/>
    <n v="114678"/>
    <n v="81450"/>
    <n v="33228"/>
    <n v="0.2897504316433841"/>
  </r>
  <r>
    <x v="774"/>
    <x v="331"/>
    <x v="1"/>
    <d v="1900-01-01T00:00:00"/>
    <x v="0"/>
    <s v="Nagpur"/>
    <s v="Imran Sheikh"/>
    <s v="Imran Sheikh"/>
    <x v="0"/>
    <x v="1"/>
    <s v="Washing Machines"/>
    <s v="Whirlpool Semi Auto 7.5Kg"/>
    <x v="1"/>
    <s v="Delivered"/>
    <n v="8"/>
    <n v="14060"/>
    <n v="0.08"/>
    <n v="8200"/>
    <n v="103481.60000000001"/>
    <n v="65600"/>
    <n v="37881.600000000006"/>
    <n v="0.36607087636835922"/>
  </r>
  <r>
    <x v="775"/>
    <x v="331"/>
    <x v="1"/>
    <d v="1900-01-01T00:00:00"/>
    <x v="2"/>
    <s v="Chandigarh"/>
    <s v="Simran Kaur"/>
    <s v="Simran Kaur"/>
    <x v="1"/>
    <x v="4"/>
    <s v="Sports Gear"/>
    <s v="Sg Cricket Bat English Willow"/>
    <x v="1"/>
    <s v="Delivered"/>
    <n v="6"/>
    <n v="4630"/>
    <n v="0.12"/>
    <n v="2610"/>
    <n v="24446.400000000001"/>
    <n v="15660"/>
    <n v="8786.4000000000015"/>
    <n v="0.35941488317298254"/>
  </r>
  <r>
    <x v="776"/>
    <x v="332"/>
    <x v="1"/>
    <d v="1900-01-01T00:00:00"/>
    <x v="2"/>
    <s v="Chandigarh"/>
    <s v="Simran Kaur"/>
    <s v="Simran Kaur"/>
    <x v="0"/>
    <x v="0"/>
    <s v="Televisions"/>
    <s v="Samsung Crystal 4K 55 Inch"/>
    <x v="0"/>
    <s v="Delivered"/>
    <n v="2"/>
    <n v="54330"/>
    <n v="0.12"/>
    <n v="36650"/>
    <n v="95620.800000000003"/>
    <n v="73300"/>
    <n v="22320.800000000003"/>
    <n v="0.2334303833475562"/>
  </r>
  <r>
    <x v="777"/>
    <x v="332"/>
    <x v="1"/>
    <d v="1900-01-01T00:00:00"/>
    <x v="2"/>
    <s v="Jaipur"/>
    <s v="Simran Kaur"/>
    <s v="Simran Kaur"/>
    <x v="0"/>
    <x v="0"/>
    <s v="Audio Devices"/>
    <s v="Sony Wh-Ch720N"/>
    <x v="0"/>
    <s v="Delivered"/>
    <n v="10"/>
    <n v="9140"/>
    <n v="0"/>
    <n v="6260"/>
    <n v="91400"/>
    <n v="62600"/>
    <n v="28800"/>
    <n v="0.31509846827133481"/>
  </r>
  <r>
    <x v="778"/>
    <x v="333"/>
    <x v="1"/>
    <d v="1900-01-01T00:00:00"/>
    <x v="1"/>
    <s v="Guwahati"/>
    <s v="Ritika Ghosh"/>
    <s v="Ritika Ghosh"/>
    <x v="0"/>
    <x v="2"/>
    <s v="Footwear"/>
    <s v="Bata Formal Shoes"/>
    <x v="0"/>
    <s v="Delivered"/>
    <n v="32"/>
    <n v="2190"/>
    <n v="0.08"/>
    <n v="1300"/>
    <n v="64473.600000000006"/>
    <n v="41600"/>
    <n v="22873.600000000006"/>
    <n v="0.35477466746079023"/>
  </r>
  <r>
    <x v="779"/>
    <x v="334"/>
    <x v="1"/>
    <d v="1900-01-01T00:00:00"/>
    <x v="1"/>
    <s v="Ranchi"/>
    <s v="Ritika Ghosh"/>
    <s v="Ritika Ghosh"/>
    <x v="0"/>
    <x v="4"/>
    <s v="Sports Gear"/>
    <s v="Sg Cricket Bat English Willow"/>
    <x v="2"/>
    <s v="Shipped"/>
    <n v="15"/>
    <n v="4750"/>
    <n v="0.1"/>
    <n v="3200"/>
    <n v="64125"/>
    <n v="48000"/>
    <n v="16125"/>
    <n v="0.25146198830409355"/>
  </r>
  <r>
    <x v="780"/>
    <x v="334"/>
    <x v="1"/>
    <d v="1900-01-01T00:00:00"/>
    <x v="1"/>
    <s v="Siliguri"/>
    <s v="Sourav Das"/>
    <s v="Sourav Das"/>
    <x v="0"/>
    <x v="1"/>
    <s v="Kitchen Appliances"/>
    <s v="Pigeon Induction Cooktop"/>
    <x v="0"/>
    <s v="Delivered"/>
    <n v="18"/>
    <n v="2780"/>
    <n v="0.1"/>
    <n v="1980"/>
    <n v="45036"/>
    <n v="35640"/>
    <n v="9396"/>
    <n v="0.20863309352517986"/>
  </r>
  <r>
    <x v="781"/>
    <x v="335"/>
    <x v="1"/>
    <d v="1900-01-01T00:00:00"/>
    <x v="3"/>
    <s v="Kochi"/>
    <s v="Karthik Raman"/>
    <s v="Karthik Raman"/>
    <x v="2"/>
    <x v="0"/>
    <s v="Mobile Phones"/>
    <s v="Redmi Note 14"/>
    <x v="0"/>
    <s v="Delivered"/>
    <n v="2"/>
    <n v="17670"/>
    <n v="0"/>
    <n v="11800"/>
    <n v="35340"/>
    <n v="23600"/>
    <n v="11740"/>
    <n v="0.33220147142048673"/>
  </r>
  <r>
    <x v="782"/>
    <x v="336"/>
    <x v="1"/>
    <d v="1900-01-01T00:00:00"/>
    <x v="4"/>
    <s v="Ujjain"/>
    <s v="Manish Tiwari"/>
    <s v="Manish Tiwari"/>
    <x v="3"/>
    <x v="0"/>
    <s v="Televisions"/>
    <s v="Samsung Crystal 4K 55 Inch"/>
    <x v="0"/>
    <s v="Pending"/>
    <n v="6"/>
    <n v="53150"/>
    <n v="0.1"/>
    <n v="32200"/>
    <n v="287010"/>
    <n v="193200"/>
    <n v="93810"/>
    <n v="0.32685272290164108"/>
  </r>
  <r>
    <x v="783"/>
    <x v="337"/>
    <x v="1"/>
    <d v="1900-01-01T00:00:00"/>
    <x v="0"/>
    <s v="Nashik"/>
    <s v="Imran Sheikh"/>
    <s v="Imran Sheikh"/>
    <x v="0"/>
    <x v="4"/>
    <s v="Sports Gear"/>
    <s v="Sg Cricket Bat English Willow"/>
    <x v="0"/>
    <s v="Delivered"/>
    <n v="13"/>
    <n v="4290"/>
    <n v="0.05"/>
    <n v="2460"/>
    <n v="52981.5"/>
    <n v="31980"/>
    <n v="21001.5"/>
    <n v="0.3963930806036069"/>
  </r>
  <r>
    <x v="784"/>
    <x v="337"/>
    <x v="1"/>
    <d v="1900-01-01T00:00:00"/>
    <x v="3"/>
    <s v="Kochi"/>
    <s v="Divya Nair"/>
    <s v="Divya Nair"/>
    <x v="3"/>
    <x v="2"/>
    <s v="Accessories"/>
    <s v="Fastrack Analog Watch"/>
    <x v="2"/>
    <s v="Delivered"/>
    <n v="26"/>
    <n v="2610"/>
    <n v="0.12"/>
    <n v="1940"/>
    <n v="59716.800000000003"/>
    <n v="50440"/>
    <n v="9276.8000000000029"/>
    <n v="0.15534656913967262"/>
  </r>
  <r>
    <x v="785"/>
    <x v="337"/>
    <x v="1"/>
    <d v="1900-01-01T00:00:00"/>
    <x v="1"/>
    <s v="Guwahati"/>
    <s v="Sourav Das"/>
    <s v="Sourav Das"/>
    <x v="0"/>
    <x v="3"/>
    <s v="Tables"/>
    <s v="6-Seater Dining Table"/>
    <x v="2"/>
    <s v="Delivered"/>
    <n v="4"/>
    <n v="23940"/>
    <n v="0.18"/>
    <n v="15240"/>
    <n v="78523.200000000012"/>
    <n v="60960"/>
    <n v="17563.200000000012"/>
    <n v="0.22366892841860761"/>
  </r>
  <r>
    <x v="786"/>
    <x v="338"/>
    <x v="1"/>
    <d v="1900-01-01T00:00:00"/>
    <x v="2"/>
    <s v="Noida"/>
    <s v="Rohit Malhotra"/>
    <s v="Rohit Malhotra"/>
    <x v="0"/>
    <x v="0"/>
    <s v="Mobile Phones"/>
    <s v="Redmi Note 14"/>
    <x v="1"/>
    <s v="Delivered"/>
    <n v="7"/>
    <n v="18330"/>
    <n v="0.05"/>
    <n v="12810"/>
    <n v="121894.5"/>
    <n v="89670"/>
    <n v="32224.5"/>
    <n v="0.26436385562925319"/>
  </r>
  <r>
    <x v="787"/>
    <x v="338"/>
    <x v="1"/>
    <d v="1900-01-01T00:00:00"/>
    <x v="2"/>
    <s v="Noida"/>
    <s v="Rohit Malhotra"/>
    <s v="Rohit Malhotra"/>
    <x v="2"/>
    <x v="0"/>
    <s v="Mobile Phones"/>
    <s v="Samsung Galaxy M35"/>
    <x v="0"/>
    <s v="Returned"/>
    <n v="3"/>
    <n v="22670"/>
    <n v="0.12"/>
    <n v="13910"/>
    <n v="59848.800000000003"/>
    <n v="41730"/>
    <n v="18118.800000000003"/>
    <n v="0.30274291213858928"/>
  </r>
  <r>
    <x v="788"/>
    <x v="339"/>
    <x v="1"/>
    <d v="1900-01-01T00:00:00"/>
    <x v="2"/>
    <s v="Chandigarh"/>
    <s v="Rohit Malhotra"/>
    <s v="Rohit Malhotra"/>
    <x v="0"/>
    <x v="0"/>
    <s v="Televisions"/>
    <s v="Mi Tv 5X 43 Inch"/>
    <x v="1"/>
    <s v="Shipped"/>
    <n v="4"/>
    <n v="31090"/>
    <n v="0.25"/>
    <n v="23810"/>
    <n v="93270"/>
    <n v="95240"/>
    <n v="-1970"/>
    <n v="-2.1121475286801757E-2"/>
  </r>
  <r>
    <x v="789"/>
    <x v="340"/>
    <x v="1"/>
    <d v="1900-01-01T00:00:00"/>
    <x v="2"/>
    <s v="Chandigarh"/>
    <s v="Rohit Malhotra"/>
    <s v="Rohit Malhotra"/>
    <x v="3"/>
    <x v="0"/>
    <s v="Mobile Phones"/>
    <s v="Iphone 15"/>
    <x v="0"/>
    <s v="Delivered"/>
    <n v="2"/>
    <n v="68560"/>
    <n v="0.08"/>
    <n v="42850"/>
    <n v="126150.40000000001"/>
    <n v="85700"/>
    <n v="40450.400000000009"/>
    <n v="0.32065217391304351"/>
  </r>
  <r>
    <x v="790"/>
    <x v="340"/>
    <x v="1"/>
    <d v="1900-01-01T00:00:00"/>
    <x v="4"/>
    <s v="Raipur"/>
    <s v="Pooja Chouhan"/>
    <s v="Pooja Chouhan"/>
    <x v="3"/>
    <x v="0"/>
    <s v="Mobile Phones"/>
    <s v="Iphone 15"/>
    <x v="2"/>
    <s v="Delivered"/>
    <n v="4"/>
    <n v="67230"/>
    <n v="0.1"/>
    <n v="51800"/>
    <n v="242028"/>
    <n v="207200"/>
    <n v="34828"/>
    <n v="0.14390070570347233"/>
  </r>
  <r>
    <x v="791"/>
    <x v="340"/>
    <x v="1"/>
    <d v="1900-01-01T00:00:00"/>
    <x v="2"/>
    <s v="Delhi"/>
    <s v="Simran Kaur"/>
    <s v="Simran Kaur"/>
    <x v="2"/>
    <x v="4"/>
    <s v="Sports Gear"/>
    <s v="Sg Cricket Bat English Willow"/>
    <x v="1"/>
    <s v="Delivered"/>
    <n v="2"/>
    <n v="4280"/>
    <n v="0.18"/>
    <n v="3190"/>
    <n v="7019.2000000000007"/>
    <n v="6380"/>
    <n v="639.20000000000073"/>
    <n v="9.1064508775928976E-2"/>
  </r>
  <r>
    <x v="792"/>
    <x v="341"/>
    <x v="1"/>
    <d v="1900-01-01T00:00:00"/>
    <x v="1"/>
    <s v="Bhubaneswar"/>
    <s v="Ritika Ghosh"/>
    <s v="Ritika Ghosh"/>
    <x v="0"/>
    <x v="2"/>
    <s v="Footwear"/>
    <s v="Campus Running Shoes"/>
    <x v="0"/>
    <s v="Delivered"/>
    <n v="15"/>
    <n v="1570"/>
    <n v="0.15"/>
    <n v="1010"/>
    <n v="20017.5"/>
    <n v="15150"/>
    <n v="4867.5"/>
    <n v="0.24316223304608467"/>
  </r>
  <r>
    <x v="793"/>
    <x v="341"/>
    <x v="1"/>
    <d v="1900-01-01T00:00:00"/>
    <x v="3"/>
    <s v="Bengaluru"/>
    <s v="Divya Nair"/>
    <s v="Divya Nair"/>
    <x v="0"/>
    <x v="0"/>
    <s v="Audio Devices"/>
    <s v="Jbl Flip 6"/>
    <x v="1"/>
    <s v="Pending"/>
    <n v="13"/>
    <n v="9480"/>
    <n v="0.15"/>
    <n v="6860"/>
    <n v="104754"/>
    <n v="89180"/>
    <n v="15574"/>
    <n v="0.14867212707867958"/>
  </r>
  <r>
    <x v="794"/>
    <x v="341"/>
    <x v="1"/>
    <d v="1900-01-01T00:00:00"/>
    <x v="3"/>
    <s v="Hyderabad"/>
    <s v="Anjali Menon"/>
    <s v="Anjali Menon"/>
    <x v="0"/>
    <x v="0"/>
    <s v="Mobile Phones"/>
    <s v="Redmi Note 14"/>
    <x v="0"/>
    <s v="Shipped"/>
    <n v="5"/>
    <n v="18330"/>
    <n v="0.15"/>
    <n v="10900"/>
    <n v="77902.5"/>
    <n v="54500"/>
    <n v="23402.5"/>
    <n v="0.30040756073296748"/>
  </r>
  <r>
    <x v="795"/>
    <x v="342"/>
    <x v="1"/>
    <d v="1900-01-01T00:00:00"/>
    <x v="2"/>
    <s v="Jaipur"/>
    <s v="Simran Kaur"/>
    <s v="Simran Kaur"/>
    <x v="1"/>
    <x v="4"/>
    <s v="Activewear"/>
    <s v="Nivia Football Size 5"/>
    <x v="0"/>
    <s v="Shipped"/>
    <n v="33"/>
    <n v="860"/>
    <n v="0.25"/>
    <n v="540"/>
    <n v="21285"/>
    <n v="17820"/>
    <n v="3465"/>
    <n v="0.16279069767441862"/>
  </r>
  <r>
    <x v="796"/>
    <x v="343"/>
    <x v="1"/>
    <d v="1900-01-01T00:00:00"/>
    <x v="4"/>
    <s v="Jabalpur"/>
    <s v="Manish Tiwari"/>
    <s v="Manish Tiwari"/>
    <x v="0"/>
    <x v="0"/>
    <s v="Audio Devices"/>
    <s v="Sony Wh-Ch720N"/>
    <x v="0"/>
    <s v="Delivered"/>
    <n v="12"/>
    <n v="8150"/>
    <n v="0"/>
    <n v="4760"/>
    <n v="97800"/>
    <n v="57120"/>
    <n v="40680"/>
    <n v="0.41595092024539876"/>
  </r>
  <r>
    <x v="797"/>
    <x v="343"/>
    <x v="1"/>
    <d v="1900-01-01T00:00:00"/>
    <x v="0"/>
    <s v="Ahmedabad"/>
    <s v="Prateek Shah"/>
    <s v="Prateek Shah"/>
    <x v="0"/>
    <x v="2"/>
    <s v="Footwear"/>
    <s v="Nike Revolution 7"/>
    <x v="1"/>
    <s v="Shipped"/>
    <n v="10"/>
    <n v="3800"/>
    <n v="0.08"/>
    <n v="2410"/>
    <n v="34960"/>
    <n v="24100"/>
    <n v="10860"/>
    <n v="0.31064073226544625"/>
  </r>
  <r>
    <x v="798"/>
    <x v="343"/>
    <x v="1"/>
    <d v="1900-01-01T00:00:00"/>
    <x v="2"/>
    <s v="Noida"/>
    <s v="Aditya Verma"/>
    <s v="Aditya Verma"/>
    <x v="3"/>
    <x v="4"/>
    <s v="Activewear"/>
    <s v="Puma Track Pants"/>
    <x v="2"/>
    <s v="Delivered"/>
    <n v="19"/>
    <n v="1600"/>
    <n v="0.1"/>
    <n v="900"/>
    <n v="27360"/>
    <n v="17100"/>
    <n v="10260"/>
    <n v="0.375"/>
  </r>
  <r>
    <x v="799"/>
    <x v="344"/>
    <x v="1"/>
    <d v="1900-01-01T00:00:00"/>
    <x v="0"/>
    <s v="Ahmedabad"/>
    <s v="Prateek Shah"/>
    <s v="Prateek Shah"/>
    <x v="2"/>
    <x v="2"/>
    <s v="Accessories"/>
    <s v="Wildcraft 35L Backpack"/>
    <x v="0"/>
    <s v="Pending"/>
    <n v="16"/>
    <n v="1950"/>
    <n v="0.05"/>
    <n v="1150"/>
    <n v="29640"/>
    <n v="18400"/>
    <n v="11240"/>
    <n v="0.37921727395411609"/>
  </r>
  <r>
    <x v="800"/>
    <x v="344"/>
    <x v="1"/>
    <d v="1900-01-01T00:00:00"/>
    <x v="0"/>
    <s v="Nashik"/>
    <s v="Prateek Shah"/>
    <s v="Prateek Shah"/>
    <x v="2"/>
    <x v="1"/>
    <s v="Refrigerators"/>
    <s v="Samsung 192L Single Door"/>
    <x v="0"/>
    <s v="Delivered"/>
    <n v="8"/>
    <n v="15770"/>
    <n v="0.15"/>
    <n v="9040"/>
    <n v="107236"/>
    <n v="72320"/>
    <n v="34916"/>
    <n v="0.32559961207057331"/>
  </r>
  <r>
    <x v="801"/>
    <x v="344"/>
    <x v="1"/>
    <d v="1900-01-01T00:00:00"/>
    <x v="2"/>
    <s v="Noida"/>
    <s v="Simran Kaur"/>
    <s v="Simran Kaur"/>
    <x v="0"/>
    <x v="3"/>
    <s v="Storage"/>
    <s v="3-Door Wardrobe"/>
    <x v="1"/>
    <s v="Shipped"/>
    <n v="7"/>
    <n v="28430"/>
    <n v="0.08"/>
    <n v="18970"/>
    <n v="183089.2"/>
    <n v="132790"/>
    <n v="50299.200000000012"/>
    <n v="0.27472510666931754"/>
  </r>
  <r>
    <x v="802"/>
    <x v="345"/>
    <x v="1"/>
    <d v="1900-01-01T00:00:00"/>
    <x v="0"/>
    <s v="Ahmedabad"/>
    <s v="Neha Deshpande"/>
    <s v="Neha Deshpande"/>
    <x v="2"/>
    <x v="2"/>
    <s v="Footwear"/>
    <s v="Nike Revolution 7"/>
    <x v="1"/>
    <s v="Pending"/>
    <n v="11"/>
    <n v="3720"/>
    <n v="0.25"/>
    <n v="2240"/>
    <n v="30690"/>
    <n v="24640"/>
    <n v="6050"/>
    <n v="0.1971326164874552"/>
  </r>
  <r>
    <x v="803"/>
    <x v="345"/>
    <x v="1"/>
    <d v="1900-01-01T00:00:00"/>
    <x v="2"/>
    <s v="Chandigarh"/>
    <s v="Aditya Verma"/>
    <s v="Aditya Verma"/>
    <x v="0"/>
    <x v="1"/>
    <s v="Kitchen Appliances"/>
    <s v="Pigeon Induction Cooktop"/>
    <x v="0"/>
    <s v="Delivered"/>
    <n v="5"/>
    <n v="2500"/>
    <n v="0.05"/>
    <n v="1680"/>
    <n v="11875"/>
    <n v="8400"/>
    <n v="3475"/>
    <n v="0.29263157894736841"/>
  </r>
  <r>
    <x v="804"/>
    <x v="345"/>
    <x v="1"/>
    <d v="1900-01-01T00:00:00"/>
    <x v="1"/>
    <s v="Guwahati"/>
    <s v="Sourav Das"/>
    <s v="Sourav Das"/>
    <x v="0"/>
    <x v="1"/>
    <s v="Washing Machines"/>
    <s v="Whirlpool Semi Auto 7.5Kg"/>
    <x v="2"/>
    <s v="Delivered"/>
    <n v="3"/>
    <n v="14010"/>
    <n v="0.12"/>
    <n v="10790"/>
    <n v="36986.400000000001"/>
    <n v="32370"/>
    <n v="4616.4000000000015"/>
    <n v="0.12481344494192463"/>
  </r>
  <r>
    <x v="805"/>
    <x v="345"/>
    <x v="1"/>
    <d v="1900-01-01T00:00:00"/>
    <x v="3"/>
    <s v="Kochi"/>
    <s v="Karthik Raman"/>
    <s v="Karthik Raman"/>
    <x v="1"/>
    <x v="1"/>
    <s v="Washing Machines"/>
    <s v="Whirlpool Semi Auto 7.5Kg"/>
    <x v="0"/>
    <s v="Delivered"/>
    <n v="6"/>
    <n v="14540"/>
    <n v="0.08"/>
    <n v="8640"/>
    <n v="80260.800000000003"/>
    <n v="51840"/>
    <n v="28420.800000000003"/>
    <n v="0.35410561569284138"/>
  </r>
  <r>
    <x v="806"/>
    <x v="346"/>
    <x v="1"/>
    <d v="1900-01-01T00:00:00"/>
    <x v="0"/>
    <s v="Ahmedabad"/>
    <s v="Neha Deshpande"/>
    <s v="Neha Deshpande"/>
    <x v="2"/>
    <x v="4"/>
    <s v="Fitness Equipment"/>
    <s v="Adjustable Dumbbell Set 10Kg"/>
    <x v="1"/>
    <s v="Delivered"/>
    <n v="16"/>
    <n v="2580"/>
    <n v="0.15"/>
    <n v="2000"/>
    <n v="35088"/>
    <n v="32000"/>
    <n v="3088"/>
    <n v="8.8007295941632466E-2"/>
  </r>
  <r>
    <x v="807"/>
    <x v="346"/>
    <x v="1"/>
    <d v="1900-01-01T00:00:00"/>
    <x v="3"/>
    <s v="Bengaluru"/>
    <s v="Anjali Menon"/>
    <s v="Anjali Menon"/>
    <x v="0"/>
    <x v="2"/>
    <s v="Footwear"/>
    <s v="Bata Formal Shoes"/>
    <x v="0"/>
    <s v="Delivered"/>
    <n v="22"/>
    <n v="2270"/>
    <n v="0.05"/>
    <n v="1410"/>
    <n v="47443"/>
    <n v="31020"/>
    <n v="16423"/>
    <n v="0.34616276373753768"/>
  </r>
  <r>
    <x v="808"/>
    <x v="346"/>
    <x v="1"/>
    <d v="1900-01-01T00:00:00"/>
    <x v="4"/>
    <s v="Jabalpur"/>
    <s v="Manish Tiwari"/>
    <s v="Manish Tiwari"/>
    <x v="0"/>
    <x v="2"/>
    <s v="Footwear"/>
    <s v="Nike Revolution 7"/>
    <x v="0"/>
    <s v="Delivered"/>
    <n v="5"/>
    <n v="3970"/>
    <n v="0.18"/>
    <n v="2770"/>
    <n v="16277.000000000002"/>
    <n v="13850"/>
    <n v="2427.0000000000018"/>
    <n v="0.14910610063279484"/>
  </r>
  <r>
    <x v="809"/>
    <x v="346"/>
    <x v="1"/>
    <d v="1900-01-01T00:00:00"/>
    <x v="2"/>
    <s v="Chandigarh"/>
    <s v="Aditya Verma"/>
    <s v="Aditya Verma"/>
    <x v="3"/>
    <x v="2"/>
    <s v="Footwear"/>
    <s v="Nike Revolution 7"/>
    <x v="2"/>
    <s v="Delivered"/>
    <n v="13"/>
    <n v="4080"/>
    <n v="0.08"/>
    <n v="2740"/>
    <n v="48796.800000000003"/>
    <n v="35620"/>
    <n v="13176.800000000003"/>
    <n v="0.27003410059676047"/>
  </r>
  <r>
    <x v="810"/>
    <x v="346"/>
    <x v="1"/>
    <d v="1900-01-01T00:00:00"/>
    <x v="1"/>
    <s v="Patna"/>
    <s v="Sourav Das"/>
    <s v="Sourav Das"/>
    <x v="0"/>
    <x v="0"/>
    <s v="Laptops"/>
    <s v="Macbook Air M3"/>
    <x v="0"/>
    <s v="Returned"/>
    <n v="4"/>
    <n v="112860"/>
    <n v="0.08"/>
    <n v="84040"/>
    <n v="415324.80000000005"/>
    <n v="336160"/>
    <n v="79164.800000000047"/>
    <n v="0.19060937367573533"/>
  </r>
  <r>
    <x v="811"/>
    <x v="346"/>
    <x v="1"/>
    <d v="1900-01-01T00:00:00"/>
    <x v="0"/>
    <s v="Mumbai"/>
    <s v="Neha Deshpande"/>
    <s v="Neha Deshpande"/>
    <x v="2"/>
    <x v="2"/>
    <s v="Footwear"/>
    <s v="Nike Revolution 7"/>
    <x v="0"/>
    <s v="Delivered"/>
    <n v="9"/>
    <n v="3900"/>
    <n v="0.08"/>
    <n v="2820"/>
    <n v="32292"/>
    <n v="25380"/>
    <n v="6912"/>
    <n v="0.21404682274247491"/>
  </r>
  <r>
    <x v="812"/>
    <x v="347"/>
    <x v="1"/>
    <d v="1900-01-02T00:00:00"/>
    <x v="0"/>
    <s v="Nagpur"/>
    <s v="Prateek Shah"/>
    <s v="Prateek Shah"/>
    <x v="1"/>
    <x v="4"/>
    <s v="Fitness Equipment"/>
    <s v="Adjustable Dumbbell Set 10Kg"/>
    <x v="2"/>
    <s v="Shipped"/>
    <n v="25"/>
    <n v="2580"/>
    <n v="0.12"/>
    <n v="1820"/>
    <n v="56760"/>
    <n v="45500"/>
    <n v="11260"/>
    <n v="0.19837914023960534"/>
  </r>
  <r>
    <x v="813"/>
    <x v="348"/>
    <x v="1"/>
    <d v="1900-01-02T00:00:00"/>
    <x v="3"/>
    <s v="Coimbatore"/>
    <s v="Divya Nair"/>
    <s v="Divya Nair"/>
    <x v="3"/>
    <x v="0"/>
    <s v="Televisions"/>
    <s v="Mi Tv 5X 43 Inch"/>
    <x v="0"/>
    <s v="Delivered"/>
    <n v="2"/>
    <n v="32250"/>
    <n v="0.2"/>
    <n v="20110"/>
    <n v="51600"/>
    <n v="40220"/>
    <n v="11380"/>
    <n v="0.22054263565891472"/>
  </r>
  <r>
    <x v="814"/>
    <x v="348"/>
    <x v="1"/>
    <d v="1900-01-02T00:00:00"/>
    <x v="3"/>
    <s v="Kochi"/>
    <s v="Divya Nair"/>
    <s v="Divya Nair"/>
    <x v="2"/>
    <x v="3"/>
    <s v="Office Chairs"/>
    <s v="Nilkamal Executive Chair"/>
    <x v="0"/>
    <s v="Delivered"/>
    <n v="15"/>
    <n v="6570"/>
    <n v="0.2"/>
    <n v="4480"/>
    <n v="78840"/>
    <n v="67200"/>
    <n v="11640"/>
    <n v="0.14764079147640791"/>
  </r>
  <r>
    <x v="815"/>
    <x v="348"/>
    <x v="1"/>
    <d v="1900-01-02T00:00:00"/>
    <x v="2"/>
    <s v="Lucknow"/>
    <s v="Simran Kaur"/>
    <s v="Simran Kaur"/>
    <x v="3"/>
    <x v="2"/>
    <s v="Apparel"/>
    <s v="Us Polo T-Shirt"/>
    <x v="0"/>
    <s v="Delivered"/>
    <n v="25"/>
    <n v="1210"/>
    <n v="0.2"/>
    <n v="700"/>
    <n v="24200"/>
    <n v="17500"/>
    <n v="6700"/>
    <n v="0.27685950413223143"/>
  </r>
  <r>
    <x v="816"/>
    <x v="349"/>
    <x v="1"/>
    <d v="1900-01-02T00:00:00"/>
    <x v="3"/>
    <s v="Bengaluru"/>
    <s v="Anjali Menon"/>
    <s v="Anjali Menon"/>
    <x v="0"/>
    <x v="2"/>
    <s v="Accessories"/>
    <s v="Fastrack Analog Watch"/>
    <x v="0"/>
    <s v="Delivered"/>
    <n v="6"/>
    <n v="2510"/>
    <n v="0"/>
    <n v="1520"/>
    <n v="15060"/>
    <n v="9120"/>
    <n v="5940"/>
    <n v="0.39442231075697209"/>
  </r>
  <r>
    <x v="817"/>
    <x v="349"/>
    <x v="1"/>
    <d v="1900-01-02T00:00:00"/>
    <x v="1"/>
    <s v="Guwahati"/>
    <s v="Ritika Ghosh"/>
    <s v="Ritika Ghosh"/>
    <x v="2"/>
    <x v="4"/>
    <s v="Fitness Equipment"/>
    <s v="Adjustable Dumbbell Set 10Kg"/>
    <x v="1"/>
    <s v="Delivered"/>
    <n v="34"/>
    <n v="2520"/>
    <n v="0.2"/>
    <n v="1540"/>
    <n v="68544"/>
    <n v="52360"/>
    <n v="16184"/>
    <n v="0.2361111111111111"/>
  </r>
  <r>
    <x v="818"/>
    <x v="350"/>
    <x v="1"/>
    <d v="1900-01-02T00:00:00"/>
    <x v="2"/>
    <s v="Delhi"/>
    <s v="Rohit Malhotra"/>
    <s v="Rohit Malhotra"/>
    <x v="3"/>
    <x v="1"/>
    <s v="Refrigerators"/>
    <s v="Lg 260L Double Door"/>
    <x v="0"/>
    <s v="Shipped"/>
    <n v="6"/>
    <n v="27390"/>
    <n v="0.12"/>
    <n v="19480"/>
    <n v="144619.20000000001"/>
    <n v="116880"/>
    <n v="27739.200000000012"/>
    <n v="0.19180855654021051"/>
  </r>
  <r>
    <x v="819"/>
    <x v="350"/>
    <x v="1"/>
    <d v="1900-01-02T00:00:00"/>
    <x v="2"/>
    <s v="Delhi"/>
    <s v="Rohit Malhotra"/>
    <s v="Rohit Malhotra"/>
    <x v="0"/>
    <x v="0"/>
    <s v="Laptops"/>
    <s v="Dell Inspiron 3520"/>
    <x v="0"/>
    <s v="Delivered"/>
    <n v="1"/>
    <n v="57360"/>
    <n v="0"/>
    <n v="39200"/>
    <n v="57360"/>
    <n v="39200"/>
    <n v="18160"/>
    <n v="0.31659693165969316"/>
  </r>
  <r>
    <x v="820"/>
    <x v="350"/>
    <x v="1"/>
    <d v="1900-01-02T00:00:00"/>
    <x v="1"/>
    <s v="Patna"/>
    <s v="Ritika Ghosh"/>
    <s v="Ritika Ghosh"/>
    <x v="0"/>
    <x v="2"/>
    <s v="Accessories"/>
    <s v="Fastrack Analog Watch"/>
    <x v="0"/>
    <s v="Delivered"/>
    <n v="19"/>
    <n v="2460"/>
    <n v="0.05"/>
    <n v="1930"/>
    <n v="44403"/>
    <n v="36670"/>
    <n v="7733"/>
    <n v="0.17415489944373128"/>
  </r>
  <r>
    <x v="821"/>
    <x v="351"/>
    <x v="1"/>
    <d v="1900-01-02T00:00:00"/>
    <x v="0"/>
    <s v="Nagpur"/>
    <s v="Prateek Shah"/>
    <s v="Prateek Shah"/>
    <x v="3"/>
    <x v="2"/>
    <s v="Footwear"/>
    <s v="Campus Running Shoes"/>
    <x v="2"/>
    <s v="Delivered"/>
    <n v="4"/>
    <n v="1710"/>
    <n v="0.08"/>
    <n v="1290"/>
    <n v="6292.8"/>
    <n v="5160"/>
    <n v="1132.8000000000002"/>
    <n v="0.1800152555301297"/>
  </r>
  <r>
    <x v="822"/>
    <x v="351"/>
    <x v="1"/>
    <d v="1900-01-02T00:00:00"/>
    <x v="0"/>
    <s v="Nagpur"/>
    <s v="Imran Sheikh"/>
    <s v="Imran Sheikh"/>
    <x v="0"/>
    <x v="2"/>
    <s v="Accessories"/>
    <s v="Fastrack Analog Watch"/>
    <x v="0"/>
    <s v="Delivered"/>
    <n v="35"/>
    <n v="2590"/>
    <n v="0"/>
    <n v="1930"/>
    <n v="90650"/>
    <n v="67550"/>
    <n v="23100"/>
    <n v="0.25482625482625482"/>
  </r>
  <r>
    <x v="823"/>
    <x v="352"/>
    <x v="1"/>
    <d v="1900-01-02T00:00:00"/>
    <x v="3"/>
    <s v="Chennai"/>
    <s v="Karthik Raman"/>
    <s v="Karthik Raman"/>
    <x v="3"/>
    <x v="0"/>
    <s v="Televisions"/>
    <s v="Samsung Crystal 4K 55 Inch"/>
    <x v="0"/>
    <s v="Delivered"/>
    <n v="7"/>
    <n v="49940"/>
    <n v="0.15"/>
    <n v="37060"/>
    <n v="297143"/>
    <n v="259420"/>
    <n v="37723"/>
    <n v="0.12695234281137366"/>
  </r>
  <r>
    <x v="824"/>
    <x v="352"/>
    <x v="1"/>
    <d v="1900-01-02T00:00:00"/>
    <x v="3"/>
    <s v="Bengaluru"/>
    <s v="Anjali Menon"/>
    <s v="Anjali Menon"/>
    <x v="0"/>
    <x v="0"/>
    <s v="Mobile Phones"/>
    <s v="Iphone 15"/>
    <x v="0"/>
    <s v="Delivered"/>
    <n v="1"/>
    <n v="68090"/>
    <n v="0.05"/>
    <n v="46700"/>
    <n v="64685.5"/>
    <n v="46700"/>
    <n v="17985.5"/>
    <n v="0.2780453115458642"/>
  </r>
  <r>
    <x v="825"/>
    <x v="352"/>
    <x v="1"/>
    <d v="1900-01-02T00:00:00"/>
    <x v="0"/>
    <s v="Nashik"/>
    <s v="Prateek Shah"/>
    <s v="Prateek Shah"/>
    <x v="3"/>
    <x v="3"/>
    <s v="Sofas"/>
    <s v="Single Seater Recliner"/>
    <x v="0"/>
    <s v="Delivered"/>
    <n v="2"/>
    <n v="46890"/>
    <n v="0.05"/>
    <n v="31740"/>
    <n v="89091"/>
    <n v="63480"/>
    <n v="25611"/>
    <n v="0.28747011482641344"/>
  </r>
  <r>
    <x v="826"/>
    <x v="352"/>
    <x v="1"/>
    <d v="1900-01-02T00:00:00"/>
    <x v="2"/>
    <s v="Lucknow"/>
    <s v="Aditya Verma"/>
    <s v="Aditya Verma"/>
    <x v="2"/>
    <x v="3"/>
    <s v="Office Chairs"/>
    <s v="Green Soul Ergonomic Chair"/>
    <x v="1"/>
    <s v="Delivered"/>
    <n v="1"/>
    <n v="12190"/>
    <n v="0.15"/>
    <n v="7970"/>
    <n v="10361.5"/>
    <n v="7970"/>
    <n v="2391.5"/>
    <n v="0.23080635043188727"/>
  </r>
  <r>
    <x v="827"/>
    <x v="353"/>
    <x v="1"/>
    <d v="1900-01-02T00:00:00"/>
    <x v="2"/>
    <s v="Lucknow"/>
    <s v="Aditya Verma"/>
    <s v="Aditya Verma"/>
    <x v="2"/>
    <x v="1"/>
    <s v="Refrigerators"/>
    <s v="Samsung 192L Single Door"/>
    <x v="0"/>
    <s v="Delivered"/>
    <n v="7"/>
    <n v="15810"/>
    <n v="0.15"/>
    <n v="12180"/>
    <n v="94069.5"/>
    <n v="85260"/>
    <n v="8809.5"/>
    <n v="9.3648844737135847E-2"/>
  </r>
  <r>
    <x v="828"/>
    <x v="353"/>
    <x v="1"/>
    <d v="1900-01-02T00:00:00"/>
    <x v="0"/>
    <s v="Nashik"/>
    <s v="Prateek Shah"/>
    <s v="Prateek Shah"/>
    <x v="1"/>
    <x v="4"/>
    <s v="Sports Gear"/>
    <s v="Sg Cricket Bat English Willow"/>
    <x v="0"/>
    <s v="Delivered"/>
    <n v="26"/>
    <n v="4340"/>
    <n v="0.05"/>
    <n v="3400"/>
    <n v="107198"/>
    <n v="88400"/>
    <n v="18798"/>
    <n v="0.17535774921173902"/>
  </r>
  <r>
    <x v="829"/>
    <x v="353"/>
    <x v="1"/>
    <d v="1900-01-02T00:00:00"/>
    <x v="4"/>
    <s v="Indore"/>
    <s v="Pooja Chouhan"/>
    <s v="Pooja Chouhan"/>
    <x v="0"/>
    <x v="0"/>
    <s v="Mobile Phones"/>
    <s v="Samsung Galaxy M35"/>
    <x v="0"/>
    <s v="Delivered"/>
    <n v="4"/>
    <n v="22270"/>
    <n v="0.25"/>
    <n v="16510"/>
    <n v="66810"/>
    <n v="66040"/>
    <n v="770"/>
    <n v="1.1525220775333035E-2"/>
  </r>
  <r>
    <x v="830"/>
    <x v="354"/>
    <x v="1"/>
    <d v="1900-01-02T00:00:00"/>
    <x v="3"/>
    <s v="Bengaluru"/>
    <s v="Karthik Raman"/>
    <s v="Karthik Raman"/>
    <x v="2"/>
    <x v="2"/>
    <s v="Footwear"/>
    <s v="Nike Revolution 7"/>
    <x v="1"/>
    <s v="Delivered"/>
    <n v="5"/>
    <n v="3630"/>
    <n v="0.15"/>
    <n v="2860"/>
    <n v="15427.5"/>
    <n v="14300"/>
    <n v="1127.5"/>
    <n v="7.3083778966131913E-2"/>
  </r>
  <r>
    <x v="831"/>
    <x v="354"/>
    <x v="1"/>
    <d v="1900-01-02T00:00:00"/>
    <x v="1"/>
    <s v="Siliguri"/>
    <s v="Sourav Das"/>
    <s v="Sourav Das"/>
    <x v="0"/>
    <x v="0"/>
    <s v="Mobile Phones"/>
    <s v="Samsung Galaxy M35"/>
    <x v="2"/>
    <s v="Delivered"/>
    <n v="4"/>
    <n v="23760"/>
    <n v="0.15"/>
    <n v="16950"/>
    <n v="80784"/>
    <n v="67800"/>
    <n v="12984"/>
    <n v="0.16072489601901366"/>
  </r>
  <r>
    <x v="832"/>
    <x v="354"/>
    <x v="1"/>
    <d v="1900-01-02T00:00:00"/>
    <x v="4"/>
    <s v="Ujjain"/>
    <s v="Manish Tiwari"/>
    <s v="Manish Tiwari"/>
    <x v="0"/>
    <x v="4"/>
    <s v="Sports Gear"/>
    <s v="Sg Cricket Bat English Willow"/>
    <x v="2"/>
    <s v="Delivered"/>
    <n v="5"/>
    <n v="4450"/>
    <n v="0.15"/>
    <n v="3390"/>
    <n v="18912.5"/>
    <n v="16950"/>
    <n v="1962.5"/>
    <n v="0.1037673496364838"/>
  </r>
  <r>
    <x v="833"/>
    <x v="354"/>
    <x v="1"/>
    <d v="1900-01-02T00:00:00"/>
    <x v="3"/>
    <s v="Bengaluru"/>
    <s v="Karthik Raman"/>
    <s v="Karthik Raman"/>
    <x v="0"/>
    <x v="0"/>
    <s v="Televisions"/>
    <s v="Mi Tv 5X 43 Inch"/>
    <x v="0"/>
    <s v="Delivered"/>
    <n v="2"/>
    <n v="31790"/>
    <n v="0"/>
    <n v="25030"/>
    <n v="63580"/>
    <n v="50060"/>
    <n v="13520"/>
    <n v="0.21264548600188737"/>
  </r>
  <r>
    <x v="834"/>
    <x v="354"/>
    <x v="1"/>
    <d v="1900-01-02T00:00:00"/>
    <x v="2"/>
    <s v="Gurugram"/>
    <s v="Rohit Malhotra"/>
    <s v="Rohit Malhotra"/>
    <x v="1"/>
    <x v="0"/>
    <s v="Laptops"/>
    <s v="Dell Inspiron 3520"/>
    <x v="0"/>
    <s v="Delivered"/>
    <n v="2"/>
    <n v="52430"/>
    <n v="0.08"/>
    <n v="34910"/>
    <n v="96471.2"/>
    <n v="69820"/>
    <n v="26651.199999999997"/>
    <n v="0.27626068712734991"/>
  </r>
  <r>
    <x v="835"/>
    <x v="355"/>
    <x v="1"/>
    <d v="1900-01-02T00:00:00"/>
    <x v="4"/>
    <s v="Ujjain"/>
    <s v="Pooja Chouhan"/>
    <s v="Pooja Chouhan"/>
    <x v="3"/>
    <x v="0"/>
    <s v="Laptops"/>
    <s v="Macbook Air M3"/>
    <x v="1"/>
    <s v="Delivered"/>
    <n v="2"/>
    <n v="105100"/>
    <n v="0"/>
    <n v="75570"/>
    <n v="210200"/>
    <n v="151140"/>
    <n v="59060"/>
    <n v="0.28097050428163656"/>
  </r>
  <r>
    <x v="836"/>
    <x v="355"/>
    <x v="1"/>
    <d v="1900-01-02T00:00:00"/>
    <x v="0"/>
    <s v="Mumbai"/>
    <s v="Prateek Shah"/>
    <s v="Prateek Shah"/>
    <x v="0"/>
    <x v="4"/>
    <s v="Fitness Equipment"/>
    <s v="Home Foldable Treadmill"/>
    <x v="0"/>
    <s v="Delivered"/>
    <n v="4"/>
    <n v="40390"/>
    <n v="0"/>
    <n v="31750"/>
    <n v="161560"/>
    <n v="127000"/>
    <n v="34560"/>
    <n v="0.21391433523149295"/>
  </r>
  <r>
    <x v="837"/>
    <x v="355"/>
    <x v="1"/>
    <d v="1900-01-02T00:00:00"/>
    <x v="3"/>
    <s v="Hyderabad"/>
    <s v="Divya Nair"/>
    <s v="Divya Nair"/>
    <x v="3"/>
    <x v="4"/>
    <s v="Fitness Equipment"/>
    <s v="Home Foldable Treadmill"/>
    <x v="0"/>
    <s v="Pending"/>
    <n v="5"/>
    <n v="41330"/>
    <n v="0"/>
    <n v="29180"/>
    <n v="206650"/>
    <n v="145900"/>
    <n v="60750"/>
    <n v="0.29397532059037018"/>
  </r>
  <r>
    <x v="838"/>
    <x v="355"/>
    <x v="1"/>
    <d v="1900-01-02T00:00:00"/>
    <x v="1"/>
    <s v="Kolkata"/>
    <s v="Sourav Das"/>
    <s v="Sourav Das"/>
    <x v="2"/>
    <x v="0"/>
    <s v="Mobile Phones"/>
    <s v="Redmi Note 14"/>
    <x v="1"/>
    <s v="Delivered"/>
    <n v="5"/>
    <n v="19110"/>
    <n v="0.15"/>
    <n v="14950"/>
    <n v="81217.5"/>
    <n v="74750"/>
    <n v="6467.5"/>
    <n v="7.9631852741096437E-2"/>
  </r>
  <r>
    <x v="839"/>
    <x v="355"/>
    <x v="1"/>
    <d v="1900-01-02T00:00:00"/>
    <x v="3"/>
    <s v="Visakhapatnam"/>
    <s v="Karthik Raman"/>
    <s v="Karthik Raman"/>
    <x v="3"/>
    <x v="1"/>
    <s v="Kitchen Appliances"/>
    <s v="Pigeon Induction Cooktop"/>
    <x v="1"/>
    <s v="Delivered"/>
    <n v="38"/>
    <n v="2660"/>
    <n v="0"/>
    <n v="1510"/>
    <n v="101080"/>
    <n v="57380"/>
    <n v="43700"/>
    <n v="0.43233082706766918"/>
  </r>
  <r>
    <x v="840"/>
    <x v="355"/>
    <x v="1"/>
    <d v="1900-01-02T00:00:00"/>
    <x v="4"/>
    <s v="Bhopal"/>
    <s v="Pooja Chouhan"/>
    <s v="Pooja Chouhan"/>
    <x v="3"/>
    <x v="2"/>
    <s v="Accessories"/>
    <s v="Wildcraft 35L Backpack"/>
    <x v="1"/>
    <s v="Delivered"/>
    <n v="34"/>
    <n v="1830"/>
    <n v="0"/>
    <n v="1400"/>
    <n v="62220"/>
    <n v="47600"/>
    <n v="14620"/>
    <n v="0.23497267759562843"/>
  </r>
  <r>
    <x v="841"/>
    <x v="356"/>
    <x v="1"/>
    <d v="1900-01-02T00:00:00"/>
    <x v="0"/>
    <s v="Nashik"/>
    <s v="Prateek Shah"/>
    <s v="Prateek Shah"/>
    <x v="3"/>
    <x v="0"/>
    <s v="Laptops"/>
    <s v="Macbook Air M3"/>
    <x v="2"/>
    <s v="Delivered"/>
    <n v="4"/>
    <n v="109810"/>
    <n v="0.15"/>
    <n v="66600"/>
    <n v="373354"/>
    <n v="266400"/>
    <n v="106954"/>
    <n v="0.28646807051752493"/>
  </r>
  <r>
    <x v="842"/>
    <x v="356"/>
    <x v="1"/>
    <d v="1900-01-02T00:00:00"/>
    <x v="3"/>
    <s v="Visakhapatnam"/>
    <s v="Karthik Raman"/>
    <s v="Karthik Raman"/>
    <x v="0"/>
    <x v="3"/>
    <s v="Sofas"/>
    <s v="Single Seater Recliner"/>
    <x v="0"/>
    <s v="Shipped"/>
    <n v="1"/>
    <n v="45670"/>
    <n v="0.25"/>
    <n v="29670"/>
    <n v="34252.5"/>
    <n v="29670"/>
    <n v="4582.5"/>
    <n v="0.13378585504707685"/>
  </r>
  <r>
    <x v="843"/>
    <x v="357"/>
    <x v="1"/>
    <d v="1900-01-02T00:00:00"/>
    <x v="2"/>
    <s v="Delhi"/>
    <s v="Simran Kaur"/>
    <s v="Simran Kaur"/>
    <x v="0"/>
    <x v="3"/>
    <s v="Tables"/>
    <s v="Study Table Engineered Wood"/>
    <x v="1"/>
    <s v="Delivered"/>
    <n v="9"/>
    <n v="8190"/>
    <n v="0.08"/>
    <n v="6340"/>
    <n v="67813.2"/>
    <n v="57060"/>
    <n v="10753.199999999997"/>
    <n v="0.15857089770133245"/>
  </r>
  <r>
    <x v="844"/>
    <x v="358"/>
    <x v="1"/>
    <d v="1900-01-02T00:00:00"/>
    <x v="2"/>
    <s v="Delhi"/>
    <s v="Simran Kaur"/>
    <s v="Simran Kaur"/>
    <x v="2"/>
    <x v="1"/>
    <s v="Air Conditioners"/>
    <s v="Daikin 1.5T Split Ac"/>
    <x v="0"/>
    <s v="Delivered"/>
    <n v="2"/>
    <n v="41700"/>
    <n v="0.05"/>
    <n v="24340"/>
    <n v="79230"/>
    <n v="48680"/>
    <n v="30550"/>
    <n v="0.385586267827843"/>
  </r>
  <r>
    <x v="845"/>
    <x v="358"/>
    <x v="1"/>
    <d v="1900-01-02T00:00:00"/>
    <x v="3"/>
    <s v="Visakhapatnam"/>
    <s v="Anjali Menon"/>
    <s v="Anjali Menon"/>
    <x v="1"/>
    <x v="1"/>
    <s v="Washing Machines"/>
    <s v="Ifb Front Load 7Kg"/>
    <x v="1"/>
    <s v="Delivered"/>
    <n v="7"/>
    <n v="32320"/>
    <n v="0.12"/>
    <n v="24940"/>
    <n v="199091.20000000001"/>
    <n v="174580"/>
    <n v="24511.200000000012"/>
    <n v="0.12311543654365442"/>
  </r>
  <r>
    <x v="846"/>
    <x v="358"/>
    <x v="1"/>
    <d v="1900-01-02T00:00:00"/>
    <x v="0"/>
    <s v="Surat"/>
    <s v="Prateek Shah"/>
    <s v="Prateek Shah"/>
    <x v="0"/>
    <x v="3"/>
    <s v="Sofas"/>
    <s v="3-Seater Fabric Sofa"/>
    <x v="2"/>
    <s v="Returned"/>
    <n v="4"/>
    <n v="31650"/>
    <n v="0.1"/>
    <n v="20460"/>
    <n v="113940"/>
    <n v="81840"/>
    <n v="32100"/>
    <n v="0.28172722485518692"/>
  </r>
  <r>
    <x v="847"/>
    <x v="359"/>
    <x v="1"/>
    <d v="1900-01-02T00:00:00"/>
    <x v="3"/>
    <s v="Coimbatore"/>
    <s v="Karthik Raman"/>
    <s v="Karthik Raman"/>
    <x v="1"/>
    <x v="3"/>
    <s v="Office Chairs"/>
    <s v="Green Soul Ergonomic Chair"/>
    <x v="0"/>
    <s v="Shipped"/>
    <n v="1"/>
    <n v="11510"/>
    <n v="0.12"/>
    <n v="6830"/>
    <n v="10128.799999999999"/>
    <n v="6830"/>
    <n v="3298.7999999999993"/>
    <n v="0.32568517494668664"/>
  </r>
  <r>
    <x v="848"/>
    <x v="359"/>
    <x v="1"/>
    <d v="1900-01-02T00:00:00"/>
    <x v="0"/>
    <s v="Mumbai"/>
    <s v="Prateek Shah"/>
    <s v="Prateek Shah"/>
    <x v="2"/>
    <x v="1"/>
    <s v="Washing Machines"/>
    <s v="Ifb Front Load 7Kg"/>
    <x v="2"/>
    <s v="Delivered"/>
    <n v="3"/>
    <n v="35810"/>
    <n v="0"/>
    <n v="22820"/>
    <n v="107430"/>
    <n v="68460"/>
    <n v="38970"/>
    <n v="0.36274783580005587"/>
  </r>
  <r>
    <x v="849"/>
    <x v="359"/>
    <x v="1"/>
    <d v="1900-01-02T00:00:00"/>
    <x v="4"/>
    <s v="Indore"/>
    <s v="Manish Tiwari"/>
    <s v="Manish Tiwari"/>
    <x v="1"/>
    <x v="2"/>
    <s v="Accessories"/>
    <s v="Wildcraft 35L Backpack"/>
    <x v="0"/>
    <s v="Delivered"/>
    <n v="61"/>
    <n v="1830"/>
    <n v="0.12"/>
    <n v="1230"/>
    <n v="98234.4"/>
    <n v="75030"/>
    <n v="23204.399999999994"/>
    <n v="0.23621460506706404"/>
  </r>
  <r>
    <x v="850"/>
    <x v="359"/>
    <x v="1"/>
    <d v="1900-01-02T00:00:00"/>
    <x v="3"/>
    <s v="Chennai"/>
    <s v="Anjali Menon"/>
    <s v="Anjali Menon"/>
    <x v="2"/>
    <x v="0"/>
    <s v="Laptops"/>
    <s v="Macbook Air M3"/>
    <x v="1"/>
    <s v="Shipped"/>
    <n v="3"/>
    <n v="103590"/>
    <n v="0.12"/>
    <n v="76070"/>
    <n v="273477.59999999998"/>
    <n v="228210"/>
    <n v="45267.599999999977"/>
    <n v="0.16552580540417197"/>
  </r>
  <r>
    <x v="851"/>
    <x v="359"/>
    <x v="1"/>
    <d v="1900-01-02T00:00:00"/>
    <x v="3"/>
    <s v="Coimbatore"/>
    <s v="Karthik Raman"/>
    <s v="Karthik Raman"/>
    <x v="2"/>
    <x v="1"/>
    <s v="Washing Machines"/>
    <s v="Ifb Front Load 7Kg"/>
    <x v="1"/>
    <s v="Delivered"/>
    <n v="4"/>
    <n v="34350"/>
    <n v="0.2"/>
    <n v="26620"/>
    <n v="109920"/>
    <n v="106480"/>
    <n v="3440"/>
    <n v="3.1295487627365358E-2"/>
  </r>
  <r>
    <x v="852"/>
    <x v="360"/>
    <x v="1"/>
    <d v="1900-01-02T00:00:00"/>
    <x v="0"/>
    <s v="Mumbai"/>
    <s v="Imran Sheikh"/>
    <s v="Imran Sheikh"/>
    <x v="0"/>
    <x v="3"/>
    <s v="Storage"/>
    <s v="3-Door Wardrobe"/>
    <x v="0"/>
    <s v="Delivered"/>
    <n v="6"/>
    <n v="28330"/>
    <n v="0"/>
    <n v="18050"/>
    <n v="169980"/>
    <n v="108300"/>
    <n v="61680"/>
    <n v="0.36286621955524179"/>
  </r>
  <r>
    <x v="853"/>
    <x v="360"/>
    <x v="1"/>
    <d v="1900-01-02T00:00:00"/>
    <x v="3"/>
    <s v="Bengaluru"/>
    <s v="Anjali Menon"/>
    <s v="Anjali Menon"/>
    <x v="0"/>
    <x v="3"/>
    <s v="Storage"/>
    <s v="Metal Shoe Rack"/>
    <x v="2"/>
    <s v="Delivered"/>
    <n v="10"/>
    <n v="3620"/>
    <n v="0.05"/>
    <n v="2680"/>
    <n v="34390"/>
    <n v="26800"/>
    <n v="7590"/>
    <n v="0.22070369293399245"/>
  </r>
  <r>
    <x v="854"/>
    <x v="360"/>
    <x v="1"/>
    <d v="1900-01-02T00:00:00"/>
    <x v="0"/>
    <s v="Mumbai"/>
    <s v="Prateek Shah"/>
    <s v="Prateek Shah"/>
    <x v="0"/>
    <x v="1"/>
    <s v="Kitchen Appliances"/>
    <s v="Philips Air Fryer"/>
    <x v="2"/>
    <s v="Delivered"/>
    <n v="6"/>
    <n v="10210"/>
    <n v="0.05"/>
    <n v="7200"/>
    <n v="58197"/>
    <n v="43200"/>
    <n v="14997"/>
    <n v="0.2576936955513171"/>
  </r>
  <r>
    <x v="855"/>
    <x v="361"/>
    <x v="1"/>
    <d v="1900-01-02T00:00:00"/>
    <x v="4"/>
    <s v="Jabalpur"/>
    <s v="Pooja Chouhan"/>
    <s v="Pooja Chouhan"/>
    <x v="0"/>
    <x v="0"/>
    <s v="Audio Devices"/>
    <s v="Jbl Flip 6"/>
    <x v="1"/>
    <s v="Delivered"/>
    <n v="14"/>
    <n v="9780"/>
    <n v="0.1"/>
    <n v="5990"/>
    <n v="123228"/>
    <n v="83860"/>
    <n v="39368"/>
    <n v="0.31947284708020907"/>
  </r>
  <r>
    <x v="856"/>
    <x v="361"/>
    <x v="1"/>
    <d v="1900-01-02T00:00:00"/>
    <x v="3"/>
    <s v="Hyderabad"/>
    <s v="Karthik Raman"/>
    <s v="Karthik Raman"/>
    <x v="2"/>
    <x v="4"/>
    <s v="Sports Gear"/>
    <s v="Yonex Badminton Racket"/>
    <x v="1"/>
    <s v="Delivered"/>
    <n v="15"/>
    <n v="3170"/>
    <n v="0.15"/>
    <n v="1940"/>
    <n v="40417.5"/>
    <n v="29100"/>
    <n v="11317.5"/>
    <n v="0.28001484505474111"/>
  </r>
  <r>
    <x v="857"/>
    <x v="361"/>
    <x v="1"/>
    <d v="1900-01-02T00:00:00"/>
    <x v="3"/>
    <s v="Bengaluru"/>
    <s v="Karthik Raman"/>
    <s v="Karthik Raman"/>
    <x v="2"/>
    <x v="0"/>
    <s v="Mobile Phones"/>
    <s v="Samsung Galaxy M35"/>
    <x v="2"/>
    <s v="Delivered"/>
    <n v="7"/>
    <n v="21210"/>
    <n v="0.12"/>
    <n v="15900"/>
    <n v="130653.6"/>
    <n v="111300"/>
    <n v="19353.600000000006"/>
    <n v="0.14812909862414816"/>
  </r>
  <r>
    <x v="858"/>
    <x v="362"/>
    <x v="1"/>
    <d v="1900-01-02T00:00:00"/>
    <x v="0"/>
    <s v="Mumbai"/>
    <s v="Neha Deshpande"/>
    <s v="Neha Deshpande"/>
    <x v="2"/>
    <x v="1"/>
    <s v="Air Conditioners"/>
    <s v="Voltas 1.5T Inverter Ac"/>
    <x v="2"/>
    <s v="Delivered"/>
    <n v="2"/>
    <n v="38110"/>
    <n v="0"/>
    <n v="27060"/>
    <n v="76220"/>
    <n v="54120"/>
    <n v="22100"/>
    <n v="0.28995014431907634"/>
  </r>
  <r>
    <x v="859"/>
    <x v="363"/>
    <x v="1"/>
    <d v="1900-01-02T00:00:00"/>
    <x v="3"/>
    <s v="Kochi"/>
    <s v="Divya Nair"/>
    <s v="Divya Nair"/>
    <x v="3"/>
    <x v="0"/>
    <s v="Laptops"/>
    <s v="Dell Inspiron 3520"/>
    <x v="1"/>
    <s v="Delivered"/>
    <n v="8"/>
    <n v="56140"/>
    <n v="0"/>
    <n v="40530"/>
    <n v="449120"/>
    <n v="324240"/>
    <n v="124880"/>
    <n v="0.27805486284289277"/>
  </r>
  <r>
    <x v="860"/>
    <x v="364"/>
    <x v="1"/>
    <d v="1900-01-02T00:00:00"/>
    <x v="0"/>
    <s v="Nashik"/>
    <s v="Prateek Shah"/>
    <s v="Prateek Shah"/>
    <x v="0"/>
    <x v="2"/>
    <s v="Accessories"/>
    <s v="Wildcraft 35L Backpack"/>
    <x v="0"/>
    <s v="Delivered"/>
    <n v="40"/>
    <n v="1900"/>
    <n v="0.08"/>
    <n v="1230"/>
    <n v="69920"/>
    <n v="49200"/>
    <n v="20720"/>
    <n v="0.29633867276887871"/>
  </r>
  <r>
    <x v="861"/>
    <x v="364"/>
    <x v="1"/>
    <d v="1900-01-02T00:00:00"/>
    <x v="0"/>
    <s v="Surat"/>
    <s v="Imran Sheikh"/>
    <s v="Imran Sheikh"/>
    <x v="0"/>
    <x v="1"/>
    <s v="Air Conditioners"/>
    <s v="Voltas 1.5T Inverter Ac"/>
    <x v="0"/>
    <s v="Shipped"/>
    <n v="3"/>
    <n v="34390"/>
    <n v="0.08"/>
    <n v="26280"/>
    <n v="94916.400000000009"/>
    <n v="78840"/>
    <n v="16076.400000000009"/>
    <n v="0.16937431255294141"/>
  </r>
  <r>
    <x v="862"/>
    <x v="365"/>
    <x v="1"/>
    <d v="1900-01-02T00:00:00"/>
    <x v="4"/>
    <s v="Gwalior"/>
    <s v="Pooja Chouhan"/>
    <s v="Pooja Chouhan"/>
    <x v="3"/>
    <x v="3"/>
    <s v="Storage"/>
    <s v="3-Door Wardrobe"/>
    <x v="1"/>
    <s v="Delivered"/>
    <n v="10"/>
    <n v="27520"/>
    <n v="0.12"/>
    <n v="18400"/>
    <n v="242176"/>
    <n v="184000"/>
    <n v="58176"/>
    <n v="0.24022198731501057"/>
  </r>
  <r>
    <x v="863"/>
    <x v="366"/>
    <x v="1"/>
    <d v="1900-01-02T00:00:00"/>
    <x v="0"/>
    <s v="Surat"/>
    <s v="Neha Deshpande"/>
    <s v="Neha Deshpande"/>
    <x v="3"/>
    <x v="3"/>
    <s v="Sofas"/>
    <s v="3-Seater Fabric Sofa"/>
    <x v="1"/>
    <s v="Delivered"/>
    <n v="2"/>
    <n v="33720"/>
    <n v="0"/>
    <n v="25040"/>
    <n v="67440"/>
    <n v="50080"/>
    <n v="17360"/>
    <n v="0.25741399762752076"/>
  </r>
  <r>
    <x v="864"/>
    <x v="366"/>
    <x v="1"/>
    <d v="1900-01-02T00:00:00"/>
    <x v="3"/>
    <s v="Kochi"/>
    <s v="Divya Nair"/>
    <s v="Divya Nair"/>
    <x v="0"/>
    <x v="4"/>
    <s v="Fitness Equipment"/>
    <s v="Adjustable Dumbbell Set 10Kg"/>
    <x v="0"/>
    <s v="Returned"/>
    <n v="14"/>
    <n v="2430"/>
    <n v="0.15"/>
    <n v="1820"/>
    <n v="28917"/>
    <n v="25480"/>
    <n v="3437"/>
    <n v="0.11885741951101428"/>
  </r>
  <r>
    <x v="865"/>
    <x v="367"/>
    <x v="1"/>
    <d v="1900-01-02T00:00:00"/>
    <x v="0"/>
    <s v="Nagpur"/>
    <s v="Neha Deshpande"/>
    <s v="Neha Deshpande"/>
    <x v="0"/>
    <x v="0"/>
    <s v="Laptops"/>
    <s v="Dell Inspiron 3520"/>
    <x v="1"/>
    <s v="Delivered"/>
    <n v="4"/>
    <n v="54320"/>
    <n v="0.08"/>
    <n v="34980"/>
    <n v="199897.60000000001"/>
    <n v="139920"/>
    <n v="59977.600000000006"/>
    <n v="0.30004162131011081"/>
  </r>
  <r>
    <x v="866"/>
    <x v="367"/>
    <x v="1"/>
    <d v="1900-01-02T00:00:00"/>
    <x v="2"/>
    <s v="Lucknow"/>
    <s v="Aditya Verma"/>
    <s v="Aditya Verma"/>
    <x v="1"/>
    <x v="1"/>
    <s v="Refrigerators"/>
    <s v="Lg 260L Double Door"/>
    <x v="1"/>
    <s v="Delivered"/>
    <n v="5"/>
    <n v="27140"/>
    <n v="0.05"/>
    <n v="17940"/>
    <n v="128915"/>
    <n v="89700"/>
    <n v="39215"/>
    <n v="0.30419268510258696"/>
  </r>
  <r>
    <x v="867"/>
    <x v="368"/>
    <x v="1"/>
    <d v="1900-01-02T00:00:00"/>
    <x v="2"/>
    <s v="Delhi"/>
    <s v="Simran Kaur"/>
    <s v="Simran Kaur"/>
    <x v="1"/>
    <x v="2"/>
    <s v="Footwear"/>
    <s v="Bata Formal Shoes"/>
    <x v="1"/>
    <s v="Delivered"/>
    <n v="38"/>
    <n v="2300"/>
    <n v="0.15"/>
    <n v="1320"/>
    <n v="74290"/>
    <n v="50160"/>
    <n v="24130"/>
    <n v="0.32480818414322249"/>
  </r>
  <r>
    <x v="868"/>
    <x v="368"/>
    <x v="1"/>
    <d v="1900-01-02T00:00:00"/>
    <x v="3"/>
    <s v="Chennai"/>
    <s v="Divya Nair"/>
    <s v="Divya Nair"/>
    <x v="1"/>
    <x v="1"/>
    <s v="Kitchen Appliances"/>
    <s v="Pigeon Induction Cooktop"/>
    <x v="2"/>
    <s v="Delivered"/>
    <n v="7"/>
    <n v="2510"/>
    <n v="0.2"/>
    <n v="1410"/>
    <n v="14056"/>
    <n v="9870"/>
    <n v="4186"/>
    <n v="0.29780876494023906"/>
  </r>
  <r>
    <x v="869"/>
    <x v="369"/>
    <x v="1"/>
    <d v="1900-01-02T00:00:00"/>
    <x v="0"/>
    <s v="Surat"/>
    <s v="Neha Deshpande"/>
    <s v="Neha Deshpande"/>
    <x v="0"/>
    <x v="0"/>
    <s v="Audio Devices"/>
    <s v="Boat Airdopes 141"/>
    <x v="0"/>
    <s v="Delivered"/>
    <n v="18"/>
    <n v="1790"/>
    <n v="0.15"/>
    <n v="1400"/>
    <n v="27387"/>
    <n v="25200"/>
    <n v="2187"/>
    <n v="7.9855405849490635E-2"/>
  </r>
  <r>
    <x v="870"/>
    <x v="369"/>
    <x v="1"/>
    <d v="1900-01-02T00:00:00"/>
    <x v="4"/>
    <s v="Jabalpur"/>
    <s v="Pooja Chouhan"/>
    <s v="Pooja Chouhan"/>
    <x v="0"/>
    <x v="3"/>
    <s v="Office Chairs"/>
    <s v="Nilkamal Executive Chair"/>
    <x v="1"/>
    <s v="Delivered"/>
    <n v="4"/>
    <n v="6770"/>
    <n v="0.2"/>
    <n v="4340"/>
    <n v="21664"/>
    <n v="17360"/>
    <n v="4304"/>
    <n v="0.19867060561299851"/>
  </r>
  <r>
    <x v="871"/>
    <x v="369"/>
    <x v="1"/>
    <d v="1900-01-02T00:00:00"/>
    <x v="2"/>
    <s v="Delhi"/>
    <s v="Aditya Verma"/>
    <s v="Aditya Verma"/>
    <x v="0"/>
    <x v="2"/>
    <s v="Footwear"/>
    <s v="Campus Running Shoes"/>
    <x v="0"/>
    <s v="Shipped"/>
    <n v="16"/>
    <n v="1640"/>
    <n v="0.08"/>
    <n v="970"/>
    <n v="24140.799999999999"/>
    <n v="15520"/>
    <n v="8620.7999999999993"/>
    <n v="0.3571049840933192"/>
  </r>
  <r>
    <x v="872"/>
    <x v="370"/>
    <x v="1"/>
    <d v="1900-01-02T00:00:00"/>
    <x v="0"/>
    <s v="Ahmedabad"/>
    <s v="Imran Sheikh"/>
    <s v="Imran Sheikh"/>
    <x v="3"/>
    <x v="3"/>
    <s v="Storage"/>
    <s v="Metal Shoe Rack"/>
    <x v="0"/>
    <s v="Delivered"/>
    <n v="16"/>
    <n v="3440"/>
    <n v="0.15"/>
    <n v="2680"/>
    <n v="46784"/>
    <n v="42880"/>
    <n v="3904"/>
    <n v="8.3447332421340628E-2"/>
  </r>
  <r>
    <x v="873"/>
    <x v="370"/>
    <x v="1"/>
    <d v="1900-01-02T00:00:00"/>
    <x v="3"/>
    <s v="Coimbatore"/>
    <s v="Divya Nair"/>
    <s v="Divya Nair"/>
    <x v="2"/>
    <x v="2"/>
    <s v="Apparel"/>
    <s v="Allen Solly Formal Shirt"/>
    <x v="2"/>
    <s v="Delivered"/>
    <n v="28"/>
    <n v="1720"/>
    <n v="0.1"/>
    <n v="1080"/>
    <n v="43344"/>
    <n v="30240"/>
    <n v="13104"/>
    <n v="0.30232558139534882"/>
  </r>
  <r>
    <x v="874"/>
    <x v="370"/>
    <x v="1"/>
    <d v="1900-01-02T00:00:00"/>
    <x v="0"/>
    <s v="Nashik"/>
    <s v="Prateek Shah"/>
    <s v="Prateek Shah"/>
    <x v="2"/>
    <x v="3"/>
    <s v="Sofas"/>
    <s v="Single Seater Recliner"/>
    <x v="0"/>
    <s v="Delivered"/>
    <n v="4"/>
    <n v="44020"/>
    <n v="0"/>
    <n v="28190"/>
    <n v="176080"/>
    <n v="112760"/>
    <n v="63320"/>
    <n v="0.35960926851431169"/>
  </r>
  <r>
    <x v="875"/>
    <x v="370"/>
    <x v="1"/>
    <d v="1900-01-02T00:00:00"/>
    <x v="3"/>
    <s v="Bengaluru"/>
    <s v="Anjali Menon"/>
    <s v="Anjali Menon"/>
    <x v="3"/>
    <x v="3"/>
    <s v="Storage"/>
    <s v="Metal Shoe Rack"/>
    <x v="1"/>
    <s v="Delivered"/>
    <n v="6"/>
    <n v="3410"/>
    <n v="0.25"/>
    <n v="2260"/>
    <n v="15345"/>
    <n v="13560"/>
    <n v="1785"/>
    <n v="0.11632453567937438"/>
  </r>
  <r>
    <x v="876"/>
    <x v="371"/>
    <x v="1"/>
    <d v="1900-01-02T00:00:00"/>
    <x v="0"/>
    <s v="Surat"/>
    <s v="Imran Sheikh"/>
    <s v="Imran Sheikh"/>
    <x v="2"/>
    <x v="1"/>
    <s v="Refrigerators"/>
    <s v="Lg 260L Double Door"/>
    <x v="2"/>
    <s v="Delivered"/>
    <n v="6"/>
    <n v="28070"/>
    <n v="0.2"/>
    <n v="22020"/>
    <n v="134736"/>
    <n v="132120"/>
    <n v="2616"/>
    <n v="1.9415746348414677E-2"/>
  </r>
  <r>
    <x v="877"/>
    <x v="371"/>
    <x v="1"/>
    <d v="1900-01-02T00:00:00"/>
    <x v="2"/>
    <s v="Noida"/>
    <s v="Rohit Malhotra"/>
    <s v="Rohit Malhotra"/>
    <x v="2"/>
    <x v="0"/>
    <s v="Mobile Phones"/>
    <s v="Samsung Galaxy M35"/>
    <x v="0"/>
    <s v="Delivered"/>
    <n v="4"/>
    <n v="22280"/>
    <n v="0.08"/>
    <n v="16620"/>
    <n v="81990.400000000009"/>
    <n v="66480"/>
    <n v="15510.400000000009"/>
    <n v="0.18917336663804551"/>
  </r>
  <r>
    <x v="878"/>
    <x v="372"/>
    <x v="1"/>
    <d v="1900-01-02T00:00:00"/>
    <x v="3"/>
    <s v="Visakhapatnam"/>
    <s v="Anjali Menon"/>
    <s v="Anjali Menon"/>
    <x v="0"/>
    <x v="1"/>
    <s v="Refrigerators"/>
    <s v="Lg 260L Double Door"/>
    <x v="0"/>
    <s v="Delivered"/>
    <n v="3"/>
    <n v="30130"/>
    <n v="0"/>
    <n v="17810"/>
    <n v="90390"/>
    <n v="53430"/>
    <n v="36960"/>
    <n v="0.40889478924659806"/>
  </r>
  <r>
    <x v="879"/>
    <x v="372"/>
    <x v="1"/>
    <d v="1900-01-02T00:00:00"/>
    <x v="1"/>
    <s v="Bhubaneswar"/>
    <s v="Sourav Das"/>
    <s v="Sourav Das"/>
    <x v="3"/>
    <x v="0"/>
    <s v="Mobile Phones"/>
    <s v="Redmi Note 14"/>
    <x v="2"/>
    <s v="Delivered"/>
    <n v="3"/>
    <n v="19230"/>
    <n v="0.1"/>
    <n v="11120"/>
    <n v="51921"/>
    <n v="33360"/>
    <n v="18561"/>
    <n v="0.35748541052753219"/>
  </r>
  <r>
    <x v="880"/>
    <x v="372"/>
    <x v="1"/>
    <d v="1900-01-02T00:00:00"/>
    <x v="3"/>
    <s v="Coimbatore"/>
    <s v="Karthik Raman"/>
    <s v="Karthik Raman"/>
    <x v="0"/>
    <x v="0"/>
    <s v="Laptops"/>
    <s v="Dell Inspiron 3520"/>
    <x v="0"/>
    <s v="Shipped"/>
    <n v="3"/>
    <n v="59050"/>
    <n v="0"/>
    <n v="39820"/>
    <n v="177150"/>
    <n v="119460"/>
    <n v="57690"/>
    <n v="0.3256562235393734"/>
  </r>
  <r>
    <x v="881"/>
    <x v="373"/>
    <x v="1"/>
    <d v="1900-01-02T00:00:00"/>
    <x v="0"/>
    <s v="Pune"/>
    <s v="Neha Deshpande"/>
    <s v="Neha Deshpande"/>
    <x v="0"/>
    <x v="4"/>
    <s v="Fitness Equipment"/>
    <s v="Home Foldable Treadmill"/>
    <x v="0"/>
    <s v="Delivered"/>
    <n v="3"/>
    <n v="40960"/>
    <n v="0.15"/>
    <n v="28520"/>
    <n v="104448"/>
    <n v="85560"/>
    <n v="18888"/>
    <n v="0.18083639705882354"/>
  </r>
  <r>
    <x v="882"/>
    <x v="374"/>
    <x v="1"/>
    <d v="1900-01-02T00:00:00"/>
    <x v="4"/>
    <s v="Jabalpur"/>
    <s v="Manish Tiwari"/>
    <s v="Manish Tiwari"/>
    <x v="3"/>
    <x v="1"/>
    <s v="Washing Machines"/>
    <s v="Whirlpool Semi Auto 7.5Kg"/>
    <x v="1"/>
    <s v="Delivered"/>
    <n v="4"/>
    <n v="13590"/>
    <n v="0"/>
    <n v="10290"/>
    <n v="54360"/>
    <n v="41160"/>
    <n v="13200"/>
    <n v="0.24282560706401765"/>
  </r>
  <r>
    <x v="883"/>
    <x v="374"/>
    <x v="1"/>
    <d v="1900-01-02T00:00:00"/>
    <x v="2"/>
    <s v="Noida"/>
    <s v="Aditya Verma"/>
    <s v="Aditya Verma"/>
    <x v="0"/>
    <x v="0"/>
    <s v="Laptops"/>
    <s v="Dell Inspiron 3520"/>
    <x v="0"/>
    <s v="Delivered"/>
    <n v="2"/>
    <n v="52280"/>
    <n v="0.1"/>
    <n v="38630"/>
    <n v="94104"/>
    <n v="77260"/>
    <n v="16844"/>
    <n v="0.17899345405083736"/>
  </r>
  <r>
    <x v="884"/>
    <x v="374"/>
    <x v="1"/>
    <d v="1900-01-02T00:00:00"/>
    <x v="2"/>
    <s v="Delhi"/>
    <s v="Rohit Malhotra"/>
    <s v="Rohit Malhotra"/>
    <x v="0"/>
    <x v="2"/>
    <s v="Accessories"/>
    <s v="Fastrack Analog Watch"/>
    <x v="2"/>
    <s v="Delivered"/>
    <n v="40"/>
    <n v="2510"/>
    <n v="0.1"/>
    <n v="1550"/>
    <n v="90360"/>
    <n v="62000"/>
    <n v="28360"/>
    <n v="0.31385568835768041"/>
  </r>
  <r>
    <x v="885"/>
    <x v="374"/>
    <x v="1"/>
    <d v="1900-01-02T00:00:00"/>
    <x v="0"/>
    <s v="Mumbai"/>
    <s v="Prateek Shah"/>
    <s v="Prateek Shah"/>
    <x v="0"/>
    <x v="0"/>
    <s v="Mobile Phones"/>
    <s v="Redmi Note 14"/>
    <x v="2"/>
    <s v="Delivered"/>
    <n v="4"/>
    <n v="18750"/>
    <n v="0.05"/>
    <n v="11940"/>
    <n v="71250"/>
    <n v="47760"/>
    <n v="23490"/>
    <n v="0.3296842105263158"/>
  </r>
  <r>
    <x v="886"/>
    <x v="374"/>
    <x v="1"/>
    <d v="1900-01-02T00:00:00"/>
    <x v="2"/>
    <s v="Noida"/>
    <s v="Simran Kaur"/>
    <s v="Simran Kaur"/>
    <x v="0"/>
    <x v="4"/>
    <s v="Sports Gear"/>
    <s v="Yonex Badminton Racket"/>
    <x v="1"/>
    <s v="Delivered"/>
    <n v="13"/>
    <n v="3290"/>
    <n v="0.1"/>
    <n v="2600"/>
    <n v="38493"/>
    <n v="33800"/>
    <n v="4693"/>
    <n v="0.12191827085444107"/>
  </r>
  <r>
    <x v="887"/>
    <x v="375"/>
    <x v="1"/>
    <d v="1900-01-03T00:00:00"/>
    <x v="2"/>
    <s v="Jaipur"/>
    <s v="Aditya Verma"/>
    <s v="Aditya Verma"/>
    <x v="0"/>
    <x v="2"/>
    <s v="Apparel"/>
    <s v="Us Polo T-Shirt"/>
    <x v="1"/>
    <s v="Returned"/>
    <n v="3"/>
    <n v="1170"/>
    <n v="0"/>
    <n v="760"/>
    <n v="3510"/>
    <n v="2280"/>
    <n v="1230"/>
    <n v="0.3504273504273504"/>
  </r>
  <r>
    <x v="888"/>
    <x v="376"/>
    <x v="1"/>
    <d v="1900-01-03T00:00:00"/>
    <x v="4"/>
    <s v="Indore"/>
    <s v="Pooja Chouhan"/>
    <s v="Pooja Chouhan"/>
    <x v="3"/>
    <x v="4"/>
    <s v="Sports Gear"/>
    <s v="Yonex Badminton Racket"/>
    <x v="0"/>
    <s v="Delivered"/>
    <n v="14"/>
    <n v="3060"/>
    <n v="0"/>
    <n v="1930"/>
    <n v="42840"/>
    <n v="27020"/>
    <n v="15820"/>
    <n v="0.36928104575163401"/>
  </r>
  <r>
    <x v="889"/>
    <x v="376"/>
    <x v="1"/>
    <d v="1900-01-03T00:00:00"/>
    <x v="1"/>
    <s v="Ranchi"/>
    <s v="Ritika Ghosh"/>
    <s v="Ritika Ghosh"/>
    <x v="3"/>
    <x v="0"/>
    <s v="Televisions"/>
    <s v="Mi Tv 5X 43 Inch"/>
    <x v="1"/>
    <s v="Delivered"/>
    <n v="4"/>
    <n v="33140"/>
    <n v="0.05"/>
    <n v="21280"/>
    <n v="125932"/>
    <n v="85120"/>
    <n v="40812"/>
    <n v="0.32407966203983102"/>
  </r>
  <r>
    <x v="890"/>
    <x v="376"/>
    <x v="1"/>
    <d v="1900-01-03T00:00:00"/>
    <x v="4"/>
    <s v="Indore"/>
    <s v="Pooja Chouhan"/>
    <s v="Pooja Chouhan"/>
    <x v="0"/>
    <x v="0"/>
    <s v="Audio Devices"/>
    <s v="Sony Wh-Ch720N"/>
    <x v="0"/>
    <s v="Shipped"/>
    <n v="12"/>
    <n v="8990"/>
    <n v="0.05"/>
    <n v="5830"/>
    <n v="102486"/>
    <n v="69960"/>
    <n v="32526"/>
    <n v="0.31737017739008255"/>
  </r>
  <r>
    <x v="891"/>
    <x v="376"/>
    <x v="1"/>
    <d v="1900-01-03T00:00:00"/>
    <x v="3"/>
    <s v="Visakhapatnam"/>
    <s v="Divya Nair"/>
    <s v="Divya Nair"/>
    <x v="3"/>
    <x v="1"/>
    <s v="Washing Machines"/>
    <s v="Whirlpool Semi Auto 7.5Kg"/>
    <x v="0"/>
    <s v="Delivered"/>
    <n v="10"/>
    <n v="13370"/>
    <n v="0.18"/>
    <n v="8740"/>
    <n v="109634.00000000001"/>
    <n v="87400"/>
    <n v="22234.000000000015"/>
    <n v="0.20280205045879937"/>
  </r>
  <r>
    <x v="892"/>
    <x v="376"/>
    <x v="1"/>
    <d v="1900-01-03T00:00:00"/>
    <x v="3"/>
    <s v="Hyderabad"/>
    <s v="Karthik Raman"/>
    <s v="Karthik Raman"/>
    <x v="0"/>
    <x v="0"/>
    <s v="Mobile Phones"/>
    <s v="Iphone 15"/>
    <x v="1"/>
    <s v="Delivered"/>
    <n v="1"/>
    <n v="67320"/>
    <n v="0.15"/>
    <n v="40340"/>
    <n v="57222"/>
    <n v="40340"/>
    <n v="16882"/>
    <n v="0.29502638845199397"/>
  </r>
  <r>
    <x v="893"/>
    <x v="377"/>
    <x v="1"/>
    <d v="1900-01-03T00:00:00"/>
    <x v="3"/>
    <s v="Chennai"/>
    <s v="Karthik Raman"/>
    <s v="Karthik Raman"/>
    <x v="0"/>
    <x v="4"/>
    <s v="Activewear"/>
    <s v="Puma Track Pants"/>
    <x v="2"/>
    <s v="Delivered"/>
    <n v="40"/>
    <n v="1720"/>
    <n v="0.1"/>
    <n v="1060"/>
    <n v="61920"/>
    <n v="42400"/>
    <n v="19520"/>
    <n v="0.3152454780361757"/>
  </r>
  <r>
    <x v="894"/>
    <x v="378"/>
    <x v="1"/>
    <d v="1900-01-03T00:00:00"/>
    <x v="3"/>
    <s v="Visakhapatnam"/>
    <s v="Anjali Menon"/>
    <s v="Anjali Menon"/>
    <x v="3"/>
    <x v="1"/>
    <s v="Air Conditioners"/>
    <s v="Daikin 1.5T Split Ac"/>
    <x v="0"/>
    <s v="Delivered"/>
    <n v="2"/>
    <n v="42290"/>
    <n v="0.12"/>
    <n v="25110"/>
    <n v="74430.399999999994"/>
    <n v="50220"/>
    <n v="24210.399999999994"/>
    <n v="0.32527569380253224"/>
  </r>
  <r>
    <x v="895"/>
    <x v="378"/>
    <x v="1"/>
    <d v="1900-01-03T00:00:00"/>
    <x v="2"/>
    <s v="Jaipur"/>
    <s v="Simran Kaur"/>
    <s v="Simran Kaur"/>
    <x v="0"/>
    <x v="0"/>
    <s v="Televisions"/>
    <s v="Samsung Crystal 4K 55 Inch"/>
    <x v="1"/>
    <s v="Delivered"/>
    <n v="1"/>
    <n v="51460"/>
    <n v="0.15"/>
    <n v="32650"/>
    <n v="43741"/>
    <n v="32650"/>
    <n v="11091"/>
    <n v="0.25356073249354155"/>
  </r>
  <r>
    <x v="896"/>
    <x v="378"/>
    <x v="1"/>
    <d v="1900-01-03T00:00:00"/>
    <x v="2"/>
    <s v="Jaipur"/>
    <s v="Rohit Malhotra"/>
    <s v="Rohit Malhotra"/>
    <x v="0"/>
    <x v="0"/>
    <s v="Mobile Phones"/>
    <s v="Samsung Galaxy M35"/>
    <x v="2"/>
    <s v="Pending"/>
    <n v="3"/>
    <n v="21010"/>
    <n v="0.05"/>
    <n v="14210"/>
    <n v="59878.5"/>
    <n v="42630"/>
    <n v="17248.5"/>
    <n v="0.28805831809414062"/>
  </r>
  <r>
    <x v="897"/>
    <x v="379"/>
    <x v="1"/>
    <d v="1900-01-03T00:00:00"/>
    <x v="2"/>
    <s v="Chandigarh"/>
    <s v="Aditya Verma"/>
    <s v="Aditya Verma"/>
    <x v="0"/>
    <x v="0"/>
    <s v="Audio Devices"/>
    <s v="Sony Wh-Ch720N"/>
    <x v="1"/>
    <s v="Delivered"/>
    <n v="10"/>
    <n v="8210"/>
    <n v="0"/>
    <n v="5170"/>
    <n v="82100"/>
    <n v="51700"/>
    <n v="30400"/>
    <n v="0.37028014616321558"/>
  </r>
  <r>
    <x v="898"/>
    <x v="379"/>
    <x v="1"/>
    <d v="1900-01-03T00:00:00"/>
    <x v="0"/>
    <s v="Surat"/>
    <s v="Neha Deshpande"/>
    <s v="Neha Deshpande"/>
    <x v="2"/>
    <x v="0"/>
    <s v="Mobile Phones"/>
    <s v="Iphone 15"/>
    <x v="2"/>
    <s v="Delivered"/>
    <n v="1"/>
    <n v="66010"/>
    <n v="0.1"/>
    <n v="47750"/>
    <n v="59409"/>
    <n v="47750"/>
    <n v="11659"/>
    <n v="0.19624972647242001"/>
  </r>
  <r>
    <x v="899"/>
    <x v="379"/>
    <x v="1"/>
    <d v="1900-01-03T00:00:00"/>
    <x v="2"/>
    <s v="Noida"/>
    <s v="Rohit Malhotra"/>
    <s v="Rohit Malhotra"/>
    <x v="2"/>
    <x v="3"/>
    <s v="Sofas"/>
    <s v="3-Seater Fabric Sofa"/>
    <x v="2"/>
    <s v="Delivered"/>
    <n v="2"/>
    <n v="32620"/>
    <n v="0.05"/>
    <n v="24490"/>
    <n v="61978"/>
    <n v="48980"/>
    <n v="12998"/>
    <n v="0.20971957791474394"/>
  </r>
  <r>
    <x v="900"/>
    <x v="379"/>
    <x v="1"/>
    <d v="1900-01-03T00:00:00"/>
    <x v="1"/>
    <s v="Patna"/>
    <s v="Sourav Das"/>
    <s v="Sourav Das"/>
    <x v="1"/>
    <x v="0"/>
    <s v="Televisions"/>
    <s v="Samsung Crystal 4K 55 Inch"/>
    <x v="2"/>
    <s v="Delivered"/>
    <n v="6"/>
    <n v="53610"/>
    <n v="0.2"/>
    <n v="42180"/>
    <n v="257328"/>
    <n v="253080"/>
    <n v="4248"/>
    <n v="1.650811415780638E-2"/>
  </r>
  <r>
    <x v="901"/>
    <x v="380"/>
    <x v="1"/>
    <d v="1900-01-03T00:00:00"/>
    <x v="2"/>
    <s v="Lucknow"/>
    <s v="Aditya Verma"/>
    <s v="Aditya Verma"/>
    <x v="0"/>
    <x v="1"/>
    <s v="Washing Machines"/>
    <s v="Whirlpool Semi Auto 7.5Kg"/>
    <x v="1"/>
    <s v="Delivered"/>
    <n v="3"/>
    <n v="14840"/>
    <n v="0.12"/>
    <n v="10540"/>
    <n v="39177.599999999999"/>
    <n v="31620"/>
    <n v="7557.5999999999985"/>
    <n v="0.19290615045332024"/>
  </r>
  <r>
    <x v="902"/>
    <x v="380"/>
    <x v="1"/>
    <d v="1900-01-03T00:00:00"/>
    <x v="2"/>
    <s v="Lucknow"/>
    <s v="Aditya Verma"/>
    <s v="Aditya Verma"/>
    <x v="2"/>
    <x v="4"/>
    <s v="Sports Gear"/>
    <s v="Sg Cricket Bat English Willow"/>
    <x v="0"/>
    <s v="Delivered"/>
    <n v="14"/>
    <n v="4660"/>
    <n v="0.05"/>
    <n v="3450"/>
    <n v="61978"/>
    <n v="48300"/>
    <n v="13678"/>
    <n v="0.22069121301106845"/>
  </r>
  <r>
    <x v="903"/>
    <x v="381"/>
    <x v="1"/>
    <d v="1900-01-03T00:00:00"/>
    <x v="2"/>
    <s v="Chandigarh"/>
    <s v="Simran Kaur"/>
    <s v="Simran Kaur"/>
    <x v="2"/>
    <x v="2"/>
    <s v="Apparel"/>
    <s v="Allen Solly Formal Shirt"/>
    <x v="1"/>
    <s v="Delivered"/>
    <n v="17"/>
    <n v="1900"/>
    <n v="0.05"/>
    <n v="1280"/>
    <n v="30685"/>
    <n v="21760"/>
    <n v="8925"/>
    <n v="0.29085872576177285"/>
  </r>
  <r>
    <x v="904"/>
    <x v="382"/>
    <x v="1"/>
    <d v="1900-01-03T00:00:00"/>
    <x v="2"/>
    <s v="Noida"/>
    <s v="Simran Kaur"/>
    <s v="Simran Kaur"/>
    <x v="3"/>
    <x v="1"/>
    <s v="Kitchen Appliances"/>
    <s v="Pigeon Induction Cooktop"/>
    <x v="0"/>
    <s v="Delivered"/>
    <n v="16"/>
    <n v="2580"/>
    <n v="0"/>
    <n v="1510"/>
    <n v="41280"/>
    <n v="24160"/>
    <n v="17120"/>
    <n v="0.41472868217054265"/>
  </r>
  <r>
    <x v="905"/>
    <x v="382"/>
    <x v="1"/>
    <d v="1900-01-03T00:00:00"/>
    <x v="2"/>
    <s v="Delhi"/>
    <s v="Simran Kaur"/>
    <s v="Simran Kaur"/>
    <x v="2"/>
    <x v="1"/>
    <s v="Kitchen Appliances"/>
    <s v="Pigeon Induction Cooktop"/>
    <x v="1"/>
    <s v="Delivered"/>
    <n v="35"/>
    <n v="2640"/>
    <n v="0.15"/>
    <n v="1990"/>
    <n v="78540"/>
    <n v="69650"/>
    <n v="8890"/>
    <n v="0.11319073083778966"/>
  </r>
  <r>
    <x v="906"/>
    <x v="382"/>
    <x v="1"/>
    <d v="1900-01-03T00:00:00"/>
    <x v="1"/>
    <s v="Ranchi"/>
    <s v="Sourav Das"/>
    <s v="Sourav Das"/>
    <x v="0"/>
    <x v="1"/>
    <s v="Refrigerators"/>
    <s v="Lg 260L Double Door"/>
    <x v="2"/>
    <s v="Delivered"/>
    <n v="2"/>
    <n v="28110"/>
    <n v="0"/>
    <n v="17040"/>
    <n v="56220"/>
    <n v="34080"/>
    <n v="22140"/>
    <n v="0.39381003201707576"/>
  </r>
  <r>
    <x v="907"/>
    <x v="383"/>
    <x v="1"/>
    <d v="1900-01-03T00:00:00"/>
    <x v="1"/>
    <s v="Siliguri"/>
    <s v="Ritika Ghosh"/>
    <s v="Ritika Ghosh"/>
    <x v="2"/>
    <x v="2"/>
    <s v="Footwear"/>
    <s v="Bata Formal Shoes"/>
    <x v="1"/>
    <s v="Delivered"/>
    <n v="36"/>
    <n v="2310"/>
    <n v="0.08"/>
    <n v="1650"/>
    <n v="76507.199999999997"/>
    <n v="59400"/>
    <n v="17107.199999999997"/>
    <n v="0.22360248447204967"/>
  </r>
  <r>
    <x v="908"/>
    <x v="383"/>
    <x v="1"/>
    <d v="1900-01-03T00:00:00"/>
    <x v="0"/>
    <s v="Pune"/>
    <s v="Imran Sheikh"/>
    <s v="Imran Sheikh"/>
    <x v="2"/>
    <x v="4"/>
    <s v="Sports Gear"/>
    <s v="Sg Cricket Bat English Willow"/>
    <x v="1"/>
    <s v="Delivered"/>
    <n v="14"/>
    <n v="4380"/>
    <n v="0.08"/>
    <n v="2750"/>
    <n v="56414.400000000001"/>
    <n v="38500"/>
    <n v="17914.400000000001"/>
    <n v="0.31755012904506652"/>
  </r>
  <r>
    <x v="909"/>
    <x v="384"/>
    <x v="1"/>
    <d v="1900-01-03T00:00:00"/>
    <x v="2"/>
    <s v="Noida"/>
    <s v="Rohit Malhotra"/>
    <s v="Rohit Malhotra"/>
    <x v="1"/>
    <x v="2"/>
    <s v="Apparel"/>
    <s v="Us Polo T-Shirt"/>
    <x v="1"/>
    <s v="Returned"/>
    <n v="58"/>
    <n v="1250"/>
    <n v="0.1"/>
    <n v="870"/>
    <n v="65250"/>
    <n v="50460"/>
    <n v="14790"/>
    <n v="0.22666666666666666"/>
  </r>
  <r>
    <x v="910"/>
    <x v="384"/>
    <x v="1"/>
    <d v="1900-01-03T00:00:00"/>
    <x v="0"/>
    <s v="Nashik"/>
    <s v="Prateek Shah"/>
    <s v="Prateek Shah"/>
    <x v="0"/>
    <x v="1"/>
    <s v="Washing Machines"/>
    <s v="Ifb Front Load 7Kg"/>
    <x v="0"/>
    <s v="Pending"/>
    <n v="1"/>
    <n v="35110"/>
    <n v="0.08"/>
    <n v="23870"/>
    <n v="32301.200000000001"/>
    <n v="23870"/>
    <n v="8431.2000000000007"/>
    <n v="0.26101816650774584"/>
  </r>
  <r>
    <x v="911"/>
    <x v="384"/>
    <x v="1"/>
    <d v="1900-01-03T00:00:00"/>
    <x v="1"/>
    <s v="Guwahati"/>
    <s v="Sourav Das"/>
    <s v="Sourav Das"/>
    <x v="0"/>
    <x v="2"/>
    <s v="Footwear"/>
    <s v="Bata Formal Shoes"/>
    <x v="1"/>
    <s v="Pending"/>
    <n v="7"/>
    <n v="2110"/>
    <n v="0.2"/>
    <n v="1210"/>
    <n v="11816"/>
    <n v="8470"/>
    <n v="3346"/>
    <n v="0.28317535545023698"/>
  </r>
  <r>
    <x v="912"/>
    <x v="384"/>
    <x v="1"/>
    <d v="1900-01-03T00:00:00"/>
    <x v="0"/>
    <s v="Pune"/>
    <s v="Prateek Shah"/>
    <s v="Prateek Shah"/>
    <x v="3"/>
    <x v="4"/>
    <s v="Sports Gear"/>
    <s v="Sg Cricket Bat English Willow"/>
    <x v="0"/>
    <s v="Delivered"/>
    <n v="3"/>
    <n v="4670"/>
    <n v="0.12"/>
    <n v="2940"/>
    <n v="12328.8"/>
    <n v="8820"/>
    <n v="3508.7999999999993"/>
    <n v="0.28460190772824601"/>
  </r>
  <r>
    <x v="913"/>
    <x v="385"/>
    <x v="1"/>
    <d v="1900-01-03T00:00:00"/>
    <x v="0"/>
    <s v="Nagpur"/>
    <s v="Neha Deshpande"/>
    <s v="Neha Deshpande"/>
    <x v="0"/>
    <x v="4"/>
    <s v="Sports Gear"/>
    <s v="Sg Cricket Bat English Willow"/>
    <x v="0"/>
    <s v="Delivered"/>
    <n v="9"/>
    <n v="4680"/>
    <n v="0.25"/>
    <n v="3620"/>
    <n v="31590"/>
    <n v="32580"/>
    <n v="-990"/>
    <n v="-3.1339031339031341E-2"/>
  </r>
  <r>
    <x v="914"/>
    <x v="385"/>
    <x v="1"/>
    <d v="1900-01-03T00:00:00"/>
    <x v="3"/>
    <s v="Coimbatore"/>
    <s v="Anjali Menon"/>
    <s v="Anjali Menon"/>
    <x v="0"/>
    <x v="2"/>
    <s v="Apparel"/>
    <s v="Levis 511 Jeans"/>
    <x v="1"/>
    <s v="Shipped"/>
    <n v="36"/>
    <n v="2710"/>
    <n v="0.05"/>
    <n v="2140"/>
    <n v="92682"/>
    <n v="77040"/>
    <n v="15642"/>
    <n v="0.1687706350747718"/>
  </r>
  <r>
    <x v="915"/>
    <x v="386"/>
    <x v="1"/>
    <d v="1900-01-03T00:00:00"/>
    <x v="2"/>
    <s v="Noida"/>
    <s v="Simran Kaur"/>
    <s v="Simran Kaur"/>
    <x v="0"/>
    <x v="0"/>
    <s v="Mobile Phones"/>
    <s v="Iphone 15"/>
    <x v="0"/>
    <s v="Delivered"/>
    <n v="1"/>
    <n v="65330"/>
    <n v="0.1"/>
    <n v="42850"/>
    <n v="58797"/>
    <n v="42850"/>
    <n v="15947"/>
    <n v="0.27122132081568789"/>
  </r>
  <r>
    <x v="916"/>
    <x v="386"/>
    <x v="1"/>
    <d v="1900-01-03T00:00:00"/>
    <x v="0"/>
    <s v="Pune"/>
    <s v="Prateek Shah"/>
    <s v="Prateek Shah"/>
    <x v="0"/>
    <x v="1"/>
    <s v="Washing Machines"/>
    <s v="Ifb Front Load 7Kg"/>
    <x v="1"/>
    <s v="Delivered"/>
    <n v="4"/>
    <n v="32370"/>
    <n v="0"/>
    <n v="18480"/>
    <n v="129480"/>
    <n v="73920"/>
    <n v="55560"/>
    <n v="0.42910101946246526"/>
  </r>
  <r>
    <x v="917"/>
    <x v="387"/>
    <x v="1"/>
    <d v="1900-01-03T00:00:00"/>
    <x v="3"/>
    <s v="Bengaluru"/>
    <s v="Divya Nair"/>
    <s v="Divya Nair"/>
    <x v="0"/>
    <x v="4"/>
    <s v="Fitness Equipment"/>
    <s v="Adjustable Dumbbell Set 10Kg"/>
    <x v="1"/>
    <s v="Delivered"/>
    <n v="33"/>
    <n v="2580"/>
    <n v="0.12"/>
    <n v="1690"/>
    <n v="74923.199999999997"/>
    <n v="55770"/>
    <n v="19153.199999999997"/>
    <n v="0.25563777307963353"/>
  </r>
  <r>
    <x v="918"/>
    <x v="388"/>
    <x v="1"/>
    <d v="1900-01-03T00:00:00"/>
    <x v="2"/>
    <s v="Chandigarh"/>
    <s v="Simran Kaur"/>
    <s v="Simran Kaur"/>
    <x v="1"/>
    <x v="1"/>
    <s v="Kitchen Appliances"/>
    <s v="Prestige Mixer Grinder"/>
    <x v="1"/>
    <s v="Delivered"/>
    <n v="8"/>
    <n v="4680"/>
    <n v="0.08"/>
    <n v="2750"/>
    <n v="34444.800000000003"/>
    <n v="22000"/>
    <n v="12444.800000000003"/>
    <n v="0.36129691564474181"/>
  </r>
  <r>
    <x v="919"/>
    <x v="389"/>
    <x v="1"/>
    <d v="1900-01-03T00:00:00"/>
    <x v="3"/>
    <s v="Visakhapatnam"/>
    <s v="Divya Nair"/>
    <s v="Divya Nair"/>
    <x v="0"/>
    <x v="3"/>
    <s v="Storage"/>
    <s v="Metal Shoe Rack"/>
    <x v="1"/>
    <s v="Delivered"/>
    <n v="8"/>
    <n v="3650"/>
    <n v="0.08"/>
    <n v="2850"/>
    <n v="26864"/>
    <n v="22800"/>
    <n v="4064"/>
    <n v="0.15128052412150089"/>
  </r>
  <r>
    <x v="920"/>
    <x v="389"/>
    <x v="1"/>
    <d v="1900-01-03T00:00:00"/>
    <x v="2"/>
    <s v="Lucknow"/>
    <s v="Aditya Verma"/>
    <s v="Aditya Verma"/>
    <x v="1"/>
    <x v="2"/>
    <s v="Accessories"/>
    <s v="Wildcraft 35L Backpack"/>
    <x v="0"/>
    <s v="Delivered"/>
    <n v="22"/>
    <n v="1880"/>
    <n v="0"/>
    <n v="1300"/>
    <n v="41360"/>
    <n v="28600"/>
    <n v="12760"/>
    <n v="0.30851063829787234"/>
  </r>
  <r>
    <x v="921"/>
    <x v="389"/>
    <x v="1"/>
    <d v="1900-01-03T00:00:00"/>
    <x v="4"/>
    <s v="Bhopal"/>
    <s v="Pooja Chouhan"/>
    <s v="Pooja Chouhan"/>
    <x v="3"/>
    <x v="4"/>
    <s v="Activewear"/>
    <s v="Puma Track Pants"/>
    <x v="0"/>
    <s v="Returned"/>
    <n v="57"/>
    <n v="1640"/>
    <n v="0.05"/>
    <n v="980"/>
    <n v="88806"/>
    <n v="55860"/>
    <n v="32946"/>
    <n v="0.37098844672657255"/>
  </r>
  <r>
    <x v="922"/>
    <x v="390"/>
    <x v="1"/>
    <d v="1900-01-03T00:00:00"/>
    <x v="4"/>
    <s v="Gwalior"/>
    <s v="Pooja Chouhan"/>
    <s v="Pooja Chouhan"/>
    <x v="0"/>
    <x v="3"/>
    <s v="Sofas"/>
    <s v="Single Seater Recliner"/>
    <x v="0"/>
    <s v="Delivered"/>
    <n v="1"/>
    <n v="45710"/>
    <n v="0.08"/>
    <n v="31750"/>
    <n v="42053.200000000004"/>
    <n v="31750"/>
    <n v="10303.200000000004"/>
    <n v="0.24500394738093662"/>
  </r>
  <r>
    <x v="923"/>
    <x v="391"/>
    <x v="1"/>
    <d v="1900-01-03T00:00:00"/>
    <x v="2"/>
    <s v="Jaipur"/>
    <s v="Simran Kaur"/>
    <s v="Simran Kaur"/>
    <x v="1"/>
    <x v="0"/>
    <s v="Televisions"/>
    <s v="Mi Tv 5X 43 Inch"/>
    <x v="2"/>
    <s v="Delivered"/>
    <n v="6"/>
    <n v="32620"/>
    <n v="0.18"/>
    <n v="23270"/>
    <n v="160490.40000000002"/>
    <n v="139620"/>
    <n v="20870.400000000023"/>
    <n v="0.13004142303838748"/>
  </r>
  <r>
    <x v="924"/>
    <x v="391"/>
    <x v="1"/>
    <d v="1900-01-03T00:00:00"/>
    <x v="0"/>
    <s v="Surat"/>
    <s v="Imran Sheikh"/>
    <s v="Imran Sheikh"/>
    <x v="3"/>
    <x v="3"/>
    <s v="Storage"/>
    <s v="3-Door Wardrobe"/>
    <x v="0"/>
    <s v="Delivered"/>
    <n v="2"/>
    <n v="28630"/>
    <n v="0.18"/>
    <n v="18710"/>
    <n v="46953.200000000004"/>
    <n v="37420"/>
    <n v="9533.2000000000044"/>
    <n v="0.20303621478408296"/>
  </r>
  <r>
    <x v="925"/>
    <x v="391"/>
    <x v="1"/>
    <d v="1900-01-03T00:00:00"/>
    <x v="4"/>
    <s v="Jabalpur"/>
    <s v="Pooja Chouhan"/>
    <s v="Pooja Chouhan"/>
    <x v="1"/>
    <x v="0"/>
    <s v="Laptops"/>
    <s v="Dell Inspiron 3520"/>
    <x v="1"/>
    <s v="Delivered"/>
    <n v="2"/>
    <n v="55950"/>
    <n v="0.12"/>
    <n v="34610"/>
    <n v="98472"/>
    <n v="69220"/>
    <n v="29252"/>
    <n v="0.29705906247461206"/>
  </r>
  <r>
    <x v="926"/>
    <x v="391"/>
    <x v="1"/>
    <d v="1900-01-03T00:00:00"/>
    <x v="1"/>
    <s v="Kolkata"/>
    <s v="Sourav Das"/>
    <s v="Sourav Das"/>
    <x v="2"/>
    <x v="4"/>
    <s v="Sports Gear"/>
    <s v="Yonex Badminton Racket"/>
    <x v="2"/>
    <s v="Delivered"/>
    <n v="8"/>
    <n v="3400"/>
    <n v="0"/>
    <n v="2410"/>
    <n v="27200"/>
    <n v="19280"/>
    <n v="7920"/>
    <n v="0.29117647058823531"/>
  </r>
  <r>
    <x v="927"/>
    <x v="392"/>
    <x v="1"/>
    <d v="1900-01-03T00:00:00"/>
    <x v="0"/>
    <s v="Nashik"/>
    <s v="Prateek Shah"/>
    <s v="Prateek Shah"/>
    <x v="0"/>
    <x v="2"/>
    <s v="Footwear"/>
    <s v="Nike Revolution 7"/>
    <x v="1"/>
    <s v="Delivered"/>
    <n v="10"/>
    <n v="3900"/>
    <n v="0.2"/>
    <n v="2860"/>
    <n v="31200"/>
    <n v="28600"/>
    <n v="2600"/>
    <n v="8.3333333333333329E-2"/>
  </r>
  <r>
    <x v="928"/>
    <x v="392"/>
    <x v="1"/>
    <d v="1900-01-03T00:00:00"/>
    <x v="3"/>
    <s v="Visakhapatnam"/>
    <s v="Karthik Raman"/>
    <s v="Karthik Raman"/>
    <x v="0"/>
    <x v="3"/>
    <s v="Storage"/>
    <s v="Metal Shoe Rack"/>
    <x v="0"/>
    <s v="Pending"/>
    <n v="5"/>
    <n v="3730"/>
    <n v="0.25"/>
    <n v="2770"/>
    <n v="13987.5"/>
    <n v="13850"/>
    <n v="137.5"/>
    <n v="9.8302055406613055E-3"/>
  </r>
  <r>
    <x v="929"/>
    <x v="392"/>
    <x v="1"/>
    <d v="1900-01-03T00:00:00"/>
    <x v="4"/>
    <s v="Indore"/>
    <s v="Manish Tiwari"/>
    <s v="Manish Tiwari"/>
    <x v="0"/>
    <x v="1"/>
    <s v="Air Conditioners"/>
    <s v="Voltas 1.5T Inverter Ac"/>
    <x v="2"/>
    <s v="Delivered"/>
    <n v="4"/>
    <n v="37750"/>
    <n v="0.15"/>
    <n v="22730"/>
    <n v="128350"/>
    <n v="90920"/>
    <n v="37430"/>
    <n v="0.29162446435527856"/>
  </r>
  <r>
    <x v="930"/>
    <x v="392"/>
    <x v="1"/>
    <d v="1900-01-03T00:00:00"/>
    <x v="0"/>
    <s v="Ahmedabad"/>
    <s v="Prateek Shah"/>
    <s v="Prateek Shah"/>
    <x v="0"/>
    <x v="0"/>
    <s v="Televisions"/>
    <s v="Samsung Crystal 4K 55 Inch"/>
    <x v="2"/>
    <s v="Delivered"/>
    <n v="4"/>
    <n v="51840"/>
    <n v="0"/>
    <n v="29790"/>
    <n v="207360"/>
    <n v="119160"/>
    <n v="88200"/>
    <n v="0.42534722222222221"/>
  </r>
  <r>
    <x v="931"/>
    <x v="392"/>
    <x v="1"/>
    <d v="1900-01-03T00:00:00"/>
    <x v="0"/>
    <s v="Surat"/>
    <s v="Prateek Shah"/>
    <s v="Prateek Shah"/>
    <x v="3"/>
    <x v="1"/>
    <s v="Washing Machines"/>
    <s v="Ifb Front Load 7Kg"/>
    <x v="1"/>
    <s v="Pending"/>
    <n v="4"/>
    <n v="32940"/>
    <n v="0.08"/>
    <n v="21270"/>
    <n v="121219.20000000001"/>
    <n v="85080"/>
    <n v="36139.200000000012"/>
    <n v="0.29813098915023367"/>
  </r>
  <r>
    <x v="932"/>
    <x v="393"/>
    <x v="1"/>
    <d v="1900-01-03T00:00:00"/>
    <x v="1"/>
    <s v="Bhubaneswar"/>
    <s v="Ritika Ghosh"/>
    <s v="Ritika Ghosh"/>
    <x v="0"/>
    <x v="0"/>
    <s v="Televisions"/>
    <s v="Mi Tv 5X 43 Inch"/>
    <x v="2"/>
    <s v="Delivered"/>
    <n v="1"/>
    <n v="30520"/>
    <n v="0.1"/>
    <n v="17580"/>
    <n v="27468"/>
    <n v="17580"/>
    <n v="9888"/>
    <n v="0.35998252512013978"/>
  </r>
  <r>
    <x v="933"/>
    <x v="393"/>
    <x v="1"/>
    <d v="1900-01-03T00:00:00"/>
    <x v="0"/>
    <s v="Ahmedabad"/>
    <s v="Neha Deshpande"/>
    <s v="Neha Deshpande"/>
    <x v="0"/>
    <x v="4"/>
    <s v="Sports Gear"/>
    <s v="Sg Cricket Bat English Willow"/>
    <x v="1"/>
    <s v="Pending"/>
    <n v="11"/>
    <n v="4310"/>
    <n v="0.2"/>
    <n v="2600"/>
    <n v="37928"/>
    <n v="28600"/>
    <n v="9328"/>
    <n v="0.24593967517401391"/>
  </r>
  <r>
    <x v="934"/>
    <x v="394"/>
    <x v="1"/>
    <d v="1900-01-03T00:00:00"/>
    <x v="2"/>
    <s v="Chandigarh"/>
    <s v="Rohit Malhotra"/>
    <s v="Rohit Malhotra"/>
    <x v="0"/>
    <x v="3"/>
    <s v="Storage"/>
    <s v="3-Door Wardrobe"/>
    <x v="1"/>
    <s v="Delivered"/>
    <n v="8"/>
    <n v="28770"/>
    <n v="0.15"/>
    <n v="21300"/>
    <n v="195636"/>
    <n v="170400"/>
    <n v="25236"/>
    <n v="0.12899466355885419"/>
  </r>
  <r>
    <x v="935"/>
    <x v="394"/>
    <x v="1"/>
    <d v="1900-01-03T00:00:00"/>
    <x v="1"/>
    <s v="Ranchi"/>
    <s v="Sourav Das"/>
    <s v="Sourav Das"/>
    <x v="0"/>
    <x v="1"/>
    <s v="Washing Machines"/>
    <s v="Whirlpool Semi Auto 7.5Kg"/>
    <x v="1"/>
    <s v="Delivered"/>
    <n v="7"/>
    <n v="13680"/>
    <n v="0.1"/>
    <n v="9250"/>
    <n v="86184"/>
    <n v="64750"/>
    <n v="21434"/>
    <n v="0.24870045484080572"/>
  </r>
  <r>
    <x v="936"/>
    <x v="394"/>
    <x v="1"/>
    <d v="1900-01-03T00:00:00"/>
    <x v="3"/>
    <s v="Chennai"/>
    <s v="Anjali Menon"/>
    <s v="Anjali Menon"/>
    <x v="0"/>
    <x v="3"/>
    <s v="Storage"/>
    <s v="3-Door Wardrobe"/>
    <x v="1"/>
    <s v="Delivered"/>
    <n v="4"/>
    <n v="27520"/>
    <n v="0.2"/>
    <n v="17480"/>
    <n v="88064"/>
    <n v="69920"/>
    <n v="18144"/>
    <n v="0.20603197674418605"/>
  </r>
  <r>
    <x v="937"/>
    <x v="395"/>
    <x v="1"/>
    <d v="1900-01-03T00:00:00"/>
    <x v="0"/>
    <s v="Pune"/>
    <s v="Imran Sheikh"/>
    <s v="Imran Sheikh"/>
    <x v="3"/>
    <x v="0"/>
    <s v="Mobile Phones"/>
    <s v="Samsung Galaxy M35"/>
    <x v="1"/>
    <s v="Shipped"/>
    <n v="7"/>
    <n v="23110"/>
    <n v="0"/>
    <n v="15440"/>
    <n v="161770"/>
    <n v="108080"/>
    <n v="53690"/>
    <n v="0.33189095629597576"/>
  </r>
  <r>
    <x v="938"/>
    <x v="395"/>
    <x v="1"/>
    <d v="1900-01-03T00:00:00"/>
    <x v="1"/>
    <s v="Siliguri"/>
    <s v="Ritika Ghosh"/>
    <s v="Ritika Ghosh"/>
    <x v="0"/>
    <x v="0"/>
    <s v="Laptops"/>
    <s v="Hp Pavilion 15"/>
    <x v="1"/>
    <s v="Delivered"/>
    <n v="3"/>
    <n v="63700"/>
    <n v="0.1"/>
    <n v="43670"/>
    <n v="171990"/>
    <n v="131010"/>
    <n v="40980"/>
    <n v="0.23826966684109541"/>
  </r>
  <r>
    <x v="939"/>
    <x v="395"/>
    <x v="1"/>
    <d v="1900-01-03T00:00:00"/>
    <x v="0"/>
    <s v="Mumbai"/>
    <s v="Prateek Shah"/>
    <s v="Prateek Shah"/>
    <x v="2"/>
    <x v="4"/>
    <s v="Activewear"/>
    <s v="Nivia Football Size 5"/>
    <x v="1"/>
    <s v="Delivered"/>
    <n v="40"/>
    <n v="970"/>
    <n v="0"/>
    <n v="650"/>
    <n v="38800"/>
    <n v="26000"/>
    <n v="12800"/>
    <n v="0.32989690721649484"/>
  </r>
  <r>
    <x v="940"/>
    <x v="395"/>
    <x v="1"/>
    <d v="1900-01-03T00:00:00"/>
    <x v="0"/>
    <s v="Pune"/>
    <s v="Imran Sheikh"/>
    <s v="Imran Sheikh"/>
    <x v="3"/>
    <x v="0"/>
    <s v="Audio Devices"/>
    <s v="Sony Wh-Ch720N"/>
    <x v="2"/>
    <s v="Returned"/>
    <n v="19"/>
    <n v="8950"/>
    <n v="0.2"/>
    <n v="5450"/>
    <n v="136040"/>
    <n v="103550"/>
    <n v="32490"/>
    <n v="0.23882681564245811"/>
  </r>
  <r>
    <x v="941"/>
    <x v="396"/>
    <x v="1"/>
    <d v="1900-01-03T00:00:00"/>
    <x v="1"/>
    <s v="Guwahati"/>
    <s v="Ritika Ghosh"/>
    <s v="Ritika Ghosh"/>
    <x v="0"/>
    <x v="0"/>
    <s v="Laptops"/>
    <s v="Hp Pavilion 15"/>
    <x v="1"/>
    <s v="Delivered"/>
    <n v="3"/>
    <n v="59830"/>
    <n v="0.15"/>
    <n v="43800"/>
    <n v="152566.5"/>
    <n v="131400"/>
    <n v="21166.5"/>
    <n v="0.13873622322069393"/>
  </r>
  <r>
    <x v="942"/>
    <x v="396"/>
    <x v="1"/>
    <d v="1900-01-03T00:00:00"/>
    <x v="0"/>
    <s v="Nagpur"/>
    <s v="Neha Deshpande"/>
    <s v="Neha Deshpande"/>
    <x v="3"/>
    <x v="4"/>
    <s v="Sports Gear"/>
    <s v="Sg Cricket Bat English Willow"/>
    <x v="1"/>
    <s v="Delivered"/>
    <n v="17"/>
    <n v="4650"/>
    <n v="0"/>
    <n v="3140"/>
    <n v="79050"/>
    <n v="53380"/>
    <n v="25670"/>
    <n v="0.3247311827956989"/>
  </r>
  <r>
    <x v="943"/>
    <x v="396"/>
    <x v="1"/>
    <d v="1900-01-03T00:00:00"/>
    <x v="2"/>
    <s v="Lucknow"/>
    <s v="Simran Kaur"/>
    <s v="Simran Kaur"/>
    <x v="0"/>
    <x v="1"/>
    <s v="Kitchen Appliances"/>
    <s v="Pigeon Induction Cooktop"/>
    <x v="2"/>
    <s v="Delivered"/>
    <n v="4"/>
    <n v="2710"/>
    <n v="0"/>
    <n v="1950"/>
    <n v="10840"/>
    <n v="7800"/>
    <n v="3040"/>
    <n v="0.28044280442804426"/>
  </r>
  <r>
    <x v="944"/>
    <x v="397"/>
    <x v="1"/>
    <d v="1900-01-03T00:00:00"/>
    <x v="3"/>
    <s v="Kochi"/>
    <s v="Anjali Menon"/>
    <s v="Anjali Menon"/>
    <x v="0"/>
    <x v="2"/>
    <s v="Footwear"/>
    <s v="Campus Running Shoes"/>
    <x v="1"/>
    <s v="Delivered"/>
    <n v="4"/>
    <n v="1640"/>
    <n v="0.08"/>
    <n v="920"/>
    <n v="6035.2"/>
    <n v="3680"/>
    <n v="2355.1999999999998"/>
    <n v="0.39024390243902435"/>
  </r>
  <r>
    <x v="945"/>
    <x v="398"/>
    <x v="1"/>
    <d v="1900-01-03T00:00:00"/>
    <x v="1"/>
    <s v="Siliguri"/>
    <s v="Sourav Das"/>
    <s v="Sourav Das"/>
    <x v="0"/>
    <x v="3"/>
    <s v="Sofas"/>
    <s v="Single Seater Recliner"/>
    <x v="0"/>
    <s v="Delivered"/>
    <n v="2"/>
    <n v="46920"/>
    <n v="0.08"/>
    <n v="30410"/>
    <n v="86332.800000000003"/>
    <n v="60820"/>
    <n v="25512.800000000003"/>
    <n v="0.29551688350198307"/>
  </r>
  <r>
    <x v="946"/>
    <x v="398"/>
    <x v="1"/>
    <d v="1900-01-03T00:00:00"/>
    <x v="0"/>
    <s v="Pune"/>
    <s v="Imran Sheikh"/>
    <s v="Imran Sheikh"/>
    <x v="0"/>
    <x v="0"/>
    <s v="Audio Devices"/>
    <s v="Jbl Flip 6"/>
    <x v="0"/>
    <s v="Delivered"/>
    <n v="11"/>
    <n v="8760"/>
    <n v="0.1"/>
    <n v="6470"/>
    <n v="86724"/>
    <n v="71170"/>
    <n v="15554"/>
    <n v="0.17935058346017249"/>
  </r>
  <r>
    <x v="947"/>
    <x v="399"/>
    <x v="1"/>
    <d v="1900-01-03T00:00:00"/>
    <x v="3"/>
    <s v="Coimbatore"/>
    <s v="Karthik Raman"/>
    <s v="Karthik Raman"/>
    <x v="3"/>
    <x v="4"/>
    <s v="Sports Gear"/>
    <s v="Sg Cricket Bat English Willow"/>
    <x v="2"/>
    <s v="Delivered"/>
    <n v="3"/>
    <n v="4400"/>
    <n v="0.05"/>
    <n v="2540"/>
    <n v="12540"/>
    <n v="7620"/>
    <n v="4920"/>
    <n v="0.3923444976076555"/>
  </r>
  <r>
    <x v="948"/>
    <x v="399"/>
    <x v="1"/>
    <d v="1900-01-03T00:00:00"/>
    <x v="4"/>
    <s v="Gwalior"/>
    <s v="Pooja Chouhan"/>
    <s v="Pooja Chouhan"/>
    <x v="1"/>
    <x v="4"/>
    <s v="Fitness Equipment"/>
    <s v="Adjustable Dumbbell Set 10Kg"/>
    <x v="1"/>
    <s v="Shipped"/>
    <n v="61"/>
    <n v="2420"/>
    <n v="0.1"/>
    <n v="1880"/>
    <n v="132858"/>
    <n v="114680"/>
    <n v="18178"/>
    <n v="0.13682277318640956"/>
  </r>
  <r>
    <x v="949"/>
    <x v="400"/>
    <x v="1"/>
    <d v="1900-01-03T00:00:00"/>
    <x v="0"/>
    <s v="Surat"/>
    <s v="Prateek Shah"/>
    <s v="Prateek Shah"/>
    <x v="0"/>
    <x v="2"/>
    <s v="Footwear"/>
    <s v="Bata Formal Shoes"/>
    <x v="2"/>
    <s v="Delivered"/>
    <n v="10"/>
    <n v="2140"/>
    <n v="0.15"/>
    <n v="1580"/>
    <n v="18190"/>
    <n v="15800"/>
    <n v="2390"/>
    <n v="0.13139087410665201"/>
  </r>
  <r>
    <x v="950"/>
    <x v="400"/>
    <x v="1"/>
    <d v="1900-01-03T00:00:00"/>
    <x v="1"/>
    <s v="Bhubaneswar"/>
    <s v="Ritika Ghosh"/>
    <s v="Ritika Ghosh"/>
    <x v="2"/>
    <x v="0"/>
    <s v="Laptops"/>
    <s v="Dell Inspiron 3520"/>
    <x v="1"/>
    <s v="Delivered"/>
    <n v="4"/>
    <n v="55770"/>
    <n v="0.08"/>
    <n v="31860"/>
    <n v="205233.6"/>
    <n v="127440"/>
    <n v="77793.600000000006"/>
    <n v="0.37904904460088407"/>
  </r>
  <r>
    <x v="951"/>
    <x v="400"/>
    <x v="1"/>
    <d v="1900-01-03T00:00:00"/>
    <x v="4"/>
    <s v="Bhopal"/>
    <s v="Manish Tiwari"/>
    <s v="Manish Tiwari"/>
    <x v="2"/>
    <x v="0"/>
    <s v="Laptops"/>
    <s v="Hp Pavilion 15"/>
    <x v="0"/>
    <s v="Returned"/>
    <n v="4"/>
    <n v="63370"/>
    <n v="0.15"/>
    <n v="49030"/>
    <n v="215458"/>
    <n v="196120"/>
    <n v="19338"/>
    <n v="8.975299130224916E-2"/>
  </r>
  <r>
    <x v="952"/>
    <x v="401"/>
    <x v="1"/>
    <d v="1900-01-04T00:00:00"/>
    <x v="0"/>
    <s v="Mumbai"/>
    <s v="Imran Sheikh"/>
    <s v="Imran Sheikh"/>
    <x v="2"/>
    <x v="2"/>
    <s v="Accessories"/>
    <s v="Fastrack Analog Watch"/>
    <x v="2"/>
    <s v="Delivered"/>
    <n v="4"/>
    <n v="2520"/>
    <n v="0"/>
    <n v="1840"/>
    <n v="10080"/>
    <n v="7360"/>
    <n v="2720"/>
    <n v="0.26984126984126983"/>
  </r>
  <r>
    <x v="953"/>
    <x v="401"/>
    <x v="1"/>
    <d v="1900-01-04T00:00:00"/>
    <x v="3"/>
    <s v="Hyderabad"/>
    <s v="Anjali Menon"/>
    <s v="Anjali Menon"/>
    <x v="2"/>
    <x v="4"/>
    <s v="Fitness Equipment"/>
    <s v="Adjustable Dumbbell Set 10Kg"/>
    <x v="0"/>
    <s v="Delivered"/>
    <n v="9"/>
    <n v="2420"/>
    <n v="0.08"/>
    <n v="1470"/>
    <n v="20037.600000000002"/>
    <n v="13230"/>
    <n v="6807.6000000000022"/>
    <n v="0.33974128638160267"/>
  </r>
  <r>
    <x v="954"/>
    <x v="401"/>
    <x v="1"/>
    <d v="1900-01-04T00:00:00"/>
    <x v="4"/>
    <s v="Jabalpur"/>
    <s v="Pooja Chouhan"/>
    <s v="Pooja Chouhan"/>
    <x v="3"/>
    <x v="2"/>
    <s v="Footwear"/>
    <s v="Campus Running Shoes"/>
    <x v="1"/>
    <s v="Pending"/>
    <n v="20"/>
    <n v="1710"/>
    <n v="0.12"/>
    <n v="1310"/>
    <n v="30096"/>
    <n v="26200"/>
    <n v="3896"/>
    <n v="0.12945241892610312"/>
  </r>
  <r>
    <x v="955"/>
    <x v="402"/>
    <x v="1"/>
    <d v="1900-01-04T00:00:00"/>
    <x v="2"/>
    <s v="Jaipur"/>
    <s v="Rohit Malhotra"/>
    <s v="Rohit Malhotra"/>
    <x v="0"/>
    <x v="1"/>
    <s v="Kitchen Appliances"/>
    <s v="Pigeon Induction Cooktop"/>
    <x v="1"/>
    <s v="Delivered"/>
    <n v="13"/>
    <n v="2510"/>
    <n v="0.08"/>
    <n v="1660"/>
    <n v="30019.600000000002"/>
    <n v="21580"/>
    <n v="8439.6000000000022"/>
    <n v="0.28113632426814489"/>
  </r>
  <r>
    <x v="956"/>
    <x v="402"/>
    <x v="1"/>
    <d v="1900-01-04T00:00:00"/>
    <x v="3"/>
    <s v="Chennai"/>
    <s v="Karthik Raman"/>
    <s v="Karthik Raman"/>
    <x v="0"/>
    <x v="0"/>
    <s v="Mobile Phones"/>
    <s v="Iphone 15"/>
    <x v="0"/>
    <s v="Delivered"/>
    <n v="1"/>
    <n v="70500"/>
    <n v="0.25"/>
    <n v="50260"/>
    <n v="52875"/>
    <n v="50260"/>
    <n v="2615"/>
    <n v="4.9456264775413712E-2"/>
  </r>
  <r>
    <x v="957"/>
    <x v="402"/>
    <x v="1"/>
    <d v="1900-01-04T00:00:00"/>
    <x v="0"/>
    <s v="Surat"/>
    <s v="Neha Deshpande"/>
    <s v="Neha Deshpande"/>
    <x v="1"/>
    <x v="2"/>
    <s v="Apparel"/>
    <s v="Allen Solly Formal Shirt"/>
    <x v="0"/>
    <s v="Delivered"/>
    <n v="6"/>
    <n v="1850"/>
    <n v="0"/>
    <n v="1300"/>
    <n v="11100"/>
    <n v="7800"/>
    <n v="3300"/>
    <n v="0.29729729729729731"/>
  </r>
  <r>
    <x v="958"/>
    <x v="403"/>
    <x v="1"/>
    <d v="1900-01-04T00:00:00"/>
    <x v="0"/>
    <s v="Pune"/>
    <s v="Neha Deshpande"/>
    <s v="Neha Deshpande"/>
    <x v="0"/>
    <x v="0"/>
    <s v="Mobile Phones"/>
    <s v="Iphone 15"/>
    <x v="0"/>
    <s v="Shipped"/>
    <n v="1"/>
    <n v="68600"/>
    <n v="0.05"/>
    <n v="51910"/>
    <n v="65170"/>
    <n v="51910"/>
    <n v="13260"/>
    <n v="0.20346785330673622"/>
  </r>
  <r>
    <x v="959"/>
    <x v="403"/>
    <x v="1"/>
    <d v="1900-01-04T00:00:00"/>
    <x v="1"/>
    <s v="Guwahati"/>
    <s v="Sourav Das"/>
    <s v="Sourav Das"/>
    <x v="3"/>
    <x v="0"/>
    <s v="Mobile Phones"/>
    <s v="Redmi Note 14"/>
    <x v="0"/>
    <s v="Delivered"/>
    <n v="16"/>
    <n v="19010"/>
    <n v="0.15"/>
    <n v="14630"/>
    <n v="258536"/>
    <n v="234080"/>
    <n v="24456"/>
    <n v="9.4594176439644767E-2"/>
  </r>
  <r>
    <x v="960"/>
    <x v="404"/>
    <x v="1"/>
    <d v="1900-01-04T00:00:00"/>
    <x v="0"/>
    <s v="Mumbai"/>
    <s v="Prateek Shah"/>
    <s v="Prateek Shah"/>
    <x v="1"/>
    <x v="4"/>
    <s v="Activewear"/>
    <s v="Nivia Football Size 5"/>
    <x v="1"/>
    <s v="Delivered"/>
    <n v="43"/>
    <n v="970"/>
    <n v="0"/>
    <n v="660"/>
    <n v="41710"/>
    <n v="28380"/>
    <n v="13330"/>
    <n v="0.31958762886597936"/>
  </r>
  <r>
    <x v="961"/>
    <x v="405"/>
    <x v="1"/>
    <d v="1900-01-04T00:00:00"/>
    <x v="2"/>
    <s v="Chandigarh"/>
    <s v="Simran Kaur"/>
    <s v="Simran Kaur"/>
    <x v="3"/>
    <x v="2"/>
    <s v="Apparel"/>
    <s v="Levis 511 Jeans"/>
    <x v="1"/>
    <s v="Delivered"/>
    <n v="34"/>
    <n v="2960"/>
    <n v="0.05"/>
    <n v="2310"/>
    <n v="95608"/>
    <n v="78540"/>
    <n v="17068"/>
    <n v="0.17852062588904694"/>
  </r>
  <r>
    <x v="962"/>
    <x v="405"/>
    <x v="1"/>
    <d v="1900-01-04T00:00:00"/>
    <x v="3"/>
    <s v="Hyderabad"/>
    <s v="Divya Nair"/>
    <s v="Divya Nair"/>
    <x v="3"/>
    <x v="0"/>
    <s v="Mobile Phones"/>
    <s v="Samsung Galaxy M35"/>
    <x v="1"/>
    <s v="Shipped"/>
    <n v="3"/>
    <n v="21730"/>
    <n v="0.2"/>
    <n v="14410"/>
    <n v="52152"/>
    <n v="43230"/>
    <n v="8922"/>
    <n v="0.17107685227795674"/>
  </r>
  <r>
    <x v="963"/>
    <x v="405"/>
    <x v="1"/>
    <d v="1900-01-04T00:00:00"/>
    <x v="4"/>
    <s v="Raipur"/>
    <s v="Pooja Chouhan"/>
    <s v="Pooja Chouhan"/>
    <x v="0"/>
    <x v="1"/>
    <s v="Kitchen Appliances"/>
    <s v="Philips Air Fryer"/>
    <x v="1"/>
    <s v="Delivered"/>
    <n v="5"/>
    <n v="10160"/>
    <n v="0.2"/>
    <n v="7400"/>
    <n v="40640"/>
    <n v="37000"/>
    <n v="3640"/>
    <n v="8.9566929133858261E-2"/>
  </r>
  <r>
    <x v="964"/>
    <x v="405"/>
    <x v="1"/>
    <d v="1900-01-04T00:00:00"/>
    <x v="3"/>
    <s v="Kochi"/>
    <s v="Anjali Menon"/>
    <s v="Anjali Menon"/>
    <x v="0"/>
    <x v="2"/>
    <s v="Apparel"/>
    <s v="Levis 511 Jeans"/>
    <x v="0"/>
    <s v="Shipped"/>
    <n v="6"/>
    <n v="3020"/>
    <n v="0.08"/>
    <n v="1740"/>
    <n v="16670.400000000001"/>
    <n v="10440"/>
    <n v="6230.4000000000015"/>
    <n v="0.37374028217679245"/>
  </r>
  <r>
    <x v="965"/>
    <x v="405"/>
    <x v="1"/>
    <d v="1900-01-04T00:00:00"/>
    <x v="3"/>
    <s v="Bengaluru"/>
    <s v="Karthik Raman"/>
    <s v="Karthik Raman"/>
    <x v="0"/>
    <x v="0"/>
    <s v="Mobile Phones"/>
    <s v="Iphone 15"/>
    <x v="0"/>
    <s v="Delivered"/>
    <n v="4"/>
    <n v="73220"/>
    <n v="0.12"/>
    <n v="55430"/>
    <n v="257734.39999999999"/>
    <n v="221720"/>
    <n v="36014.399999999994"/>
    <n v="0.1397345484343572"/>
  </r>
  <r>
    <x v="966"/>
    <x v="406"/>
    <x v="1"/>
    <d v="1900-01-04T00:00:00"/>
    <x v="2"/>
    <s v="Gurugram"/>
    <s v="Simran Kaur"/>
    <s v="Simran Kaur"/>
    <x v="3"/>
    <x v="0"/>
    <s v="Audio Devices"/>
    <s v="Boat Airdopes 141"/>
    <x v="1"/>
    <s v="Delivered"/>
    <n v="16"/>
    <n v="1910"/>
    <n v="0.18"/>
    <n v="1340"/>
    <n v="25059.200000000001"/>
    <n v="21440"/>
    <n v="3619.2000000000007"/>
    <n v="0.14442599923381436"/>
  </r>
  <r>
    <x v="967"/>
    <x v="406"/>
    <x v="1"/>
    <d v="1900-01-04T00:00:00"/>
    <x v="3"/>
    <s v="Coimbatore"/>
    <s v="Karthik Raman"/>
    <s v="Karthik Raman"/>
    <x v="0"/>
    <x v="2"/>
    <s v="Apparel"/>
    <s v="Us Polo T-Shirt"/>
    <x v="1"/>
    <s v="Delivered"/>
    <n v="3"/>
    <n v="1230"/>
    <n v="0.05"/>
    <n v="760"/>
    <n v="3505.5"/>
    <n v="2280"/>
    <n v="1225.5"/>
    <n v="0.34959349593495936"/>
  </r>
  <r>
    <x v="968"/>
    <x v="406"/>
    <x v="1"/>
    <d v="1900-01-04T00:00:00"/>
    <x v="3"/>
    <s v="Bengaluru"/>
    <s v="Anjali Menon"/>
    <s v="Anjali Menon"/>
    <x v="3"/>
    <x v="1"/>
    <s v="Refrigerators"/>
    <s v="Samsung 192L Single Door"/>
    <x v="0"/>
    <s v="Delivered"/>
    <n v="7"/>
    <n v="16620"/>
    <n v="0.05"/>
    <n v="10180"/>
    <n v="110523"/>
    <n v="71260"/>
    <n v="39263"/>
    <n v="0.35524732408638926"/>
  </r>
  <r>
    <x v="969"/>
    <x v="407"/>
    <x v="1"/>
    <d v="1900-01-04T00:00:00"/>
    <x v="3"/>
    <s v="Chennai"/>
    <s v="Karthik Raman"/>
    <s v="Karthik Raman"/>
    <x v="1"/>
    <x v="0"/>
    <s v="Mobile Phones"/>
    <s v="Samsung Galaxy M35"/>
    <x v="1"/>
    <s v="Delivered"/>
    <n v="2"/>
    <n v="22000"/>
    <n v="0.05"/>
    <n v="12950"/>
    <n v="41800"/>
    <n v="25900"/>
    <n v="15900"/>
    <n v="0.38038277511961721"/>
  </r>
  <r>
    <x v="970"/>
    <x v="407"/>
    <x v="1"/>
    <d v="1900-01-04T00:00:00"/>
    <x v="0"/>
    <s v="Nagpur"/>
    <s v="Prateek Shah"/>
    <s v="Prateek Shah"/>
    <x v="0"/>
    <x v="4"/>
    <s v="Fitness Equipment"/>
    <s v="Home Foldable Treadmill"/>
    <x v="0"/>
    <s v="Delivered"/>
    <n v="2"/>
    <n v="43110"/>
    <n v="0.18"/>
    <n v="25010"/>
    <n v="70700.400000000009"/>
    <n v="50020"/>
    <n v="20680.400000000009"/>
    <n v="0.29250753885409425"/>
  </r>
  <r>
    <x v="971"/>
    <x v="407"/>
    <x v="1"/>
    <d v="1900-01-04T00:00:00"/>
    <x v="2"/>
    <s v="Jaipur"/>
    <s v="Simran Kaur"/>
    <s v="Simran Kaur"/>
    <x v="2"/>
    <x v="3"/>
    <s v="Tables"/>
    <s v="Study Table Engineered Wood"/>
    <x v="1"/>
    <s v="Delivered"/>
    <n v="10"/>
    <n v="9020"/>
    <n v="0.12"/>
    <n v="5550"/>
    <n v="79376"/>
    <n v="55500"/>
    <n v="23876"/>
    <n v="0.30079621044144328"/>
  </r>
  <r>
    <x v="972"/>
    <x v="407"/>
    <x v="1"/>
    <d v="1900-01-04T00:00:00"/>
    <x v="3"/>
    <s v="Kochi"/>
    <s v="Anjali Menon"/>
    <s v="Anjali Menon"/>
    <x v="3"/>
    <x v="4"/>
    <s v="Sports Gear"/>
    <s v="Sg Cricket Bat English Willow"/>
    <x v="2"/>
    <s v="Delivered"/>
    <n v="25"/>
    <n v="4600"/>
    <n v="0.18"/>
    <n v="3580"/>
    <n v="94300"/>
    <n v="89500"/>
    <n v="4800"/>
    <n v="5.0901378579003183E-2"/>
  </r>
  <r>
    <x v="973"/>
    <x v="408"/>
    <x v="1"/>
    <d v="1900-01-04T00:00:00"/>
    <x v="2"/>
    <s v="Gurugram"/>
    <s v="Simran Kaur"/>
    <s v="Simran Kaur"/>
    <x v="3"/>
    <x v="1"/>
    <s v="Air Conditioners"/>
    <s v="Daikin 1.5T Split Ac"/>
    <x v="0"/>
    <s v="Delivered"/>
    <n v="4"/>
    <n v="41560"/>
    <n v="0.1"/>
    <n v="23850"/>
    <n v="149616"/>
    <n v="95400"/>
    <n v="54216"/>
    <n v="0.36236766121270453"/>
  </r>
  <r>
    <x v="974"/>
    <x v="408"/>
    <x v="1"/>
    <d v="1900-01-04T00:00:00"/>
    <x v="1"/>
    <s v="Patna"/>
    <s v="Sourav Das"/>
    <s v="Sourav Das"/>
    <x v="1"/>
    <x v="3"/>
    <s v="Office Chairs"/>
    <s v="Green Soul Ergonomic Chair"/>
    <x v="1"/>
    <s v="Delivered"/>
    <n v="6"/>
    <n v="12080"/>
    <n v="0.12"/>
    <n v="8790"/>
    <n v="63782.400000000001"/>
    <n v="52740"/>
    <n v="11042.400000000001"/>
    <n v="0.1731261288380494"/>
  </r>
  <r>
    <x v="975"/>
    <x v="408"/>
    <x v="1"/>
    <d v="1900-01-04T00:00:00"/>
    <x v="3"/>
    <s v="Bengaluru"/>
    <s v="Karthik Raman"/>
    <s v="Karthik Raman"/>
    <x v="0"/>
    <x v="2"/>
    <s v="Accessories"/>
    <s v="Fastrack Analog Watch"/>
    <x v="0"/>
    <s v="Delivered"/>
    <n v="39"/>
    <n v="2690"/>
    <n v="0.05"/>
    <n v="1970"/>
    <n v="99664.5"/>
    <n v="76830"/>
    <n v="22834.5"/>
    <n v="0.22911367638426922"/>
  </r>
  <r>
    <x v="976"/>
    <x v="409"/>
    <x v="1"/>
    <d v="1900-01-04T00:00:00"/>
    <x v="2"/>
    <s v="Chandigarh"/>
    <s v="Aditya Verma"/>
    <s v="Aditya Verma"/>
    <x v="3"/>
    <x v="0"/>
    <s v="Mobile Phones"/>
    <s v="Iphone 15"/>
    <x v="0"/>
    <s v="Delivered"/>
    <n v="2"/>
    <n v="73140"/>
    <n v="0.05"/>
    <n v="51100"/>
    <n v="138966"/>
    <n v="102200"/>
    <n v="36766"/>
    <n v="0.26456831167335892"/>
  </r>
  <r>
    <x v="977"/>
    <x v="409"/>
    <x v="1"/>
    <d v="1900-01-04T00:00:00"/>
    <x v="0"/>
    <s v="Nagpur"/>
    <s v="Neha Deshpande"/>
    <s v="Neha Deshpande"/>
    <x v="0"/>
    <x v="4"/>
    <s v="Activewear"/>
    <s v="Puma Track Pants"/>
    <x v="2"/>
    <s v="Delivered"/>
    <n v="33"/>
    <n v="1700"/>
    <n v="0.25"/>
    <n v="1310"/>
    <n v="42075"/>
    <n v="43230"/>
    <n v="-1155"/>
    <n v="-2.7450980392156862E-2"/>
  </r>
  <r>
    <x v="978"/>
    <x v="410"/>
    <x v="1"/>
    <d v="1900-01-04T00:00:00"/>
    <x v="2"/>
    <s v="Chandigarh"/>
    <s v="Rohit Malhotra"/>
    <s v="Rohit Malhotra"/>
    <x v="3"/>
    <x v="0"/>
    <s v="Laptops"/>
    <s v="Macbook Air M3"/>
    <x v="2"/>
    <s v="Delivered"/>
    <n v="5"/>
    <n v="100680"/>
    <n v="0.25"/>
    <n v="70680"/>
    <n v="377550"/>
    <n v="353400"/>
    <n v="24150"/>
    <n v="6.3965037743345249E-2"/>
  </r>
  <r>
    <x v="979"/>
    <x v="410"/>
    <x v="1"/>
    <d v="1900-01-04T00:00:00"/>
    <x v="1"/>
    <s v="Ranchi"/>
    <s v="Sourav Das"/>
    <s v="Sourav Das"/>
    <x v="0"/>
    <x v="3"/>
    <s v="Office Chairs"/>
    <s v="Nilkamal Executive Chair"/>
    <x v="0"/>
    <s v="Delivered"/>
    <n v="10"/>
    <n v="6940"/>
    <n v="0.08"/>
    <n v="5390"/>
    <n v="63848"/>
    <n v="53900"/>
    <n v="9948"/>
    <n v="0.15580754291442175"/>
  </r>
  <r>
    <x v="980"/>
    <x v="410"/>
    <x v="1"/>
    <d v="1900-01-04T00:00:00"/>
    <x v="4"/>
    <s v="Indore"/>
    <s v="Manish Tiwari"/>
    <s v="Manish Tiwari"/>
    <x v="0"/>
    <x v="3"/>
    <s v="Sofas"/>
    <s v="Single Seater Recliner"/>
    <x v="2"/>
    <s v="Delivered"/>
    <n v="2"/>
    <n v="43910"/>
    <n v="0.12"/>
    <n v="27080"/>
    <n v="77281.600000000006"/>
    <n v="54160"/>
    <n v="23121.600000000006"/>
    <n v="0.29918635224943591"/>
  </r>
  <r>
    <x v="981"/>
    <x v="411"/>
    <x v="1"/>
    <d v="1900-01-04T00:00:00"/>
    <x v="3"/>
    <s v="Bengaluru"/>
    <s v="Anjali Menon"/>
    <s v="Anjali Menon"/>
    <x v="2"/>
    <x v="3"/>
    <s v="Storage"/>
    <s v="Metal Shoe Rack"/>
    <x v="0"/>
    <s v="Delivered"/>
    <n v="3"/>
    <n v="3710"/>
    <n v="0.15"/>
    <n v="2210"/>
    <n v="9460.5"/>
    <n v="6630"/>
    <n v="2830.5"/>
    <n v="0.29919137466307277"/>
  </r>
  <r>
    <x v="982"/>
    <x v="412"/>
    <x v="1"/>
    <d v="1900-01-04T00:00:00"/>
    <x v="3"/>
    <s v="Coimbatore"/>
    <s v="Anjali Menon"/>
    <s v="Anjali Menon"/>
    <x v="1"/>
    <x v="3"/>
    <s v="Tables"/>
    <s v="Study Table Engineered Wood"/>
    <x v="1"/>
    <s v="Delivered"/>
    <n v="20"/>
    <n v="8270"/>
    <n v="0.1"/>
    <n v="5460"/>
    <n v="148860"/>
    <n v="109200"/>
    <n v="39660"/>
    <n v="0.26642482869810558"/>
  </r>
  <r>
    <x v="983"/>
    <x v="413"/>
    <x v="1"/>
    <d v="1900-01-04T00:00:00"/>
    <x v="1"/>
    <s v="Guwahati"/>
    <s v="Sourav Das"/>
    <s v="Sourav Das"/>
    <x v="3"/>
    <x v="0"/>
    <s v="Audio Devices"/>
    <s v="Boat Airdopes 141"/>
    <x v="1"/>
    <s v="Delivered"/>
    <n v="56"/>
    <n v="1890"/>
    <n v="0.12"/>
    <n v="1220"/>
    <n v="93139.199999999997"/>
    <n v="68320"/>
    <n v="24819.199999999997"/>
    <n v="0.26647426647426647"/>
  </r>
  <r>
    <x v="984"/>
    <x v="413"/>
    <x v="1"/>
    <d v="1900-01-04T00:00:00"/>
    <x v="4"/>
    <s v="Jabalpur"/>
    <s v="Manish Tiwari"/>
    <s v="Manish Tiwari"/>
    <x v="2"/>
    <x v="2"/>
    <s v="Footwear"/>
    <s v="Campus Running Shoes"/>
    <x v="0"/>
    <s v="Delivered"/>
    <n v="38"/>
    <n v="1600"/>
    <n v="0.08"/>
    <n v="1130"/>
    <n v="55936"/>
    <n v="42940"/>
    <n v="12996"/>
    <n v="0.23233695652173914"/>
  </r>
  <r>
    <x v="985"/>
    <x v="414"/>
    <x v="1"/>
    <d v="1900-01-04T00:00:00"/>
    <x v="4"/>
    <s v="Gwalior"/>
    <s v="Manish Tiwari"/>
    <s v="Manish Tiwari"/>
    <x v="3"/>
    <x v="1"/>
    <s v="Washing Machines"/>
    <s v="Ifb Front Load 7Kg"/>
    <x v="0"/>
    <s v="Pending"/>
    <n v="2"/>
    <n v="34160"/>
    <n v="0.2"/>
    <n v="21540"/>
    <n v="54656"/>
    <n v="43080"/>
    <n v="11576"/>
    <n v="0.21179742388758782"/>
  </r>
  <r>
    <x v="986"/>
    <x v="414"/>
    <x v="1"/>
    <d v="1900-01-04T00:00:00"/>
    <x v="3"/>
    <s v="Chennai"/>
    <s v="Karthik Raman"/>
    <s v="Karthik Raman"/>
    <x v="2"/>
    <x v="1"/>
    <s v="Refrigerators"/>
    <s v="Lg 260L Double Door"/>
    <x v="1"/>
    <s v="Delivered"/>
    <n v="3"/>
    <n v="27790"/>
    <n v="0.08"/>
    <n v="15990"/>
    <n v="76700.400000000009"/>
    <n v="47970"/>
    <n v="28730.400000000009"/>
    <n v="0.37457953283164108"/>
  </r>
  <r>
    <x v="987"/>
    <x v="414"/>
    <x v="1"/>
    <d v="1900-01-04T00:00:00"/>
    <x v="0"/>
    <s v="Surat"/>
    <s v="Imran Sheikh"/>
    <s v="Imran Sheikh"/>
    <x v="2"/>
    <x v="0"/>
    <s v="Televisions"/>
    <s v="Mi Tv 5X 43 Inch"/>
    <x v="0"/>
    <s v="Delivered"/>
    <n v="1"/>
    <n v="31290"/>
    <n v="0"/>
    <n v="23060"/>
    <n v="31290"/>
    <n v="23060"/>
    <n v="8230"/>
    <n v="0.26302333013742407"/>
  </r>
  <r>
    <x v="988"/>
    <x v="415"/>
    <x v="1"/>
    <d v="1900-01-04T00:00:00"/>
    <x v="3"/>
    <s v="Visakhapatnam"/>
    <s v="Divya Nair"/>
    <s v="Divya Nair"/>
    <x v="0"/>
    <x v="1"/>
    <s v="Refrigerators"/>
    <s v="Lg 260L Double Door"/>
    <x v="0"/>
    <s v="Delivered"/>
    <n v="8"/>
    <n v="28190"/>
    <n v="0.05"/>
    <n v="18540"/>
    <n v="214244"/>
    <n v="148320"/>
    <n v="65924"/>
    <n v="0.30770523328541288"/>
  </r>
  <r>
    <x v="989"/>
    <x v="415"/>
    <x v="1"/>
    <d v="1900-01-04T00:00:00"/>
    <x v="4"/>
    <s v="Ujjain"/>
    <s v="Manish Tiwari"/>
    <s v="Manish Tiwari"/>
    <x v="0"/>
    <x v="4"/>
    <s v="Sports Gear"/>
    <s v="Sg Cricket Bat English Willow"/>
    <x v="0"/>
    <s v="Delivered"/>
    <n v="15"/>
    <n v="4360"/>
    <n v="0.05"/>
    <n v="3160"/>
    <n v="62130"/>
    <n v="47400"/>
    <n v="14730"/>
    <n v="0.23708353452438435"/>
  </r>
  <r>
    <x v="990"/>
    <x v="415"/>
    <x v="1"/>
    <d v="1900-01-04T00:00:00"/>
    <x v="3"/>
    <s v="Chennai"/>
    <s v="Karthik Raman"/>
    <s v="Karthik Raman"/>
    <x v="2"/>
    <x v="0"/>
    <s v="Televisions"/>
    <s v="Mi Tv 5X 43 Inch"/>
    <x v="1"/>
    <s v="Delivered"/>
    <n v="2"/>
    <n v="32510"/>
    <n v="0.05"/>
    <n v="19280"/>
    <n v="61769"/>
    <n v="38560"/>
    <n v="23209"/>
    <n v="0.37573863912318478"/>
  </r>
  <r>
    <x v="991"/>
    <x v="416"/>
    <x v="1"/>
    <d v="1900-01-04T00:00:00"/>
    <x v="4"/>
    <s v="Ujjain"/>
    <s v="Pooja Chouhan"/>
    <s v="Pooja Chouhan"/>
    <x v="3"/>
    <x v="1"/>
    <s v="Refrigerators"/>
    <s v="Samsung 192L Single Door"/>
    <x v="0"/>
    <s v="Delivered"/>
    <n v="6"/>
    <n v="16760"/>
    <n v="0.2"/>
    <n v="9770"/>
    <n v="80448"/>
    <n v="58620"/>
    <n v="21828"/>
    <n v="0.27133054892601433"/>
  </r>
  <r>
    <x v="992"/>
    <x v="416"/>
    <x v="1"/>
    <d v="1900-01-04T00:00:00"/>
    <x v="4"/>
    <s v="Indore"/>
    <s v="Manish Tiwari"/>
    <s v="Manish Tiwari"/>
    <x v="3"/>
    <x v="3"/>
    <s v="Sofas"/>
    <s v="3-Seater Fabric Sofa"/>
    <x v="0"/>
    <s v="Delivered"/>
    <n v="5"/>
    <n v="34550"/>
    <n v="0.08"/>
    <n v="20750"/>
    <n v="158930"/>
    <n v="103750"/>
    <n v="55180"/>
    <n v="0.34719687912917635"/>
  </r>
  <r>
    <x v="993"/>
    <x v="416"/>
    <x v="1"/>
    <d v="1900-01-04T00:00:00"/>
    <x v="3"/>
    <s v="Hyderabad"/>
    <s v="Karthik Raman"/>
    <s v="Karthik Raman"/>
    <x v="2"/>
    <x v="0"/>
    <s v="Audio Devices"/>
    <s v="Boat Airdopes 141"/>
    <x v="2"/>
    <s v="Delivered"/>
    <n v="23"/>
    <n v="1880"/>
    <n v="0.08"/>
    <n v="1340"/>
    <n v="39780.800000000003"/>
    <n v="30820"/>
    <n v="8960.8000000000029"/>
    <n v="0.22525439407955603"/>
  </r>
  <r>
    <x v="994"/>
    <x v="416"/>
    <x v="1"/>
    <d v="1900-01-04T00:00:00"/>
    <x v="2"/>
    <s v="Chandigarh"/>
    <s v="Aditya Verma"/>
    <s v="Aditya Verma"/>
    <x v="3"/>
    <x v="0"/>
    <s v="Televisions"/>
    <s v="Samsung Crystal 4K 55 Inch"/>
    <x v="0"/>
    <s v="Delivered"/>
    <n v="3"/>
    <n v="52470"/>
    <n v="0.12"/>
    <n v="39020"/>
    <n v="138520.79999999999"/>
    <n v="117060"/>
    <n v="21460.799999999988"/>
    <n v="0.15492835732972948"/>
  </r>
  <r>
    <x v="995"/>
    <x v="416"/>
    <x v="1"/>
    <d v="1900-01-04T00:00:00"/>
    <x v="3"/>
    <s v="Hyderabad"/>
    <s v="Anjali Menon"/>
    <s v="Anjali Menon"/>
    <x v="1"/>
    <x v="2"/>
    <s v="Accessories"/>
    <s v="Wildcraft 35L Backpack"/>
    <x v="0"/>
    <s v="Delivered"/>
    <n v="66"/>
    <n v="1810"/>
    <n v="0.15"/>
    <n v="1040"/>
    <n v="101541"/>
    <n v="68640"/>
    <n v="32901"/>
    <n v="0.32401689957751056"/>
  </r>
  <r>
    <x v="996"/>
    <x v="417"/>
    <x v="1"/>
    <d v="1900-01-04T00:00:00"/>
    <x v="0"/>
    <s v="Mumbai"/>
    <s v="Imran Sheikh"/>
    <s v="Imran Sheikh"/>
    <x v="3"/>
    <x v="2"/>
    <s v="Apparel"/>
    <s v="Allen Solly Formal Shirt"/>
    <x v="2"/>
    <s v="Delivered"/>
    <n v="41"/>
    <n v="1750"/>
    <n v="0.15"/>
    <n v="990"/>
    <n v="60987.5"/>
    <n v="40590"/>
    <n v="20397.5"/>
    <n v="0.33445378151260502"/>
  </r>
  <r>
    <x v="997"/>
    <x v="417"/>
    <x v="1"/>
    <d v="1900-01-04T00:00:00"/>
    <x v="1"/>
    <s v="Kolkata"/>
    <s v="Sourav Das"/>
    <s v="Sourav Das"/>
    <x v="0"/>
    <x v="0"/>
    <s v="Laptops"/>
    <s v="Dell Inspiron 3520"/>
    <x v="2"/>
    <s v="Returned"/>
    <n v="3"/>
    <n v="54230"/>
    <n v="0.2"/>
    <n v="33490"/>
    <n v="130152"/>
    <n v="100470"/>
    <n v="29682"/>
    <n v="0.2280564263322884"/>
  </r>
  <r>
    <x v="998"/>
    <x v="417"/>
    <x v="1"/>
    <d v="1900-01-04T00:00:00"/>
    <x v="4"/>
    <s v="Raipur"/>
    <s v="Pooja Chouhan"/>
    <s v="Pooja Chouhan"/>
    <x v="3"/>
    <x v="4"/>
    <s v="Activewear"/>
    <s v="Nivia Football Size 5"/>
    <x v="0"/>
    <s v="Delivered"/>
    <n v="5"/>
    <n v="950"/>
    <n v="0.12"/>
    <n v="700"/>
    <n v="4180"/>
    <n v="3500"/>
    <n v="680"/>
    <n v="0.16267942583732056"/>
  </r>
  <r>
    <x v="999"/>
    <x v="418"/>
    <x v="1"/>
    <d v="1900-01-04T00:00:00"/>
    <x v="2"/>
    <s v="Noida"/>
    <s v="Simran Kaur"/>
    <s v="Simran Kaur"/>
    <x v="1"/>
    <x v="0"/>
    <s v="Audio Devices"/>
    <s v="Jbl Flip 6"/>
    <x v="0"/>
    <s v="Delivered"/>
    <n v="9"/>
    <n v="9060"/>
    <n v="0.1"/>
    <n v="5380"/>
    <n v="73386"/>
    <n v="48420"/>
    <n v="24966"/>
    <n v="0.34020112828059845"/>
  </r>
  <r>
    <x v="1000"/>
    <x v="419"/>
    <x v="1"/>
    <d v="1900-01-04T00:00:00"/>
    <x v="3"/>
    <s v="Bengaluru"/>
    <s v="Karthik Raman"/>
    <s v="Karthik Raman"/>
    <x v="2"/>
    <x v="0"/>
    <s v="Audio Devices"/>
    <s v="Boat Airdopes 141"/>
    <x v="1"/>
    <s v="Delivered"/>
    <n v="13"/>
    <n v="1790"/>
    <n v="0.1"/>
    <n v="1080"/>
    <n v="20943"/>
    <n v="14040"/>
    <n v="6903"/>
    <n v="0.32960893854748602"/>
  </r>
  <r>
    <x v="1001"/>
    <x v="419"/>
    <x v="1"/>
    <d v="1900-01-04T00:00:00"/>
    <x v="1"/>
    <s v="Patna"/>
    <s v="Ritika Ghosh"/>
    <s v="Ritika Ghosh"/>
    <x v="3"/>
    <x v="0"/>
    <s v="Mobile Phones"/>
    <s v="Iphone 15"/>
    <x v="2"/>
    <s v="Delivered"/>
    <n v="2"/>
    <n v="65380"/>
    <n v="0.1"/>
    <n v="44260"/>
    <n v="117684"/>
    <n v="88520"/>
    <n v="29164"/>
    <n v="0.24781618571768466"/>
  </r>
  <r>
    <x v="1002"/>
    <x v="420"/>
    <x v="1"/>
    <d v="1900-01-04T00:00:00"/>
    <x v="3"/>
    <s v="Bengaluru"/>
    <s v="Anjali Menon"/>
    <s v="Anjali Menon"/>
    <x v="2"/>
    <x v="1"/>
    <s v="Air Conditioners"/>
    <s v="Daikin 1.5T Split Ac"/>
    <x v="2"/>
    <s v="Delivered"/>
    <n v="1"/>
    <n v="42730"/>
    <n v="0.2"/>
    <n v="27320"/>
    <n v="34184"/>
    <n v="27320"/>
    <n v="6864"/>
    <n v="0.20079569389187923"/>
  </r>
  <r>
    <x v="1003"/>
    <x v="420"/>
    <x v="1"/>
    <d v="1900-01-04T00:00:00"/>
    <x v="1"/>
    <s v="Kolkata"/>
    <s v="Ritika Ghosh"/>
    <s v="Ritika Ghosh"/>
    <x v="0"/>
    <x v="0"/>
    <s v="Televisions"/>
    <s v="Samsung Crystal 4K 55 Inch"/>
    <x v="1"/>
    <s v="Pending"/>
    <n v="1"/>
    <n v="52910"/>
    <n v="0.15"/>
    <n v="30640"/>
    <n v="44973.5"/>
    <n v="30640"/>
    <n v="14333.5"/>
    <n v="0.31870990694520107"/>
  </r>
  <r>
    <x v="1004"/>
    <x v="421"/>
    <x v="1"/>
    <d v="1900-01-04T00:00:00"/>
    <x v="0"/>
    <s v="Nagpur"/>
    <s v="Imran Sheikh"/>
    <s v="Imran Sheikh"/>
    <x v="2"/>
    <x v="0"/>
    <s v="Televisions"/>
    <s v="Samsung Crystal 4K 55 Inch"/>
    <x v="2"/>
    <s v="Delivered"/>
    <n v="1"/>
    <n v="55190"/>
    <n v="0.1"/>
    <n v="33610"/>
    <n v="49671"/>
    <n v="33610"/>
    <n v="16061"/>
    <n v="0.32334762738821443"/>
  </r>
  <r>
    <x v="1005"/>
    <x v="421"/>
    <x v="1"/>
    <d v="1900-01-04T00:00:00"/>
    <x v="3"/>
    <s v="Hyderabad"/>
    <s v="Divya Nair"/>
    <s v="Divya Nair"/>
    <x v="3"/>
    <x v="0"/>
    <s v="Mobile Phones"/>
    <s v="Samsung Galaxy M35"/>
    <x v="1"/>
    <s v="Delivered"/>
    <n v="15"/>
    <n v="21520"/>
    <n v="0.05"/>
    <n v="12100"/>
    <n v="306660"/>
    <n v="181500"/>
    <n v="125160"/>
    <n v="0.40813930737624732"/>
  </r>
  <r>
    <x v="1006"/>
    <x v="422"/>
    <x v="1"/>
    <d v="1900-01-04T00:00:00"/>
    <x v="1"/>
    <s v="Ranchi"/>
    <s v="Ritika Ghosh"/>
    <s v="Ritika Ghosh"/>
    <x v="0"/>
    <x v="2"/>
    <s v="Accessories"/>
    <s v="Wildcraft 35L Backpack"/>
    <x v="0"/>
    <s v="Delivered"/>
    <n v="35"/>
    <n v="1820"/>
    <n v="0.18"/>
    <n v="1330"/>
    <n v="52234.000000000007"/>
    <n v="46550"/>
    <n v="5684.0000000000073"/>
    <n v="0.10881801125703577"/>
  </r>
  <r>
    <x v="1007"/>
    <x v="423"/>
    <x v="1"/>
    <d v="1900-01-04T00:00:00"/>
    <x v="3"/>
    <s v="Visakhapatnam"/>
    <s v="Divya Nair"/>
    <s v="Divya Nair"/>
    <x v="2"/>
    <x v="0"/>
    <s v="Laptops"/>
    <s v="Hp Pavilion 15"/>
    <x v="0"/>
    <s v="Shipped"/>
    <n v="3"/>
    <n v="63730"/>
    <n v="0.18"/>
    <n v="41830"/>
    <n v="156775.80000000002"/>
    <n v="125490"/>
    <n v="31285.800000000017"/>
    <n v="0.19955758478030419"/>
  </r>
  <r>
    <x v="1008"/>
    <x v="423"/>
    <x v="1"/>
    <d v="1900-01-04T00:00:00"/>
    <x v="2"/>
    <s v="Gurugram"/>
    <s v="Aditya Verma"/>
    <s v="Aditya Verma"/>
    <x v="0"/>
    <x v="2"/>
    <s v="Footwear"/>
    <s v="Campus Running Shoes"/>
    <x v="0"/>
    <s v="Shipped"/>
    <n v="8"/>
    <n v="1710"/>
    <n v="0.15"/>
    <n v="1140"/>
    <n v="11628"/>
    <n v="9120"/>
    <n v="2508"/>
    <n v="0.21568627450980393"/>
  </r>
  <r>
    <x v="1009"/>
    <x v="424"/>
    <x v="1"/>
    <d v="1900-01-04T00:00:00"/>
    <x v="1"/>
    <s v="Guwahati"/>
    <s v="Ritika Ghosh"/>
    <s v="Ritika Ghosh"/>
    <x v="2"/>
    <x v="3"/>
    <s v="Office Chairs"/>
    <s v="Nilkamal Executive Chair"/>
    <x v="1"/>
    <s v="Delivered"/>
    <n v="14"/>
    <n v="6810"/>
    <n v="0.1"/>
    <n v="5280"/>
    <n v="85806"/>
    <n v="73920"/>
    <n v="11886"/>
    <n v="0.13852178169358786"/>
  </r>
  <r>
    <x v="1010"/>
    <x v="425"/>
    <x v="1"/>
    <d v="1900-01-04T00:00:00"/>
    <x v="3"/>
    <s v="Chennai"/>
    <s v="Karthik Raman"/>
    <s v="Karthik Raman"/>
    <x v="0"/>
    <x v="4"/>
    <s v="Fitness Equipment"/>
    <s v="Home Foldable Treadmill"/>
    <x v="1"/>
    <s v="Delivered"/>
    <n v="3"/>
    <n v="44500"/>
    <n v="0.08"/>
    <n v="32690"/>
    <n v="122820"/>
    <n v="98070"/>
    <n v="24750"/>
    <n v="0.20151441133365902"/>
  </r>
  <r>
    <x v="1011"/>
    <x v="425"/>
    <x v="1"/>
    <d v="1900-01-04T00:00:00"/>
    <x v="0"/>
    <s v="Surat"/>
    <s v="Neha Deshpande"/>
    <s v="Neha Deshpande"/>
    <x v="3"/>
    <x v="4"/>
    <s v="Activewear"/>
    <s v="Nivia Football Size 5"/>
    <x v="1"/>
    <s v="Delivered"/>
    <n v="36"/>
    <n v="940"/>
    <n v="0.05"/>
    <n v="560"/>
    <n v="32148"/>
    <n v="20160"/>
    <n v="11988"/>
    <n v="0.37290033594624861"/>
  </r>
  <r>
    <x v="1012"/>
    <x v="426"/>
    <x v="1"/>
    <d v="1900-01-05T00:00:00"/>
    <x v="1"/>
    <s v="Siliguri"/>
    <s v="Sourav Das"/>
    <s v="Sourav Das"/>
    <x v="0"/>
    <x v="4"/>
    <s v="Sports Gear"/>
    <s v="Yonex Badminton Racket"/>
    <x v="1"/>
    <s v="Delivered"/>
    <n v="10"/>
    <n v="3260"/>
    <n v="0.12"/>
    <n v="2240"/>
    <n v="28688"/>
    <n v="22400"/>
    <n v="6288"/>
    <n v="0.21918572225320693"/>
  </r>
  <r>
    <x v="1013"/>
    <x v="427"/>
    <x v="1"/>
    <d v="1900-01-05T00:00:00"/>
    <x v="0"/>
    <s v="Surat"/>
    <s v="Imran Sheikh"/>
    <s v="Imran Sheikh"/>
    <x v="0"/>
    <x v="2"/>
    <s v="Apparel"/>
    <s v="Levis 511 Jeans"/>
    <x v="2"/>
    <s v="Delivered"/>
    <n v="35"/>
    <n v="2830"/>
    <n v="0.08"/>
    <n v="1920"/>
    <n v="91126"/>
    <n v="67200"/>
    <n v="23926"/>
    <n v="0.26255953295437084"/>
  </r>
  <r>
    <x v="1014"/>
    <x v="427"/>
    <x v="1"/>
    <d v="1900-01-05T00:00:00"/>
    <x v="2"/>
    <s v="Chandigarh"/>
    <s v="Rohit Malhotra"/>
    <s v="Rohit Malhotra"/>
    <x v="2"/>
    <x v="0"/>
    <s v="Laptops"/>
    <s v="Hp Pavilion 15"/>
    <x v="2"/>
    <s v="Delivered"/>
    <n v="1"/>
    <n v="64580"/>
    <n v="0.08"/>
    <n v="39980"/>
    <n v="59413.600000000006"/>
    <n v="39980"/>
    <n v="19433.600000000006"/>
    <n v="0.32709009385056625"/>
  </r>
  <r>
    <x v="1015"/>
    <x v="427"/>
    <x v="1"/>
    <d v="1900-01-05T00:00:00"/>
    <x v="4"/>
    <s v="Gwalior"/>
    <s v="Pooja Chouhan"/>
    <s v="Pooja Chouhan"/>
    <x v="2"/>
    <x v="0"/>
    <s v="Laptops"/>
    <s v="Hp Pavilion 15"/>
    <x v="1"/>
    <s v="Delivered"/>
    <n v="1"/>
    <n v="62380"/>
    <n v="0"/>
    <n v="38860"/>
    <n v="62380"/>
    <n v="38860"/>
    <n v="23520"/>
    <n v="0.37704392433472267"/>
  </r>
  <r>
    <x v="1016"/>
    <x v="427"/>
    <x v="1"/>
    <d v="1900-01-05T00:00:00"/>
    <x v="1"/>
    <s v="Ranchi"/>
    <s v="Ritika Ghosh"/>
    <s v="Ritika Ghosh"/>
    <x v="0"/>
    <x v="0"/>
    <s v="Mobile Phones"/>
    <s v="Iphone 15"/>
    <x v="0"/>
    <s v="Delivered"/>
    <n v="1"/>
    <n v="72020"/>
    <n v="0.15"/>
    <n v="53680"/>
    <n v="61217"/>
    <n v="53680"/>
    <n v="7537"/>
    <n v="0.12311939493931424"/>
  </r>
  <r>
    <x v="1017"/>
    <x v="428"/>
    <x v="1"/>
    <d v="1900-01-05T00:00:00"/>
    <x v="2"/>
    <s v="Gurugram"/>
    <s v="Rohit Malhotra"/>
    <s v="Rohit Malhotra"/>
    <x v="0"/>
    <x v="0"/>
    <s v="Laptops"/>
    <s v="Hp Pavilion 15"/>
    <x v="0"/>
    <s v="Delivered"/>
    <n v="2"/>
    <n v="65430"/>
    <n v="0.1"/>
    <n v="49780"/>
    <n v="117774"/>
    <n v="99560"/>
    <n v="18214"/>
    <n v="0.15465213035135089"/>
  </r>
  <r>
    <x v="1018"/>
    <x v="429"/>
    <x v="1"/>
    <d v="1900-01-05T00:00:00"/>
    <x v="0"/>
    <s v="Pune"/>
    <s v="Imran Sheikh"/>
    <s v="Imran Sheikh"/>
    <x v="0"/>
    <x v="0"/>
    <s v="Audio Devices"/>
    <s v="Sony Wh-Ch720N"/>
    <x v="0"/>
    <s v="Delivered"/>
    <n v="4"/>
    <n v="9090"/>
    <n v="0.1"/>
    <n v="5160"/>
    <n v="32724"/>
    <n v="20640"/>
    <n v="12084"/>
    <n v="0.36927026035936927"/>
  </r>
  <r>
    <x v="1019"/>
    <x v="430"/>
    <x v="1"/>
    <d v="1900-01-05T00:00:00"/>
    <x v="2"/>
    <s v="Jaipur"/>
    <s v="Aditya Verma"/>
    <s v="Aditya Verma"/>
    <x v="0"/>
    <x v="0"/>
    <s v="Laptops"/>
    <s v="Dell Inspiron 3520"/>
    <x v="0"/>
    <s v="Delivered"/>
    <n v="4"/>
    <n v="57490"/>
    <n v="0.18"/>
    <n v="43000"/>
    <n v="188567.2"/>
    <n v="172000"/>
    <n v="16567.200000000012"/>
    <n v="8.7858333792939655E-2"/>
  </r>
  <r>
    <x v="1020"/>
    <x v="431"/>
    <x v="1"/>
    <d v="1900-01-05T00:00:00"/>
    <x v="4"/>
    <s v="Ujjain"/>
    <s v="Pooja Chouhan"/>
    <s v="Pooja Chouhan"/>
    <x v="3"/>
    <x v="0"/>
    <s v="Mobile Phones"/>
    <s v="Redmi Note 14"/>
    <x v="1"/>
    <s v="Delivered"/>
    <n v="4"/>
    <n v="19220"/>
    <n v="0.05"/>
    <n v="11380"/>
    <n v="73036"/>
    <n v="45520"/>
    <n v="27516"/>
    <n v="0.3767457144421929"/>
  </r>
  <r>
    <x v="1021"/>
    <x v="431"/>
    <x v="1"/>
    <d v="1900-01-05T00:00:00"/>
    <x v="1"/>
    <s v="Guwahati"/>
    <s v="Ritika Ghosh"/>
    <s v="Ritika Ghosh"/>
    <x v="0"/>
    <x v="2"/>
    <s v="Footwear"/>
    <s v="Nike Revolution 7"/>
    <x v="0"/>
    <s v="Delivered"/>
    <n v="12"/>
    <n v="3860"/>
    <n v="0.05"/>
    <n v="2550"/>
    <n v="44004"/>
    <n v="30600"/>
    <n v="13404"/>
    <n v="0.30460867193891467"/>
  </r>
  <r>
    <x v="1022"/>
    <x v="432"/>
    <x v="1"/>
    <d v="1900-01-05T00:00:00"/>
    <x v="3"/>
    <s v="Bengaluru"/>
    <s v="Divya Nair"/>
    <s v="Divya Nair"/>
    <x v="0"/>
    <x v="4"/>
    <s v="Fitness Equipment"/>
    <s v="Adjustable Dumbbell Set 10Kg"/>
    <x v="2"/>
    <s v="Delivered"/>
    <n v="25"/>
    <n v="2520"/>
    <n v="0.12"/>
    <n v="1910"/>
    <n v="55440"/>
    <n v="47750"/>
    <n v="7690"/>
    <n v="0.1387085137085137"/>
  </r>
  <r>
    <x v="1023"/>
    <x v="432"/>
    <x v="1"/>
    <d v="1900-01-05T00:00:00"/>
    <x v="1"/>
    <s v="Guwahati"/>
    <s v="Ritika Ghosh"/>
    <s v="Ritika Ghosh"/>
    <x v="0"/>
    <x v="0"/>
    <s v="Televisions"/>
    <s v="Mi Tv 5X 43 Inch"/>
    <x v="1"/>
    <s v="Delivered"/>
    <n v="2"/>
    <n v="34450"/>
    <n v="0.05"/>
    <n v="24820"/>
    <n v="65455"/>
    <n v="49640"/>
    <n v="15815"/>
    <n v="0.24161637766404401"/>
  </r>
  <r>
    <x v="1024"/>
    <x v="432"/>
    <x v="1"/>
    <d v="1900-01-05T00:00:00"/>
    <x v="0"/>
    <s v="Mumbai"/>
    <s v="Prateek Shah"/>
    <s v="Prateek Shah"/>
    <x v="3"/>
    <x v="2"/>
    <s v="Footwear"/>
    <s v="Bata Formal Shoes"/>
    <x v="1"/>
    <s v="Pending"/>
    <n v="46"/>
    <n v="2350"/>
    <n v="0.18"/>
    <n v="1320"/>
    <n v="88642"/>
    <n v="60720"/>
    <n v="27922"/>
    <n v="0.31499740529320186"/>
  </r>
  <r>
    <x v="1025"/>
    <x v="433"/>
    <x v="1"/>
    <d v="1900-01-05T00:00:00"/>
    <x v="3"/>
    <s v="Bengaluru"/>
    <s v="Anjali Menon"/>
    <s v="Anjali Menon"/>
    <x v="0"/>
    <x v="1"/>
    <s v="Air Conditioners"/>
    <s v="Daikin 1.5T Split Ac"/>
    <x v="2"/>
    <s v="Delivered"/>
    <n v="4"/>
    <n v="40550"/>
    <n v="0"/>
    <n v="28620"/>
    <n v="162200"/>
    <n v="114480"/>
    <n v="47720"/>
    <n v="0.29420468557336621"/>
  </r>
  <r>
    <x v="1026"/>
    <x v="433"/>
    <x v="1"/>
    <d v="1900-01-05T00:00:00"/>
    <x v="3"/>
    <s v="Visakhapatnam"/>
    <s v="Divya Nair"/>
    <s v="Divya Nair"/>
    <x v="1"/>
    <x v="0"/>
    <s v="Laptops"/>
    <s v="Hp Pavilion 15"/>
    <x v="2"/>
    <s v="Delivered"/>
    <n v="4"/>
    <n v="61730"/>
    <n v="0.05"/>
    <n v="42600"/>
    <n v="234574"/>
    <n v="170400"/>
    <n v="64174"/>
    <n v="0.27357678174051686"/>
  </r>
  <r>
    <x v="1027"/>
    <x v="433"/>
    <x v="1"/>
    <d v="1900-01-05T00:00:00"/>
    <x v="3"/>
    <s v="Coimbatore"/>
    <s v="Divya Nair"/>
    <s v="Divya Nair"/>
    <x v="0"/>
    <x v="3"/>
    <s v="Storage"/>
    <s v="3-Door Wardrobe"/>
    <x v="1"/>
    <s v="Pending"/>
    <n v="5"/>
    <n v="29890"/>
    <n v="0.2"/>
    <n v="18970"/>
    <n v="119560"/>
    <n v="94850"/>
    <n v="24710"/>
    <n v="0.2066744730679157"/>
  </r>
  <r>
    <x v="1028"/>
    <x v="434"/>
    <x v="1"/>
    <d v="1900-01-05T00:00:00"/>
    <x v="0"/>
    <s v="Nashik"/>
    <s v="Prateek Shah"/>
    <s v="Prateek Shah"/>
    <x v="0"/>
    <x v="4"/>
    <s v="Fitness Equipment"/>
    <s v="Home Foldable Treadmill"/>
    <x v="1"/>
    <s v="Delivered"/>
    <n v="2"/>
    <n v="40960"/>
    <n v="0.18"/>
    <n v="30750"/>
    <n v="67174.400000000009"/>
    <n v="61500"/>
    <n v="5674.4000000000087"/>
    <n v="8.4472656250000125E-2"/>
  </r>
  <r>
    <x v="1029"/>
    <x v="435"/>
    <x v="1"/>
    <d v="1900-01-05T00:00:00"/>
    <x v="3"/>
    <s v="Bengaluru"/>
    <s v="Karthik Raman"/>
    <s v="Karthik Raman"/>
    <x v="0"/>
    <x v="4"/>
    <s v="Sports Gear"/>
    <s v="Yonex Badminton Racket"/>
    <x v="0"/>
    <s v="Delivered"/>
    <n v="15"/>
    <n v="3270"/>
    <n v="0.05"/>
    <n v="2420"/>
    <n v="46597.5"/>
    <n v="36300"/>
    <n v="10297.5"/>
    <n v="0.2209882504426203"/>
  </r>
  <r>
    <x v="1030"/>
    <x v="435"/>
    <x v="1"/>
    <d v="1900-01-05T00:00:00"/>
    <x v="3"/>
    <s v="Chennai"/>
    <s v="Divya Nair"/>
    <s v="Divya Nair"/>
    <x v="3"/>
    <x v="3"/>
    <s v="Storage"/>
    <s v="3-Door Wardrobe"/>
    <x v="1"/>
    <s v="Delivered"/>
    <n v="10"/>
    <n v="26950"/>
    <n v="0.1"/>
    <n v="20000"/>
    <n v="242550"/>
    <n v="200000"/>
    <n v="42550"/>
    <n v="0.17542774685631829"/>
  </r>
  <r>
    <x v="1031"/>
    <x v="435"/>
    <x v="1"/>
    <d v="1900-01-05T00:00:00"/>
    <x v="4"/>
    <s v="Bhopal"/>
    <s v="Manish Tiwari"/>
    <s v="Manish Tiwari"/>
    <x v="0"/>
    <x v="4"/>
    <s v="Fitness Equipment"/>
    <s v="Adjustable Dumbbell Set 10Kg"/>
    <x v="0"/>
    <s v="Delivered"/>
    <n v="22"/>
    <n v="2340"/>
    <n v="0.25"/>
    <n v="1540"/>
    <n v="38610"/>
    <n v="33880"/>
    <n v="4730"/>
    <n v="0.12250712250712251"/>
  </r>
  <r>
    <x v="1032"/>
    <x v="435"/>
    <x v="1"/>
    <d v="1900-01-05T00:00:00"/>
    <x v="4"/>
    <s v="Jabalpur"/>
    <s v="Pooja Chouhan"/>
    <s v="Pooja Chouhan"/>
    <x v="0"/>
    <x v="4"/>
    <s v="Sports Gear"/>
    <s v="Yonex Badminton Racket"/>
    <x v="1"/>
    <s v="Delivered"/>
    <n v="6"/>
    <n v="3260"/>
    <n v="0.12"/>
    <n v="2140"/>
    <n v="17212.8"/>
    <n v="12840"/>
    <n v="4372.7999999999993"/>
    <n v="0.25404350250976016"/>
  </r>
  <r>
    <x v="1033"/>
    <x v="436"/>
    <x v="1"/>
    <d v="1900-01-05T00:00:00"/>
    <x v="0"/>
    <s v="Ahmedabad"/>
    <s v="Neha Deshpande"/>
    <s v="Neha Deshpande"/>
    <x v="3"/>
    <x v="4"/>
    <s v="Sports Gear"/>
    <s v="Yonex Badminton Racket"/>
    <x v="0"/>
    <s v="Delivered"/>
    <n v="10"/>
    <n v="3200"/>
    <n v="0.18"/>
    <n v="2000"/>
    <n v="26240.000000000004"/>
    <n v="20000"/>
    <n v="6240.0000000000036"/>
    <n v="0.23780487804878059"/>
  </r>
  <r>
    <x v="1034"/>
    <x v="437"/>
    <x v="1"/>
    <d v="1900-01-05T00:00:00"/>
    <x v="0"/>
    <s v="Nashik"/>
    <s v="Prateek Shah"/>
    <s v="Prateek Shah"/>
    <x v="0"/>
    <x v="2"/>
    <s v="Accessories"/>
    <s v="Fastrack Analog Watch"/>
    <x v="2"/>
    <s v="Delivered"/>
    <n v="24"/>
    <n v="2510"/>
    <n v="0.1"/>
    <n v="1630"/>
    <n v="54216"/>
    <n v="39120"/>
    <n v="15096"/>
    <n v="0.27844178840194778"/>
  </r>
  <r>
    <x v="1035"/>
    <x v="437"/>
    <x v="1"/>
    <d v="1900-01-05T00:00:00"/>
    <x v="2"/>
    <s v="Noida"/>
    <s v="Aditya Verma"/>
    <s v="Aditya Verma"/>
    <x v="0"/>
    <x v="0"/>
    <s v="Mobile Phones"/>
    <s v="Iphone 15"/>
    <x v="0"/>
    <s v="Delivered"/>
    <n v="4"/>
    <n v="67240"/>
    <n v="0"/>
    <n v="42840"/>
    <n v="268960"/>
    <n v="171360"/>
    <n v="97600"/>
    <n v="0.36287923854848303"/>
  </r>
  <r>
    <x v="1036"/>
    <x v="437"/>
    <x v="1"/>
    <d v="1900-01-05T00:00:00"/>
    <x v="3"/>
    <s v="Visakhapatnam"/>
    <s v="Karthik Raman"/>
    <s v="Karthik Raman"/>
    <x v="0"/>
    <x v="0"/>
    <s v="Mobile Phones"/>
    <s v="Iphone 15"/>
    <x v="2"/>
    <s v="Delivered"/>
    <n v="3"/>
    <n v="69960"/>
    <n v="0.1"/>
    <n v="47220"/>
    <n v="188892"/>
    <n v="141660"/>
    <n v="47232"/>
    <n v="0.25004764627406134"/>
  </r>
  <r>
    <x v="1037"/>
    <x v="437"/>
    <x v="1"/>
    <d v="1900-01-05T00:00:00"/>
    <x v="3"/>
    <s v="Bengaluru"/>
    <s v="Karthik Raman"/>
    <s v="Karthik Raman"/>
    <x v="3"/>
    <x v="1"/>
    <s v="Washing Machines"/>
    <s v="Whirlpool Semi Auto 7.5Kg"/>
    <x v="0"/>
    <s v="Returned"/>
    <n v="8"/>
    <n v="13480"/>
    <n v="0.05"/>
    <n v="7730"/>
    <n v="102448"/>
    <n v="61840"/>
    <n v="40608"/>
    <n v="0.39637669842261442"/>
  </r>
  <r>
    <x v="1038"/>
    <x v="437"/>
    <x v="1"/>
    <d v="1900-01-05T00:00:00"/>
    <x v="0"/>
    <s v="Nagpur"/>
    <s v="Prateek Shah"/>
    <s v="Prateek Shah"/>
    <x v="2"/>
    <x v="0"/>
    <s v="Audio Devices"/>
    <s v="Sony Wh-Ch720N"/>
    <x v="0"/>
    <s v="Delivered"/>
    <n v="11"/>
    <n v="9040"/>
    <n v="0.1"/>
    <n v="7020"/>
    <n v="89496"/>
    <n v="77220"/>
    <n v="12276"/>
    <n v="0.13716814159292035"/>
  </r>
  <r>
    <x v="1039"/>
    <x v="438"/>
    <x v="1"/>
    <d v="1900-01-05T00:00:00"/>
    <x v="3"/>
    <s v="Visakhapatnam"/>
    <s v="Divya Nair"/>
    <s v="Divya Nair"/>
    <x v="0"/>
    <x v="3"/>
    <s v="Tables"/>
    <s v="6-Seater Dining Table"/>
    <x v="0"/>
    <s v="Delivered"/>
    <n v="1"/>
    <n v="24870"/>
    <n v="0.08"/>
    <n v="17880"/>
    <n v="22880.400000000001"/>
    <n v="17880"/>
    <n v="5000.4000000000015"/>
    <n v="0.2185451303298894"/>
  </r>
  <r>
    <x v="1040"/>
    <x v="439"/>
    <x v="1"/>
    <d v="1900-01-05T00:00:00"/>
    <x v="2"/>
    <s v="Noida"/>
    <s v="Rohit Malhotra"/>
    <s v="Rohit Malhotra"/>
    <x v="0"/>
    <x v="0"/>
    <s v="Audio Devices"/>
    <s v="Boat Airdopes 141"/>
    <x v="0"/>
    <s v="Returned"/>
    <n v="20"/>
    <n v="1750"/>
    <n v="0"/>
    <n v="1250"/>
    <n v="35000"/>
    <n v="25000"/>
    <n v="10000"/>
    <n v="0.2857142857142857"/>
  </r>
  <r>
    <x v="1041"/>
    <x v="440"/>
    <x v="1"/>
    <d v="1900-01-05T00:00:00"/>
    <x v="0"/>
    <s v="Pune"/>
    <s v="Imran Sheikh"/>
    <s v="Imran Sheikh"/>
    <x v="2"/>
    <x v="1"/>
    <s v="Refrigerators"/>
    <s v="Lg 260L Double Door"/>
    <x v="0"/>
    <s v="Shipped"/>
    <n v="8"/>
    <n v="28210"/>
    <n v="0"/>
    <n v="19800"/>
    <n v="225680"/>
    <n v="158400"/>
    <n v="67280"/>
    <n v="0.29812123360510456"/>
  </r>
  <r>
    <x v="1042"/>
    <x v="440"/>
    <x v="1"/>
    <d v="1900-01-05T00:00:00"/>
    <x v="1"/>
    <s v="Ranchi"/>
    <s v="Ritika Ghosh"/>
    <s v="Ritika Ghosh"/>
    <x v="3"/>
    <x v="0"/>
    <s v="Mobile Phones"/>
    <s v="Iphone 15"/>
    <x v="0"/>
    <s v="Delivered"/>
    <n v="2"/>
    <n v="73180"/>
    <n v="0.05"/>
    <n v="57210"/>
    <n v="139042"/>
    <n v="114420"/>
    <n v="24622"/>
    <n v="0.17708318349851124"/>
  </r>
  <r>
    <x v="1043"/>
    <x v="441"/>
    <x v="1"/>
    <d v="1900-01-05T00:00:00"/>
    <x v="4"/>
    <s v="Indore"/>
    <s v="Manish Tiwari"/>
    <s v="Manish Tiwari"/>
    <x v="3"/>
    <x v="2"/>
    <s v="Accessories"/>
    <s v="Fastrack Analog Watch"/>
    <x v="0"/>
    <s v="Pending"/>
    <n v="66"/>
    <n v="2530"/>
    <n v="0.1"/>
    <n v="1970"/>
    <n v="150282"/>
    <n v="130020"/>
    <n v="20262"/>
    <n v="0.13482652613087395"/>
  </r>
  <r>
    <x v="1044"/>
    <x v="442"/>
    <x v="1"/>
    <d v="1900-01-05T00:00:00"/>
    <x v="0"/>
    <s v="Surat"/>
    <s v="Neha Deshpande"/>
    <s v="Neha Deshpande"/>
    <x v="3"/>
    <x v="2"/>
    <s v="Footwear"/>
    <s v="Campus Running Shoes"/>
    <x v="0"/>
    <s v="Pending"/>
    <n v="61"/>
    <n v="1580"/>
    <n v="0"/>
    <n v="970"/>
    <n v="96380"/>
    <n v="59170"/>
    <n v="37210"/>
    <n v="0.38607594936708861"/>
  </r>
  <r>
    <x v="1045"/>
    <x v="442"/>
    <x v="1"/>
    <d v="1900-01-05T00:00:00"/>
    <x v="1"/>
    <s v="Ranchi"/>
    <s v="Ritika Ghosh"/>
    <s v="Ritika Ghosh"/>
    <x v="0"/>
    <x v="3"/>
    <s v="Office Chairs"/>
    <s v="Nilkamal Executive Chair"/>
    <x v="0"/>
    <s v="Delivered"/>
    <n v="11"/>
    <n v="6990"/>
    <n v="0.1"/>
    <n v="5360"/>
    <n v="69201"/>
    <n v="58960"/>
    <n v="10241"/>
    <n v="0.14798919090764584"/>
  </r>
  <r>
    <x v="1046"/>
    <x v="442"/>
    <x v="1"/>
    <d v="1900-01-05T00:00:00"/>
    <x v="3"/>
    <s v="Coimbatore"/>
    <s v="Karthik Raman"/>
    <s v="Karthik Raman"/>
    <x v="2"/>
    <x v="4"/>
    <s v="Fitness Equipment"/>
    <s v="Home Foldable Treadmill"/>
    <x v="0"/>
    <s v="Delivered"/>
    <n v="1"/>
    <n v="42310"/>
    <n v="0.18"/>
    <n v="26050"/>
    <n v="34694.200000000004"/>
    <n v="26050"/>
    <n v="8644.2000000000044"/>
    <n v="0.2491540372742419"/>
  </r>
  <r>
    <x v="1047"/>
    <x v="442"/>
    <x v="1"/>
    <d v="1900-01-05T00:00:00"/>
    <x v="2"/>
    <s v="Noida"/>
    <s v="Simran Kaur"/>
    <s v="Simran Kaur"/>
    <x v="0"/>
    <x v="0"/>
    <s v="Mobile Phones"/>
    <s v="Iphone 15"/>
    <x v="1"/>
    <s v="Pending"/>
    <n v="3"/>
    <n v="72720"/>
    <n v="0.15"/>
    <n v="49340"/>
    <n v="185436"/>
    <n v="148020"/>
    <n v="37416"/>
    <n v="0.20177311848831941"/>
  </r>
  <r>
    <x v="1048"/>
    <x v="442"/>
    <x v="1"/>
    <d v="1900-01-05T00:00:00"/>
    <x v="3"/>
    <s v="Coimbatore"/>
    <s v="Divya Nair"/>
    <s v="Divya Nair"/>
    <x v="0"/>
    <x v="0"/>
    <s v="Mobile Phones"/>
    <s v="Samsung Galaxy M35"/>
    <x v="2"/>
    <s v="Delivered"/>
    <n v="6"/>
    <n v="22820"/>
    <n v="0"/>
    <n v="15680"/>
    <n v="136920"/>
    <n v="94080"/>
    <n v="42840"/>
    <n v="0.31288343558282211"/>
  </r>
  <r>
    <x v="1049"/>
    <x v="443"/>
    <x v="1"/>
    <d v="1900-01-05T00:00:00"/>
    <x v="0"/>
    <s v="Surat"/>
    <s v="Prateek Shah"/>
    <s v="Prateek Shah"/>
    <x v="0"/>
    <x v="1"/>
    <s v="Kitchen Appliances"/>
    <s v="Philips Air Fryer"/>
    <x v="0"/>
    <s v="Delivered"/>
    <n v="4"/>
    <n v="9690"/>
    <n v="0"/>
    <n v="7040"/>
    <n v="38760"/>
    <n v="28160"/>
    <n v="10600"/>
    <n v="0.27347781217750256"/>
  </r>
  <r>
    <x v="1050"/>
    <x v="443"/>
    <x v="1"/>
    <d v="1900-01-05T00:00:00"/>
    <x v="1"/>
    <s v="Guwahati"/>
    <s v="Sourav Das"/>
    <s v="Sourav Das"/>
    <x v="1"/>
    <x v="0"/>
    <s v="Laptops"/>
    <s v="Macbook Air M3"/>
    <x v="1"/>
    <s v="Delivered"/>
    <n v="3"/>
    <n v="106610"/>
    <n v="0.12"/>
    <n v="70280"/>
    <n v="281450.40000000002"/>
    <n v="210840"/>
    <n v="70610.400000000023"/>
    <n v="0.25088043932430021"/>
  </r>
  <r>
    <x v="1051"/>
    <x v="443"/>
    <x v="1"/>
    <d v="1900-01-05T00:00:00"/>
    <x v="3"/>
    <s v="Visakhapatnam"/>
    <s v="Anjali Menon"/>
    <s v="Anjali Menon"/>
    <x v="1"/>
    <x v="2"/>
    <s v="Apparel"/>
    <s v="Allen Solly Formal Shirt"/>
    <x v="1"/>
    <s v="Delivered"/>
    <n v="21"/>
    <n v="1810"/>
    <n v="0"/>
    <n v="1180"/>
    <n v="38010"/>
    <n v="24780"/>
    <n v="13230"/>
    <n v="0.34806629834254144"/>
  </r>
  <r>
    <x v="1052"/>
    <x v="443"/>
    <x v="1"/>
    <d v="1900-01-05T00:00:00"/>
    <x v="0"/>
    <s v="Ahmedabad"/>
    <s v="Neha Deshpande"/>
    <s v="Neha Deshpande"/>
    <x v="2"/>
    <x v="2"/>
    <s v="Footwear"/>
    <s v="Campus Running Shoes"/>
    <x v="0"/>
    <s v="Delivered"/>
    <n v="38"/>
    <n v="1530"/>
    <n v="0.12"/>
    <n v="1200"/>
    <n v="51163.199999999997"/>
    <n v="45600"/>
    <n v="5563.1999999999971"/>
    <n v="0.10873440285204986"/>
  </r>
  <r>
    <x v="1053"/>
    <x v="444"/>
    <x v="1"/>
    <d v="1900-01-05T00:00:00"/>
    <x v="3"/>
    <s v="Hyderabad"/>
    <s v="Divya Nair"/>
    <s v="Divya Nair"/>
    <x v="0"/>
    <x v="0"/>
    <s v="Laptops"/>
    <s v="Macbook Air M3"/>
    <x v="0"/>
    <s v="Delivered"/>
    <n v="2"/>
    <n v="112900"/>
    <n v="0"/>
    <n v="72970"/>
    <n v="225800"/>
    <n v="145940"/>
    <n v="79860"/>
    <n v="0.35367581930912312"/>
  </r>
  <r>
    <x v="1054"/>
    <x v="445"/>
    <x v="1"/>
    <d v="1900-01-05T00:00:00"/>
    <x v="0"/>
    <s v="Pune"/>
    <s v="Prateek Shah"/>
    <s v="Prateek Shah"/>
    <x v="3"/>
    <x v="0"/>
    <s v="Mobile Phones"/>
    <s v="Samsung Galaxy M35"/>
    <x v="0"/>
    <s v="Returned"/>
    <n v="8"/>
    <n v="23220"/>
    <n v="0.2"/>
    <n v="16920"/>
    <n v="148608"/>
    <n v="135360"/>
    <n v="13248"/>
    <n v="8.9147286821705432E-2"/>
  </r>
  <r>
    <x v="1055"/>
    <x v="445"/>
    <x v="1"/>
    <d v="1900-01-05T00:00:00"/>
    <x v="3"/>
    <s v="Hyderabad"/>
    <s v="Divya Nair"/>
    <s v="Divya Nair"/>
    <x v="0"/>
    <x v="2"/>
    <s v="Accessories"/>
    <s v="Wildcraft 35L Backpack"/>
    <x v="1"/>
    <s v="Delivered"/>
    <n v="40"/>
    <n v="1880"/>
    <n v="0.1"/>
    <n v="1480"/>
    <n v="67680"/>
    <n v="59200"/>
    <n v="8480"/>
    <n v="0.12529550827423167"/>
  </r>
  <r>
    <x v="1056"/>
    <x v="446"/>
    <x v="1"/>
    <d v="1900-01-05T00:00:00"/>
    <x v="4"/>
    <s v="Jabalpur"/>
    <s v="Pooja Chouhan"/>
    <s v="Pooja Chouhan"/>
    <x v="0"/>
    <x v="2"/>
    <s v="Footwear"/>
    <s v="Bata Formal Shoes"/>
    <x v="2"/>
    <s v="Delivered"/>
    <n v="40"/>
    <n v="2100"/>
    <n v="0.1"/>
    <n v="1540"/>
    <n v="75600"/>
    <n v="61600"/>
    <n v="14000"/>
    <n v="0.18518518518518517"/>
  </r>
  <r>
    <x v="1057"/>
    <x v="446"/>
    <x v="1"/>
    <d v="1900-01-05T00:00:00"/>
    <x v="4"/>
    <s v="Jabalpur"/>
    <s v="Manish Tiwari"/>
    <s v="Manish Tiwari"/>
    <x v="0"/>
    <x v="4"/>
    <s v="Sports Gear"/>
    <s v="Sg Cricket Bat English Willow"/>
    <x v="0"/>
    <s v="Delivered"/>
    <n v="7"/>
    <n v="4810"/>
    <n v="0.1"/>
    <n v="2940"/>
    <n v="30303"/>
    <n v="20580"/>
    <n v="9723"/>
    <n v="0.32085932085932084"/>
  </r>
  <r>
    <x v="1058"/>
    <x v="447"/>
    <x v="1"/>
    <d v="1900-01-05T00:00:00"/>
    <x v="1"/>
    <s v="Guwahati"/>
    <s v="Ritika Ghosh"/>
    <s v="Ritika Ghosh"/>
    <x v="2"/>
    <x v="4"/>
    <s v="Activewear"/>
    <s v="Puma Track Pants"/>
    <x v="1"/>
    <s v="Delivered"/>
    <n v="33"/>
    <n v="1690"/>
    <n v="0.05"/>
    <n v="1040"/>
    <n v="52981.5"/>
    <n v="34320"/>
    <n v="18661.5"/>
    <n v="0.35222672064777327"/>
  </r>
  <r>
    <x v="1059"/>
    <x v="448"/>
    <x v="1"/>
    <d v="1900-01-05T00:00:00"/>
    <x v="2"/>
    <s v="Delhi"/>
    <s v="Aditya Verma"/>
    <s v="Aditya Verma"/>
    <x v="3"/>
    <x v="2"/>
    <s v="Footwear"/>
    <s v="Campus Running Shoes"/>
    <x v="0"/>
    <s v="Shipped"/>
    <n v="73"/>
    <n v="1540"/>
    <n v="0.08"/>
    <n v="1210"/>
    <n v="103426.40000000001"/>
    <n v="88330"/>
    <n v="15096.400000000009"/>
    <n v="0.14596273291925474"/>
  </r>
  <r>
    <x v="1060"/>
    <x v="449"/>
    <x v="1"/>
    <d v="1900-01-05T00:00:00"/>
    <x v="3"/>
    <s v="Chennai"/>
    <s v="Divya Nair"/>
    <s v="Divya Nair"/>
    <x v="0"/>
    <x v="4"/>
    <s v="Activewear"/>
    <s v="Nivia Football Size 5"/>
    <x v="1"/>
    <s v="Delivered"/>
    <n v="34"/>
    <n v="870"/>
    <n v="0"/>
    <n v="590"/>
    <n v="29580"/>
    <n v="20060"/>
    <n v="9520"/>
    <n v="0.32183908045977011"/>
  </r>
  <r>
    <x v="1061"/>
    <x v="450"/>
    <x v="1"/>
    <d v="1900-01-05T00:00:00"/>
    <x v="2"/>
    <s v="Noida"/>
    <s v="Simran Kaur"/>
    <s v="Simran Kaur"/>
    <x v="0"/>
    <x v="1"/>
    <s v="Kitchen Appliances"/>
    <s v="Prestige Mixer Grinder"/>
    <x v="1"/>
    <s v="Delivered"/>
    <n v="15"/>
    <n v="4680"/>
    <n v="0.2"/>
    <n v="3680"/>
    <n v="56160"/>
    <n v="55200"/>
    <n v="960"/>
    <n v="1.7094017094017096E-2"/>
  </r>
  <r>
    <x v="1062"/>
    <x v="450"/>
    <x v="1"/>
    <d v="1900-01-05T00:00:00"/>
    <x v="4"/>
    <s v="Jabalpur"/>
    <s v="Manish Tiwari"/>
    <s v="Manish Tiwari"/>
    <x v="3"/>
    <x v="0"/>
    <s v="Audio Devices"/>
    <s v="Sony Wh-Ch720N"/>
    <x v="1"/>
    <s v="Delivered"/>
    <n v="18"/>
    <n v="8640"/>
    <n v="0.05"/>
    <n v="6630"/>
    <n v="147744"/>
    <n v="119340"/>
    <n v="28404"/>
    <n v="0.19225146198830409"/>
  </r>
  <r>
    <x v="1063"/>
    <x v="450"/>
    <x v="1"/>
    <d v="1900-01-05T00:00:00"/>
    <x v="1"/>
    <s v="Kolkata"/>
    <s v="Sourav Das"/>
    <s v="Sourav Das"/>
    <x v="1"/>
    <x v="4"/>
    <s v="Sports Gear"/>
    <s v="Yonex Badminton Racket"/>
    <x v="1"/>
    <s v="Delivered"/>
    <n v="14"/>
    <n v="3240"/>
    <n v="0.08"/>
    <n v="1910"/>
    <n v="41731.200000000004"/>
    <n v="26740"/>
    <n v="14991.200000000004"/>
    <n v="0.35923242082662377"/>
  </r>
  <r>
    <x v="1064"/>
    <x v="451"/>
    <x v="1"/>
    <d v="1900-01-05T00:00:00"/>
    <x v="4"/>
    <s v="Gwalior"/>
    <s v="Manish Tiwari"/>
    <s v="Manish Tiwari"/>
    <x v="3"/>
    <x v="2"/>
    <s v="Accessories"/>
    <s v="Fastrack Analog Watch"/>
    <x v="1"/>
    <s v="Delivered"/>
    <n v="43"/>
    <n v="2420"/>
    <n v="0.12"/>
    <n v="1810"/>
    <n v="91572.800000000003"/>
    <n v="77830"/>
    <n v="13742.800000000003"/>
    <n v="0.15007513148009019"/>
  </r>
  <r>
    <x v="1065"/>
    <x v="451"/>
    <x v="1"/>
    <d v="1900-01-05T00:00:00"/>
    <x v="1"/>
    <s v="Bhubaneswar"/>
    <s v="Ritika Ghosh"/>
    <s v="Ritika Ghosh"/>
    <x v="0"/>
    <x v="2"/>
    <s v="Accessories"/>
    <s v="Fastrack Analog Watch"/>
    <x v="0"/>
    <s v="Delivered"/>
    <n v="17"/>
    <n v="2560"/>
    <n v="0.12"/>
    <n v="1570"/>
    <n v="38297.599999999999"/>
    <n v="26690"/>
    <n v="11607.599999999999"/>
    <n v="0.30308948863636359"/>
  </r>
  <r>
    <x v="1066"/>
    <x v="452"/>
    <x v="1"/>
    <d v="1900-01-05T00:00:00"/>
    <x v="0"/>
    <s v="Ahmedabad"/>
    <s v="Neha Deshpande"/>
    <s v="Neha Deshpande"/>
    <x v="3"/>
    <x v="3"/>
    <s v="Storage"/>
    <s v="3-Door Wardrobe"/>
    <x v="2"/>
    <s v="Delivered"/>
    <n v="14"/>
    <n v="27180"/>
    <n v="0.08"/>
    <n v="19330"/>
    <n v="350078.4"/>
    <n v="270620"/>
    <n v="79458.400000000023"/>
    <n v="0.22697315801260523"/>
  </r>
  <r>
    <x v="1067"/>
    <x v="453"/>
    <x v="1"/>
    <d v="1900-01-05T00:00:00"/>
    <x v="2"/>
    <s v="Lucknow"/>
    <s v="Rohit Malhotra"/>
    <s v="Rohit Malhotra"/>
    <x v="0"/>
    <x v="2"/>
    <s v="Accessories"/>
    <s v="Fastrack Analog Watch"/>
    <x v="0"/>
    <s v="Returned"/>
    <n v="23"/>
    <n v="2450"/>
    <n v="0.18"/>
    <n v="1660"/>
    <n v="46207"/>
    <n v="38180"/>
    <n v="8027"/>
    <n v="0.17371826779492286"/>
  </r>
  <r>
    <x v="1068"/>
    <x v="453"/>
    <x v="1"/>
    <d v="1900-01-05T00:00:00"/>
    <x v="3"/>
    <s v="Chennai"/>
    <s v="Karthik Raman"/>
    <s v="Karthik Raman"/>
    <x v="2"/>
    <x v="1"/>
    <s v="Air Conditioners"/>
    <s v="Voltas 1.5T Inverter Ac"/>
    <x v="0"/>
    <s v="Pending"/>
    <n v="1"/>
    <n v="38830"/>
    <n v="0.12"/>
    <n v="30040"/>
    <n v="34170.400000000001"/>
    <n v="30040"/>
    <n v="4130.4000000000015"/>
    <n v="0.12087654812352215"/>
  </r>
  <r>
    <x v="1069"/>
    <x v="453"/>
    <x v="1"/>
    <d v="1900-01-05T00:00:00"/>
    <x v="4"/>
    <s v="Indore"/>
    <s v="Manish Tiwari"/>
    <s v="Manish Tiwari"/>
    <x v="3"/>
    <x v="4"/>
    <s v="Activewear"/>
    <s v="Puma Track Pants"/>
    <x v="1"/>
    <s v="Shipped"/>
    <n v="52"/>
    <n v="1660"/>
    <n v="0.18"/>
    <n v="1160"/>
    <n v="70782.400000000009"/>
    <n v="60320"/>
    <n v="10462.400000000009"/>
    <n v="0.14781075521598599"/>
  </r>
  <r>
    <x v="1070"/>
    <x v="453"/>
    <x v="1"/>
    <d v="1900-01-05T00:00:00"/>
    <x v="0"/>
    <s v="Ahmedabad"/>
    <s v="Neha Deshpande"/>
    <s v="Neha Deshpande"/>
    <x v="0"/>
    <x v="4"/>
    <s v="Activewear"/>
    <s v="Nivia Football Size 5"/>
    <x v="2"/>
    <s v="Pending"/>
    <n v="13"/>
    <n v="960"/>
    <n v="0.08"/>
    <n v="730"/>
    <n v="11481.6"/>
    <n v="9490"/>
    <n v="1991.6000000000004"/>
    <n v="0.17346014492753625"/>
  </r>
  <r>
    <x v="1071"/>
    <x v="454"/>
    <x v="1"/>
    <d v="1900-01-06T00:00:00"/>
    <x v="1"/>
    <s v="Patna"/>
    <s v="Ritika Ghosh"/>
    <s v="Ritika Ghosh"/>
    <x v="3"/>
    <x v="2"/>
    <s v="Accessories"/>
    <s v="Fastrack Analog Watch"/>
    <x v="2"/>
    <s v="Shipped"/>
    <n v="47"/>
    <n v="2670"/>
    <n v="0.05"/>
    <n v="1540"/>
    <n v="119215.5"/>
    <n v="72380"/>
    <n v="46835.5"/>
    <n v="0.3928641829292332"/>
  </r>
  <r>
    <x v="1072"/>
    <x v="454"/>
    <x v="1"/>
    <d v="1900-01-06T00:00:00"/>
    <x v="1"/>
    <s v="Patna"/>
    <s v="Ritika Ghosh"/>
    <s v="Ritika Ghosh"/>
    <x v="3"/>
    <x v="3"/>
    <s v="Tables"/>
    <s v="Study Table Engineered Wood"/>
    <x v="0"/>
    <s v="Delivered"/>
    <n v="24"/>
    <n v="8410"/>
    <n v="0.1"/>
    <n v="6090"/>
    <n v="181656"/>
    <n v="146160"/>
    <n v="35496"/>
    <n v="0.19540229885057472"/>
  </r>
  <r>
    <x v="1073"/>
    <x v="454"/>
    <x v="1"/>
    <d v="1900-01-06T00:00:00"/>
    <x v="1"/>
    <s v="Guwahati"/>
    <s v="Ritika Ghosh"/>
    <s v="Ritika Ghosh"/>
    <x v="1"/>
    <x v="3"/>
    <s v="Sofas"/>
    <s v="Single Seater Recliner"/>
    <x v="0"/>
    <s v="Delivered"/>
    <n v="5"/>
    <n v="45480"/>
    <n v="0.08"/>
    <n v="29160"/>
    <n v="209208"/>
    <n v="145800"/>
    <n v="63408"/>
    <n v="0.30308592405644141"/>
  </r>
  <r>
    <x v="1074"/>
    <x v="455"/>
    <x v="1"/>
    <d v="1900-01-06T00:00:00"/>
    <x v="1"/>
    <s v="Kolkata"/>
    <s v="Ritika Ghosh"/>
    <s v="Ritika Ghosh"/>
    <x v="0"/>
    <x v="0"/>
    <s v="Televisions"/>
    <s v="Mi Tv 5X 43 Inch"/>
    <x v="1"/>
    <s v="Delivered"/>
    <n v="1"/>
    <n v="31260"/>
    <n v="0.2"/>
    <n v="19270"/>
    <n v="25008"/>
    <n v="19270"/>
    <n v="5738"/>
    <n v="0.22944657709532951"/>
  </r>
  <r>
    <x v="1075"/>
    <x v="455"/>
    <x v="1"/>
    <d v="1900-01-06T00:00:00"/>
    <x v="2"/>
    <s v="Delhi"/>
    <s v="Aditya Verma"/>
    <s v="Aditya Verma"/>
    <x v="0"/>
    <x v="3"/>
    <s v="Tables"/>
    <s v="6-Seater Dining Table"/>
    <x v="0"/>
    <s v="Delivered"/>
    <n v="7"/>
    <n v="23310"/>
    <n v="0.08"/>
    <n v="14840"/>
    <n v="150116.4"/>
    <n v="103880"/>
    <n v="46236.399999999994"/>
    <n v="0.30800365582974276"/>
  </r>
  <r>
    <x v="1076"/>
    <x v="455"/>
    <x v="1"/>
    <d v="1900-01-06T00:00:00"/>
    <x v="1"/>
    <s v="Kolkata"/>
    <s v="Ritika Ghosh"/>
    <s v="Ritika Ghosh"/>
    <x v="1"/>
    <x v="4"/>
    <s v="Sports Gear"/>
    <s v="Sg Cricket Bat English Willow"/>
    <x v="1"/>
    <s v="Shipped"/>
    <n v="14"/>
    <n v="4710"/>
    <n v="0"/>
    <n v="3200"/>
    <n v="65940"/>
    <n v="44800"/>
    <n v="21140"/>
    <n v="0.3205944798301486"/>
  </r>
  <r>
    <x v="1077"/>
    <x v="455"/>
    <x v="1"/>
    <d v="1900-01-06T00:00:00"/>
    <x v="0"/>
    <s v="Surat"/>
    <s v="Neha Deshpande"/>
    <s v="Neha Deshpande"/>
    <x v="2"/>
    <x v="1"/>
    <s v="Refrigerators"/>
    <s v="Lg 260L Double Door"/>
    <x v="0"/>
    <s v="Delivered"/>
    <n v="3"/>
    <n v="29670"/>
    <n v="0.15"/>
    <n v="18970"/>
    <n v="75658.5"/>
    <n v="56910"/>
    <n v="18748.5"/>
    <n v="0.24780427843533773"/>
  </r>
  <r>
    <x v="1078"/>
    <x v="456"/>
    <x v="1"/>
    <d v="1900-01-06T00:00:00"/>
    <x v="3"/>
    <s v="Coimbatore"/>
    <s v="Karthik Raman"/>
    <s v="Karthik Raman"/>
    <x v="2"/>
    <x v="0"/>
    <s v="Mobile Phones"/>
    <s v="Samsung Galaxy M35"/>
    <x v="2"/>
    <s v="Delivered"/>
    <n v="4"/>
    <n v="22790"/>
    <n v="0"/>
    <n v="16750"/>
    <n v="91160"/>
    <n v="67000"/>
    <n v="24160"/>
    <n v="0.2650285212812637"/>
  </r>
  <r>
    <x v="1079"/>
    <x v="457"/>
    <x v="1"/>
    <d v="1900-01-06T00:00:00"/>
    <x v="0"/>
    <s v="Mumbai"/>
    <s v="Imran Sheikh"/>
    <s v="Imran Sheikh"/>
    <x v="3"/>
    <x v="3"/>
    <s v="Office Chairs"/>
    <s v="Nilkamal Executive Chair"/>
    <x v="1"/>
    <s v="Delivered"/>
    <n v="8"/>
    <n v="6370"/>
    <n v="0"/>
    <n v="3720"/>
    <n v="50960"/>
    <n v="29760"/>
    <n v="21200"/>
    <n v="0.41601255886970173"/>
  </r>
  <r>
    <x v="1080"/>
    <x v="457"/>
    <x v="1"/>
    <d v="1900-01-06T00:00:00"/>
    <x v="3"/>
    <s v="Hyderabad"/>
    <s v="Anjali Menon"/>
    <s v="Anjali Menon"/>
    <x v="2"/>
    <x v="0"/>
    <s v="Audio Devices"/>
    <s v="Sony Wh-Ch720N"/>
    <x v="2"/>
    <s v="Delivered"/>
    <n v="5"/>
    <n v="8290"/>
    <n v="0"/>
    <n v="4700"/>
    <n v="41450"/>
    <n v="23500"/>
    <n v="17950"/>
    <n v="0.43305186972255733"/>
  </r>
  <r>
    <x v="1081"/>
    <x v="457"/>
    <x v="1"/>
    <d v="1900-01-06T00:00:00"/>
    <x v="0"/>
    <s v="Pune"/>
    <s v="Neha Deshpande"/>
    <s v="Neha Deshpande"/>
    <x v="2"/>
    <x v="1"/>
    <s v="Kitchen Appliances"/>
    <s v="Prestige Mixer Grinder"/>
    <x v="2"/>
    <s v="Pending"/>
    <n v="10"/>
    <n v="4620"/>
    <n v="0.2"/>
    <n v="2840"/>
    <n v="36960"/>
    <n v="28400"/>
    <n v="8560"/>
    <n v="0.23160173160173161"/>
  </r>
  <r>
    <x v="1082"/>
    <x v="458"/>
    <x v="1"/>
    <d v="1900-01-06T00:00:00"/>
    <x v="3"/>
    <s v="Kochi"/>
    <s v="Anjali Menon"/>
    <s v="Anjali Menon"/>
    <x v="0"/>
    <x v="4"/>
    <s v="Fitness Equipment"/>
    <s v="Home Foldable Treadmill"/>
    <x v="2"/>
    <s v="Pending"/>
    <n v="4"/>
    <n v="44410"/>
    <n v="0.12"/>
    <n v="27770"/>
    <n v="156323.20000000001"/>
    <n v="111080"/>
    <n v="45243.200000000012"/>
    <n v="0.28942089210046884"/>
  </r>
  <r>
    <x v="1083"/>
    <x v="458"/>
    <x v="1"/>
    <d v="1900-01-06T00:00:00"/>
    <x v="3"/>
    <s v="Hyderabad"/>
    <s v="Divya Nair"/>
    <s v="Divya Nair"/>
    <x v="0"/>
    <x v="4"/>
    <s v="Fitness Equipment"/>
    <s v="Home Foldable Treadmill"/>
    <x v="0"/>
    <s v="Pending"/>
    <n v="1"/>
    <n v="40090"/>
    <n v="0.15"/>
    <n v="29160"/>
    <n v="34076.5"/>
    <n v="29160"/>
    <n v="4916.5"/>
    <n v="0.14427831496779306"/>
  </r>
  <r>
    <x v="1084"/>
    <x v="458"/>
    <x v="1"/>
    <d v="1900-01-06T00:00:00"/>
    <x v="2"/>
    <s v="Gurugram"/>
    <s v="Simran Kaur"/>
    <s v="Simran Kaur"/>
    <x v="2"/>
    <x v="2"/>
    <s v="Footwear"/>
    <s v="Bata Formal Shoes"/>
    <x v="1"/>
    <s v="Delivered"/>
    <n v="23"/>
    <n v="2200"/>
    <n v="0.05"/>
    <n v="1670"/>
    <n v="48070"/>
    <n v="38410"/>
    <n v="9660"/>
    <n v="0.20095693779904306"/>
  </r>
  <r>
    <x v="1085"/>
    <x v="458"/>
    <x v="1"/>
    <d v="1900-01-06T00:00:00"/>
    <x v="0"/>
    <s v="Nagpur"/>
    <s v="Neha Deshpande"/>
    <s v="Neha Deshpande"/>
    <x v="0"/>
    <x v="3"/>
    <s v="Tables"/>
    <s v="Study Table Engineered Wood"/>
    <x v="2"/>
    <s v="Shipped"/>
    <n v="6"/>
    <n v="8950"/>
    <n v="0.05"/>
    <n v="6840"/>
    <n v="51015"/>
    <n v="41040"/>
    <n v="9975"/>
    <n v="0.19553072625698323"/>
  </r>
  <r>
    <x v="1086"/>
    <x v="459"/>
    <x v="1"/>
    <d v="1900-01-06T00:00:00"/>
    <x v="3"/>
    <s v="Coimbatore"/>
    <s v="Divya Nair"/>
    <s v="Divya Nair"/>
    <x v="0"/>
    <x v="2"/>
    <s v="Footwear"/>
    <s v="Bata Formal Shoes"/>
    <x v="1"/>
    <s v="Delivered"/>
    <n v="32"/>
    <n v="2120"/>
    <n v="0.08"/>
    <n v="1550"/>
    <n v="62412.800000000003"/>
    <n v="49600"/>
    <n v="12812.800000000003"/>
    <n v="0.20529122231337166"/>
  </r>
  <r>
    <x v="1087"/>
    <x v="459"/>
    <x v="1"/>
    <d v="1900-01-06T00:00:00"/>
    <x v="4"/>
    <s v="Ujjain"/>
    <s v="Pooja Chouhan"/>
    <s v="Pooja Chouhan"/>
    <x v="0"/>
    <x v="3"/>
    <s v="Sofas"/>
    <s v="Single Seater Recliner"/>
    <x v="1"/>
    <s v="Pending"/>
    <n v="3"/>
    <n v="47090"/>
    <n v="0.15"/>
    <n v="29140"/>
    <n v="120079.5"/>
    <n v="87420"/>
    <n v="32659.5"/>
    <n v="0.27198231171848652"/>
  </r>
  <r>
    <x v="1088"/>
    <x v="459"/>
    <x v="1"/>
    <d v="1900-01-06T00:00:00"/>
    <x v="3"/>
    <s v="Hyderabad"/>
    <s v="Divya Nair"/>
    <s v="Divya Nair"/>
    <x v="0"/>
    <x v="2"/>
    <s v="Footwear"/>
    <s v="Nike Revolution 7"/>
    <x v="1"/>
    <s v="Returned"/>
    <n v="7"/>
    <n v="3680"/>
    <n v="0.2"/>
    <n v="2250"/>
    <n v="20608"/>
    <n v="15750"/>
    <n v="4858"/>
    <n v="0.23573369565217392"/>
  </r>
  <r>
    <x v="1089"/>
    <x v="459"/>
    <x v="1"/>
    <d v="1900-01-06T00:00:00"/>
    <x v="3"/>
    <s v="Visakhapatnam"/>
    <s v="Anjali Menon"/>
    <s v="Anjali Menon"/>
    <x v="2"/>
    <x v="2"/>
    <s v="Footwear"/>
    <s v="Nike Revolution 7"/>
    <x v="1"/>
    <s v="Delivered"/>
    <n v="6"/>
    <n v="4050"/>
    <n v="0"/>
    <n v="2780"/>
    <n v="24300"/>
    <n v="16680"/>
    <n v="7620"/>
    <n v="0.31358024691358027"/>
  </r>
  <r>
    <x v="1090"/>
    <x v="459"/>
    <x v="1"/>
    <d v="1900-01-06T00:00:00"/>
    <x v="2"/>
    <s v="Delhi"/>
    <s v="Rohit Malhotra"/>
    <s v="Rohit Malhotra"/>
    <x v="2"/>
    <x v="2"/>
    <s v="Footwear"/>
    <s v="Campus Running Shoes"/>
    <x v="0"/>
    <s v="Delivered"/>
    <n v="28"/>
    <n v="1540"/>
    <n v="0.15"/>
    <n v="990"/>
    <n v="36652"/>
    <n v="27720"/>
    <n v="8932"/>
    <n v="0.24369747899159663"/>
  </r>
  <r>
    <x v="1091"/>
    <x v="460"/>
    <x v="1"/>
    <d v="1900-01-06T00:00:00"/>
    <x v="1"/>
    <s v="Kolkata"/>
    <s v="Ritika Ghosh"/>
    <s v="Ritika Ghosh"/>
    <x v="1"/>
    <x v="2"/>
    <s v="Footwear"/>
    <s v="Nike Revolution 7"/>
    <x v="0"/>
    <s v="Delivered"/>
    <n v="8"/>
    <n v="3940"/>
    <n v="0.1"/>
    <n v="2800"/>
    <n v="28368"/>
    <n v="22400"/>
    <n v="5968"/>
    <n v="0.21037789058093626"/>
  </r>
  <r>
    <x v="1092"/>
    <x v="460"/>
    <x v="1"/>
    <d v="1900-01-06T00:00:00"/>
    <x v="3"/>
    <s v="Bengaluru"/>
    <s v="Divya Nair"/>
    <s v="Divya Nair"/>
    <x v="0"/>
    <x v="1"/>
    <s v="Kitchen Appliances"/>
    <s v="Philips Air Fryer"/>
    <x v="1"/>
    <s v="Delivered"/>
    <n v="5"/>
    <n v="9720"/>
    <n v="0.08"/>
    <n v="7580"/>
    <n v="44712"/>
    <n v="37900"/>
    <n v="6812"/>
    <n v="0.15235283592771515"/>
  </r>
  <r>
    <x v="1093"/>
    <x v="460"/>
    <x v="1"/>
    <d v="1900-01-06T00:00:00"/>
    <x v="3"/>
    <s v="Bengaluru"/>
    <s v="Divya Nair"/>
    <s v="Divya Nair"/>
    <x v="0"/>
    <x v="1"/>
    <s v="Washing Machines"/>
    <s v="Ifb Front Load 7Kg"/>
    <x v="1"/>
    <s v="Delivered"/>
    <n v="4"/>
    <n v="34460"/>
    <n v="0.1"/>
    <n v="23720"/>
    <n v="124056"/>
    <n v="94880"/>
    <n v="29176"/>
    <n v="0.23518411040175405"/>
  </r>
  <r>
    <x v="1094"/>
    <x v="461"/>
    <x v="1"/>
    <d v="1900-01-06T00:00:00"/>
    <x v="1"/>
    <s v="Patna"/>
    <s v="Sourav Das"/>
    <s v="Sourav Das"/>
    <x v="0"/>
    <x v="1"/>
    <s v="Air Conditioners"/>
    <s v="Voltas 1.5T Inverter Ac"/>
    <x v="0"/>
    <s v="Delivered"/>
    <n v="2"/>
    <n v="36030"/>
    <n v="0.15"/>
    <n v="20270"/>
    <n v="61251"/>
    <n v="40540"/>
    <n v="20711"/>
    <n v="0.33813325496726582"/>
  </r>
  <r>
    <x v="1095"/>
    <x v="461"/>
    <x v="1"/>
    <d v="1900-01-06T00:00:00"/>
    <x v="2"/>
    <s v="Lucknow"/>
    <s v="Aditya Verma"/>
    <s v="Aditya Verma"/>
    <x v="0"/>
    <x v="4"/>
    <s v="Activewear"/>
    <s v="Nivia Football Size 5"/>
    <x v="0"/>
    <s v="Shipped"/>
    <n v="35"/>
    <n v="860"/>
    <n v="0.05"/>
    <n v="530"/>
    <n v="28595"/>
    <n v="18550"/>
    <n v="10045"/>
    <n v="0.35128518971848227"/>
  </r>
  <r>
    <x v="1096"/>
    <x v="462"/>
    <x v="1"/>
    <d v="1900-01-06T00:00:00"/>
    <x v="1"/>
    <s v="Patna"/>
    <s v="Ritika Ghosh"/>
    <s v="Ritika Ghosh"/>
    <x v="3"/>
    <x v="1"/>
    <s v="Refrigerators"/>
    <s v="Samsung 192L Single Door"/>
    <x v="0"/>
    <s v="Pending"/>
    <n v="13"/>
    <n v="16110"/>
    <n v="0.1"/>
    <n v="11250"/>
    <n v="188487"/>
    <n v="146250"/>
    <n v="42237"/>
    <n v="0.22408441961514589"/>
  </r>
  <r>
    <x v="1097"/>
    <x v="463"/>
    <x v="1"/>
    <d v="1900-01-06T00:00:00"/>
    <x v="4"/>
    <s v="Indore"/>
    <s v="Pooja Chouhan"/>
    <s v="Pooja Chouhan"/>
    <x v="2"/>
    <x v="2"/>
    <s v="Footwear"/>
    <s v="Nike Revolution 7"/>
    <x v="1"/>
    <s v="Delivered"/>
    <n v="6"/>
    <n v="3660"/>
    <n v="0.1"/>
    <n v="2550"/>
    <n v="19764"/>
    <n v="15300"/>
    <n v="4464"/>
    <n v="0.22586520947176686"/>
  </r>
  <r>
    <x v="1098"/>
    <x v="463"/>
    <x v="1"/>
    <d v="1900-01-06T00:00:00"/>
    <x v="2"/>
    <s v="Gurugram"/>
    <s v="Rohit Malhotra"/>
    <s v="Rohit Malhotra"/>
    <x v="0"/>
    <x v="0"/>
    <s v="Audio Devices"/>
    <s v="Sony Wh-Ch720N"/>
    <x v="0"/>
    <s v="Delivered"/>
    <n v="12"/>
    <n v="8370"/>
    <n v="0.18"/>
    <n v="6210"/>
    <n v="82360.800000000003"/>
    <n v="74520"/>
    <n v="7840.8000000000029"/>
    <n v="9.5200629425649122E-2"/>
  </r>
  <r>
    <x v="1099"/>
    <x v="463"/>
    <x v="1"/>
    <d v="1900-01-06T00:00:00"/>
    <x v="3"/>
    <s v="Kochi"/>
    <s v="Anjali Menon"/>
    <s v="Anjali Menon"/>
    <x v="0"/>
    <x v="2"/>
    <s v="Accessories"/>
    <s v="Wildcraft 35L Backpack"/>
    <x v="2"/>
    <s v="Shipped"/>
    <n v="14"/>
    <n v="1940"/>
    <n v="0.1"/>
    <n v="1100"/>
    <n v="24444"/>
    <n v="15400"/>
    <n v="9044"/>
    <n v="0.36998854524627722"/>
  </r>
  <r>
    <x v="1100"/>
    <x v="464"/>
    <x v="1"/>
    <d v="1900-01-06T00:00:00"/>
    <x v="1"/>
    <s v="Kolkata"/>
    <s v="Ritika Ghosh"/>
    <s v="Ritika Ghosh"/>
    <x v="0"/>
    <x v="4"/>
    <s v="Sports Gear"/>
    <s v="Sg Cricket Bat English Willow"/>
    <x v="0"/>
    <s v="Delivered"/>
    <n v="15"/>
    <n v="4710"/>
    <n v="0.15"/>
    <n v="3680"/>
    <n v="60052.5"/>
    <n v="55200"/>
    <n v="4852.5"/>
    <n v="8.0804296240789303E-2"/>
  </r>
  <r>
    <x v="1101"/>
    <x v="464"/>
    <x v="1"/>
    <d v="1900-01-06T00:00:00"/>
    <x v="1"/>
    <s v="Siliguri"/>
    <s v="Ritika Ghosh"/>
    <s v="Ritika Ghosh"/>
    <x v="3"/>
    <x v="1"/>
    <s v="Washing Machines"/>
    <s v="Whirlpool Semi Auto 7.5Kg"/>
    <x v="0"/>
    <s v="Delivered"/>
    <n v="11"/>
    <n v="13950"/>
    <n v="0.12"/>
    <n v="10420"/>
    <n v="135036"/>
    <n v="114620"/>
    <n v="20416"/>
    <n v="0.15118931247963507"/>
  </r>
  <r>
    <x v="1102"/>
    <x v="465"/>
    <x v="1"/>
    <d v="1900-01-06T00:00:00"/>
    <x v="4"/>
    <s v="Ujjain"/>
    <s v="Manish Tiwari"/>
    <s v="Manish Tiwari"/>
    <x v="3"/>
    <x v="3"/>
    <s v="Sofas"/>
    <s v="3-Seater Fabric Sofa"/>
    <x v="1"/>
    <s v="Pending"/>
    <n v="7"/>
    <n v="32520"/>
    <n v="0.1"/>
    <n v="20480"/>
    <n v="204876"/>
    <n v="143360"/>
    <n v="61516"/>
    <n v="0.30025966926335929"/>
  </r>
  <r>
    <x v="1103"/>
    <x v="466"/>
    <x v="1"/>
    <d v="1900-01-06T00:00:00"/>
    <x v="3"/>
    <s v="Bengaluru"/>
    <s v="Anjali Menon"/>
    <s v="Anjali Menon"/>
    <x v="0"/>
    <x v="1"/>
    <s v="Air Conditioners"/>
    <s v="Daikin 1.5T Split Ac"/>
    <x v="2"/>
    <s v="Delivered"/>
    <n v="1"/>
    <n v="40960"/>
    <n v="0"/>
    <n v="28830"/>
    <n v="40960"/>
    <n v="28830"/>
    <n v="12130"/>
    <n v="0.296142578125"/>
  </r>
  <r>
    <x v="1104"/>
    <x v="467"/>
    <x v="1"/>
    <d v="1900-01-06T00:00:00"/>
    <x v="0"/>
    <s v="Mumbai"/>
    <s v="Neha Deshpande"/>
    <s v="Neha Deshpande"/>
    <x v="2"/>
    <x v="0"/>
    <s v="Mobile Phones"/>
    <s v="Redmi Note 14"/>
    <x v="2"/>
    <s v="Pending"/>
    <n v="6"/>
    <n v="19170"/>
    <n v="0.12"/>
    <n v="14520"/>
    <n v="101217.60000000001"/>
    <n v="87120"/>
    <n v="14097.600000000006"/>
    <n v="0.13928012519561819"/>
  </r>
  <r>
    <x v="1105"/>
    <x v="468"/>
    <x v="1"/>
    <d v="1900-01-06T00:00:00"/>
    <x v="3"/>
    <s v="Chennai"/>
    <s v="Karthik Raman"/>
    <s v="Karthik Raman"/>
    <x v="0"/>
    <x v="0"/>
    <s v="Audio Devices"/>
    <s v="Jbl Flip 6"/>
    <x v="2"/>
    <s v="Delivered"/>
    <n v="4"/>
    <n v="9600"/>
    <n v="0.18"/>
    <n v="6670"/>
    <n v="31488.000000000004"/>
    <n v="26680"/>
    <n v="4808.0000000000036"/>
    <n v="0.15269308943089441"/>
  </r>
  <r>
    <x v="1106"/>
    <x v="468"/>
    <x v="1"/>
    <d v="1900-01-06T00:00:00"/>
    <x v="0"/>
    <s v="Ahmedabad"/>
    <s v="Neha Deshpande"/>
    <s v="Neha Deshpande"/>
    <x v="2"/>
    <x v="1"/>
    <s v="Kitchen Appliances"/>
    <s v="Pigeon Induction Cooktop"/>
    <x v="0"/>
    <s v="Delivered"/>
    <n v="26"/>
    <n v="2750"/>
    <n v="0.1"/>
    <n v="1570"/>
    <n v="64350"/>
    <n v="40820"/>
    <n v="23530"/>
    <n v="0.36565656565656568"/>
  </r>
  <r>
    <x v="1107"/>
    <x v="468"/>
    <x v="1"/>
    <d v="1900-01-06T00:00:00"/>
    <x v="0"/>
    <s v="Nagpur"/>
    <s v="Prateek Shah"/>
    <s v="Prateek Shah"/>
    <x v="0"/>
    <x v="4"/>
    <s v="Sports Gear"/>
    <s v="Yonex Badminton Racket"/>
    <x v="0"/>
    <s v="Delivered"/>
    <n v="15"/>
    <n v="3130"/>
    <n v="0.15"/>
    <n v="2220"/>
    <n v="39907.5"/>
    <n v="33300"/>
    <n v="6607.5"/>
    <n v="0.16557038150723549"/>
  </r>
  <r>
    <x v="1108"/>
    <x v="468"/>
    <x v="1"/>
    <d v="1900-01-06T00:00:00"/>
    <x v="2"/>
    <s v="Delhi"/>
    <s v="Aditya Verma"/>
    <s v="Aditya Verma"/>
    <x v="0"/>
    <x v="0"/>
    <s v="Televisions"/>
    <s v="Samsung Crystal 4K 55 Inch"/>
    <x v="0"/>
    <s v="Delivered"/>
    <n v="1"/>
    <n v="51970"/>
    <n v="0.15"/>
    <n v="35150"/>
    <n v="44174.5"/>
    <n v="35150"/>
    <n v="9024.5"/>
    <n v="0.20429206895380819"/>
  </r>
  <r>
    <x v="1109"/>
    <x v="468"/>
    <x v="1"/>
    <d v="1900-01-06T00:00:00"/>
    <x v="4"/>
    <s v="Raipur"/>
    <s v="Pooja Chouhan"/>
    <s v="Pooja Chouhan"/>
    <x v="0"/>
    <x v="2"/>
    <s v="Apparel"/>
    <s v="Us Polo T-Shirt"/>
    <x v="0"/>
    <s v="Returned"/>
    <n v="18"/>
    <n v="1260"/>
    <n v="0.18"/>
    <n v="760"/>
    <n v="18597.600000000002"/>
    <n v="13680"/>
    <n v="4917.6000000000022"/>
    <n v="0.2644212156407279"/>
  </r>
  <r>
    <x v="1110"/>
    <x v="469"/>
    <x v="1"/>
    <d v="1900-01-06T00:00:00"/>
    <x v="3"/>
    <s v="Visakhapatnam"/>
    <s v="Divya Nair"/>
    <s v="Divya Nair"/>
    <x v="2"/>
    <x v="3"/>
    <s v="Storage"/>
    <s v="3-Door Wardrobe"/>
    <x v="1"/>
    <s v="Delivered"/>
    <n v="8"/>
    <n v="27790"/>
    <n v="0.1"/>
    <n v="21650"/>
    <n v="200088"/>
    <n v="173200"/>
    <n v="26888"/>
    <n v="0.13438087241613689"/>
  </r>
  <r>
    <x v="1111"/>
    <x v="470"/>
    <x v="1"/>
    <d v="1900-01-06T00:00:00"/>
    <x v="1"/>
    <s v="Guwahati"/>
    <s v="Sourav Das"/>
    <s v="Sourav Das"/>
    <x v="0"/>
    <x v="1"/>
    <s v="Air Conditioners"/>
    <s v="Daikin 1.5T Split Ac"/>
    <x v="1"/>
    <s v="Delivered"/>
    <n v="3"/>
    <n v="41560"/>
    <n v="0"/>
    <n v="25190"/>
    <n v="124680"/>
    <n v="75570"/>
    <n v="49110"/>
    <n v="0.39388835418671797"/>
  </r>
  <r>
    <x v="1112"/>
    <x v="470"/>
    <x v="1"/>
    <d v="1900-01-06T00:00:00"/>
    <x v="0"/>
    <s v="Nagpur"/>
    <s v="Imran Sheikh"/>
    <s v="Imran Sheikh"/>
    <x v="3"/>
    <x v="0"/>
    <s v="Televisions"/>
    <s v="Mi Tv 5X 43 Inch"/>
    <x v="0"/>
    <s v="Delivered"/>
    <n v="3"/>
    <n v="32030"/>
    <n v="0.05"/>
    <n v="20250"/>
    <n v="91285.5"/>
    <n v="60750"/>
    <n v="30535.5"/>
    <n v="0.33450548005981234"/>
  </r>
  <r>
    <x v="1113"/>
    <x v="470"/>
    <x v="1"/>
    <d v="1900-01-06T00:00:00"/>
    <x v="0"/>
    <s v="Mumbai"/>
    <s v="Prateek Shah"/>
    <s v="Prateek Shah"/>
    <x v="0"/>
    <x v="1"/>
    <s v="Air Conditioners"/>
    <s v="Voltas 1.5T Inverter Ac"/>
    <x v="0"/>
    <s v="Delivered"/>
    <n v="1"/>
    <n v="35680"/>
    <n v="0.08"/>
    <n v="23000"/>
    <n v="32825.599999999999"/>
    <n v="23000"/>
    <n v="9825.5999999999985"/>
    <n v="0.29932735426008966"/>
  </r>
  <r>
    <x v="1114"/>
    <x v="470"/>
    <x v="1"/>
    <d v="1900-01-06T00:00:00"/>
    <x v="2"/>
    <s v="Gurugram"/>
    <s v="Rohit Malhotra"/>
    <s v="Rohit Malhotra"/>
    <x v="2"/>
    <x v="1"/>
    <s v="Kitchen Appliances"/>
    <s v="Pigeon Induction Cooktop"/>
    <x v="0"/>
    <s v="Returned"/>
    <n v="29"/>
    <n v="2520"/>
    <n v="0.18"/>
    <n v="1580"/>
    <n v="59925.600000000006"/>
    <n v="45820"/>
    <n v="14105.600000000006"/>
    <n v="0.23538521099496718"/>
  </r>
  <r>
    <x v="1115"/>
    <x v="471"/>
    <x v="1"/>
    <d v="1900-01-06T00:00:00"/>
    <x v="0"/>
    <s v="Ahmedabad"/>
    <s v="Neha Deshpande"/>
    <s v="Neha Deshpande"/>
    <x v="3"/>
    <x v="0"/>
    <s v="Televisions"/>
    <s v="Samsung Crystal 4K 55 Inch"/>
    <x v="0"/>
    <s v="Returned"/>
    <n v="7"/>
    <n v="52550"/>
    <n v="0.15"/>
    <n v="39310"/>
    <n v="312672.5"/>
    <n v="275170"/>
    <n v="37502.5"/>
    <n v="0.11994179213074382"/>
  </r>
  <r>
    <x v="1116"/>
    <x v="471"/>
    <x v="1"/>
    <d v="1900-01-06T00:00:00"/>
    <x v="0"/>
    <s v="Mumbai"/>
    <s v="Prateek Shah"/>
    <s v="Prateek Shah"/>
    <x v="2"/>
    <x v="1"/>
    <s v="Washing Machines"/>
    <s v="Ifb Front Load 7Kg"/>
    <x v="0"/>
    <s v="Delivered"/>
    <n v="1"/>
    <n v="33870"/>
    <n v="0.1"/>
    <n v="24070"/>
    <n v="30483"/>
    <n v="24070"/>
    <n v="6413"/>
    <n v="0.21037955581799692"/>
  </r>
  <r>
    <x v="1117"/>
    <x v="472"/>
    <x v="1"/>
    <d v="1900-01-06T00:00:00"/>
    <x v="4"/>
    <s v="Indore"/>
    <s v="Manish Tiwari"/>
    <s v="Manish Tiwari"/>
    <x v="0"/>
    <x v="4"/>
    <s v="Fitness Equipment"/>
    <s v="Home Foldable Treadmill"/>
    <x v="1"/>
    <s v="Delivered"/>
    <n v="4"/>
    <n v="42350"/>
    <n v="0.1"/>
    <n v="24780"/>
    <n v="152460"/>
    <n v="99120"/>
    <n v="53340"/>
    <n v="0.34986225895316803"/>
  </r>
  <r>
    <x v="1118"/>
    <x v="472"/>
    <x v="1"/>
    <d v="1900-01-06T00:00:00"/>
    <x v="0"/>
    <s v="Surat"/>
    <s v="Neha Deshpande"/>
    <s v="Neha Deshpande"/>
    <x v="0"/>
    <x v="1"/>
    <s v="Kitchen Appliances"/>
    <s v="Prestige Mixer Grinder"/>
    <x v="0"/>
    <s v="Delivered"/>
    <n v="13"/>
    <n v="4330"/>
    <n v="0.1"/>
    <n v="2510"/>
    <n v="50661"/>
    <n v="32630"/>
    <n v="18031"/>
    <n v="0.35591480626122657"/>
  </r>
  <r>
    <x v="1119"/>
    <x v="473"/>
    <x v="1"/>
    <d v="1900-01-06T00:00:00"/>
    <x v="0"/>
    <s v="Pune"/>
    <s v="Neha Deshpande"/>
    <s v="Neha Deshpande"/>
    <x v="0"/>
    <x v="3"/>
    <s v="Storage"/>
    <s v="3-Door Wardrobe"/>
    <x v="2"/>
    <s v="Returned"/>
    <n v="3"/>
    <n v="29500"/>
    <n v="0.25"/>
    <n v="18520"/>
    <n v="66375"/>
    <n v="55560"/>
    <n v="10815"/>
    <n v="0.16293785310734463"/>
  </r>
  <r>
    <x v="1120"/>
    <x v="473"/>
    <x v="1"/>
    <d v="1900-01-06T00:00:00"/>
    <x v="3"/>
    <s v="Chennai"/>
    <s v="Anjali Menon"/>
    <s v="Anjali Menon"/>
    <x v="2"/>
    <x v="0"/>
    <s v="Televisions"/>
    <s v="Samsung Crystal 4K 55 Inch"/>
    <x v="0"/>
    <s v="Delivered"/>
    <n v="1"/>
    <n v="51370"/>
    <n v="0.05"/>
    <n v="32860"/>
    <n v="48801.5"/>
    <n v="32860"/>
    <n v="15941.5"/>
    <n v="0.32666004118725861"/>
  </r>
  <r>
    <x v="1121"/>
    <x v="473"/>
    <x v="1"/>
    <d v="1900-01-06T00:00:00"/>
    <x v="2"/>
    <s v="Delhi"/>
    <s v="Rohit Malhotra"/>
    <s v="Rohit Malhotra"/>
    <x v="0"/>
    <x v="0"/>
    <s v="Televisions"/>
    <s v="Mi Tv 5X 43 Inch"/>
    <x v="1"/>
    <s v="Delivered"/>
    <n v="2"/>
    <n v="30830"/>
    <n v="0.2"/>
    <n v="17310"/>
    <n v="49328"/>
    <n v="34620"/>
    <n v="14708"/>
    <n v="0.29816736944534544"/>
  </r>
  <r>
    <x v="1122"/>
    <x v="474"/>
    <x v="1"/>
    <d v="1900-01-06T00:00:00"/>
    <x v="1"/>
    <s v="Siliguri"/>
    <s v="Ritika Ghosh"/>
    <s v="Ritika Ghosh"/>
    <x v="1"/>
    <x v="2"/>
    <s v="Accessories"/>
    <s v="Wildcraft 35L Backpack"/>
    <x v="1"/>
    <s v="Pending"/>
    <n v="79"/>
    <n v="1960"/>
    <n v="0.1"/>
    <n v="1220"/>
    <n v="139356"/>
    <n v="96380"/>
    <n v="42976"/>
    <n v="0.30839002267573695"/>
  </r>
  <r>
    <x v="1123"/>
    <x v="474"/>
    <x v="1"/>
    <d v="1900-01-06T00:00:00"/>
    <x v="2"/>
    <s v="Lucknow"/>
    <s v="Aditya Verma"/>
    <s v="Aditya Verma"/>
    <x v="0"/>
    <x v="2"/>
    <s v="Apparel"/>
    <s v="Us Polo T-Shirt"/>
    <x v="0"/>
    <s v="Shipped"/>
    <n v="26"/>
    <n v="1210"/>
    <n v="0"/>
    <n v="760"/>
    <n v="31460"/>
    <n v="19760"/>
    <n v="11700"/>
    <n v="0.37190082644628097"/>
  </r>
  <r>
    <x v="1124"/>
    <x v="474"/>
    <x v="1"/>
    <d v="1900-01-06T00:00:00"/>
    <x v="2"/>
    <s v="Noida"/>
    <s v="Aditya Verma"/>
    <s v="Aditya Verma"/>
    <x v="1"/>
    <x v="2"/>
    <s v="Accessories"/>
    <s v="Fastrack Analog Watch"/>
    <x v="0"/>
    <s v="Returned"/>
    <n v="33"/>
    <n v="2380"/>
    <n v="0.2"/>
    <n v="1380"/>
    <n v="62832"/>
    <n v="45540"/>
    <n v="17292"/>
    <n v="0.27521008403361347"/>
  </r>
  <r>
    <x v="1125"/>
    <x v="475"/>
    <x v="1"/>
    <d v="1900-01-06T00:00:00"/>
    <x v="3"/>
    <s v="Hyderabad"/>
    <s v="Karthik Raman"/>
    <s v="Karthik Raman"/>
    <x v="2"/>
    <x v="3"/>
    <s v="Tables"/>
    <s v="6-Seater Dining Table"/>
    <x v="2"/>
    <s v="Delivered"/>
    <n v="1"/>
    <n v="24200"/>
    <n v="0.15"/>
    <n v="16070"/>
    <n v="20570"/>
    <n v="16070"/>
    <n v="4500"/>
    <n v="0.21876519202722411"/>
  </r>
  <r>
    <x v="1126"/>
    <x v="476"/>
    <x v="1"/>
    <d v="1900-01-06T00:00:00"/>
    <x v="2"/>
    <s v="Gurugram"/>
    <s v="Simran Kaur"/>
    <s v="Simran Kaur"/>
    <x v="0"/>
    <x v="1"/>
    <s v="Washing Machines"/>
    <s v="Ifb Front Load 7Kg"/>
    <x v="1"/>
    <s v="Delivered"/>
    <n v="2"/>
    <n v="33680"/>
    <n v="0.05"/>
    <n v="22780"/>
    <n v="63992"/>
    <n v="45560"/>
    <n v="18432"/>
    <n v="0.28803600450056255"/>
  </r>
  <r>
    <x v="1127"/>
    <x v="477"/>
    <x v="1"/>
    <d v="1900-01-06T00:00:00"/>
    <x v="2"/>
    <s v="Delhi"/>
    <s v="Aditya Verma"/>
    <s v="Aditya Verma"/>
    <x v="3"/>
    <x v="3"/>
    <s v="Storage"/>
    <s v="Metal Shoe Rack"/>
    <x v="0"/>
    <s v="Shipped"/>
    <n v="5"/>
    <n v="3420"/>
    <n v="0.05"/>
    <n v="2030"/>
    <n v="16245"/>
    <n v="10150"/>
    <n v="6095"/>
    <n v="0.3751923668821176"/>
  </r>
  <r>
    <x v="1128"/>
    <x v="478"/>
    <x v="1"/>
    <d v="1900-01-06T00:00:00"/>
    <x v="2"/>
    <s v="Lucknow"/>
    <s v="Simran Kaur"/>
    <s v="Simran Kaur"/>
    <x v="2"/>
    <x v="1"/>
    <s v="Kitchen Appliances"/>
    <s v="Philips Air Fryer"/>
    <x v="0"/>
    <s v="Delivered"/>
    <n v="8"/>
    <n v="9040"/>
    <n v="0.05"/>
    <n v="5960"/>
    <n v="68704"/>
    <n v="47680"/>
    <n v="21024"/>
    <n v="0.30600838379133677"/>
  </r>
  <r>
    <x v="1129"/>
    <x v="479"/>
    <x v="1"/>
    <d v="1900-01-07T00:00:00"/>
    <x v="4"/>
    <s v="Raipur"/>
    <s v="Pooja Chouhan"/>
    <s v="Pooja Chouhan"/>
    <x v="0"/>
    <x v="3"/>
    <s v="Sofas"/>
    <s v="3-Seater Fabric Sofa"/>
    <x v="2"/>
    <s v="Pending"/>
    <n v="3"/>
    <n v="31710"/>
    <n v="0.18"/>
    <n v="23830"/>
    <n v="78006.600000000006"/>
    <n v="71490"/>
    <n v="6516.6000000000058"/>
    <n v="8.3539085154333156E-2"/>
  </r>
  <r>
    <x v="1130"/>
    <x v="479"/>
    <x v="1"/>
    <d v="1900-01-07T00:00:00"/>
    <x v="3"/>
    <s v="Chennai"/>
    <s v="Anjali Menon"/>
    <s v="Anjali Menon"/>
    <x v="0"/>
    <x v="1"/>
    <s v="Washing Machines"/>
    <s v="Ifb Front Load 7Kg"/>
    <x v="1"/>
    <s v="Delivered"/>
    <n v="2"/>
    <n v="32310"/>
    <n v="0.08"/>
    <n v="21130"/>
    <n v="59450.400000000001"/>
    <n v="42260"/>
    <n v="17190.400000000001"/>
    <n v="0.28915532948474698"/>
  </r>
  <r>
    <x v="1131"/>
    <x v="479"/>
    <x v="1"/>
    <d v="1900-01-07T00:00:00"/>
    <x v="3"/>
    <s v="Chennai"/>
    <s v="Anjali Menon"/>
    <s v="Anjali Menon"/>
    <x v="3"/>
    <x v="3"/>
    <s v="Storage"/>
    <s v="3-Door Wardrobe"/>
    <x v="0"/>
    <s v="Delivered"/>
    <n v="5"/>
    <n v="30130"/>
    <n v="0"/>
    <n v="20510"/>
    <n v="150650"/>
    <n v="102550"/>
    <n v="48100"/>
    <n v="0.31928310653833386"/>
  </r>
  <r>
    <x v="1132"/>
    <x v="479"/>
    <x v="1"/>
    <d v="1900-01-07T00:00:00"/>
    <x v="2"/>
    <s v="Noida"/>
    <s v="Aditya Verma"/>
    <s v="Aditya Verma"/>
    <x v="3"/>
    <x v="0"/>
    <s v="Laptops"/>
    <s v="Dell Inspiron 3520"/>
    <x v="1"/>
    <s v="Shipped"/>
    <n v="6"/>
    <n v="57110"/>
    <n v="0.2"/>
    <n v="39180"/>
    <n v="274128"/>
    <n v="235080"/>
    <n v="39048"/>
    <n v="0.14244440553318158"/>
  </r>
  <r>
    <x v="1133"/>
    <x v="479"/>
    <x v="1"/>
    <d v="1900-01-07T00:00:00"/>
    <x v="4"/>
    <s v="Gwalior"/>
    <s v="Manish Tiwari"/>
    <s v="Manish Tiwari"/>
    <x v="0"/>
    <x v="2"/>
    <s v="Accessories"/>
    <s v="Fastrack Analog Watch"/>
    <x v="0"/>
    <s v="Pending"/>
    <n v="13"/>
    <n v="2560"/>
    <n v="0.18"/>
    <n v="1610"/>
    <n v="27289.600000000002"/>
    <n v="20930"/>
    <n v="6359.6000000000022"/>
    <n v="0.23304115853658544"/>
  </r>
  <r>
    <x v="1134"/>
    <x v="480"/>
    <x v="1"/>
    <d v="1900-01-07T00:00:00"/>
    <x v="3"/>
    <s v="Chennai"/>
    <s v="Karthik Raman"/>
    <s v="Karthik Raman"/>
    <x v="3"/>
    <x v="0"/>
    <s v="Laptops"/>
    <s v="Hp Pavilion 15"/>
    <x v="1"/>
    <s v="Delivered"/>
    <n v="4"/>
    <n v="60610"/>
    <n v="0"/>
    <n v="44860"/>
    <n v="242440"/>
    <n v="179440"/>
    <n v="63000"/>
    <n v="0.25985810922290054"/>
  </r>
  <r>
    <x v="1135"/>
    <x v="480"/>
    <x v="1"/>
    <d v="1900-01-07T00:00:00"/>
    <x v="1"/>
    <s v="Kolkata"/>
    <s v="Ritika Ghosh"/>
    <s v="Ritika Ghosh"/>
    <x v="2"/>
    <x v="4"/>
    <s v="Activewear"/>
    <s v="Puma Track Pants"/>
    <x v="1"/>
    <s v="Delivered"/>
    <n v="14"/>
    <n v="1640"/>
    <n v="0.12"/>
    <n v="1050"/>
    <n v="20204.8"/>
    <n v="14700"/>
    <n v="5504.7999999999993"/>
    <n v="0.27245011086474497"/>
  </r>
  <r>
    <x v="1136"/>
    <x v="480"/>
    <x v="1"/>
    <d v="1900-01-07T00:00:00"/>
    <x v="2"/>
    <s v="Gurugram"/>
    <s v="Simran Kaur"/>
    <s v="Simran Kaur"/>
    <x v="1"/>
    <x v="1"/>
    <s v="Washing Machines"/>
    <s v="Ifb Front Load 7Kg"/>
    <x v="0"/>
    <s v="Delivered"/>
    <n v="5"/>
    <n v="33910"/>
    <n v="0.12"/>
    <n v="25150"/>
    <n v="149204"/>
    <n v="125750"/>
    <n v="23454"/>
    <n v="0.15719417709980965"/>
  </r>
  <r>
    <x v="1137"/>
    <x v="481"/>
    <x v="1"/>
    <d v="1900-01-07T00:00:00"/>
    <x v="3"/>
    <s v="Hyderabad"/>
    <s v="Anjali Menon"/>
    <s v="Anjali Menon"/>
    <x v="0"/>
    <x v="3"/>
    <s v="Office Chairs"/>
    <s v="Green Soul Ergonomic Chair"/>
    <x v="2"/>
    <s v="Delivered"/>
    <n v="8"/>
    <n v="12410"/>
    <n v="0.08"/>
    <n v="8190"/>
    <n v="91337.600000000006"/>
    <n v="65520"/>
    <n v="25817.600000000006"/>
    <n v="0.28266124794170205"/>
  </r>
  <r>
    <x v="1138"/>
    <x v="481"/>
    <x v="1"/>
    <d v="1900-01-07T00:00:00"/>
    <x v="3"/>
    <s v="Kochi"/>
    <s v="Anjali Menon"/>
    <s v="Anjali Menon"/>
    <x v="0"/>
    <x v="1"/>
    <s v="Kitchen Appliances"/>
    <s v="Pigeon Induction Cooktop"/>
    <x v="2"/>
    <s v="Delivered"/>
    <n v="37"/>
    <n v="2660"/>
    <n v="0.12"/>
    <n v="1500"/>
    <n v="86609.600000000006"/>
    <n v="55500"/>
    <n v="31109.600000000006"/>
    <n v="0.35919343814080662"/>
  </r>
  <r>
    <x v="1139"/>
    <x v="481"/>
    <x v="1"/>
    <d v="1900-01-07T00:00:00"/>
    <x v="2"/>
    <s v="Chandigarh"/>
    <s v="Aditya Verma"/>
    <s v="Aditya Verma"/>
    <x v="0"/>
    <x v="2"/>
    <s v="Accessories"/>
    <s v="Wildcraft 35L Backpack"/>
    <x v="1"/>
    <s v="Returned"/>
    <n v="20"/>
    <n v="1820"/>
    <n v="0.12"/>
    <n v="1080"/>
    <n v="32032"/>
    <n v="21600"/>
    <n v="10432"/>
    <n v="0.32567432567432569"/>
  </r>
  <r>
    <x v="1140"/>
    <x v="482"/>
    <x v="1"/>
    <d v="1900-01-07T00:00:00"/>
    <x v="0"/>
    <s v="Nashik"/>
    <s v="Imran Sheikh"/>
    <s v="Imran Sheikh"/>
    <x v="3"/>
    <x v="1"/>
    <s v="Kitchen Appliances"/>
    <s v="Prestige Mixer Grinder"/>
    <x v="1"/>
    <s v="Delivered"/>
    <n v="12"/>
    <n v="4480"/>
    <n v="0.05"/>
    <n v="3260"/>
    <n v="51072"/>
    <n v="39120"/>
    <n v="11952"/>
    <n v="0.23402255639097744"/>
  </r>
  <r>
    <x v="1141"/>
    <x v="483"/>
    <x v="1"/>
    <d v="1900-01-07T00:00:00"/>
    <x v="3"/>
    <s v="Chennai"/>
    <s v="Divya Nair"/>
    <s v="Divya Nair"/>
    <x v="3"/>
    <x v="1"/>
    <s v="Kitchen Appliances"/>
    <s v="Pigeon Induction Cooktop"/>
    <x v="0"/>
    <s v="Delivered"/>
    <n v="60"/>
    <n v="2800"/>
    <n v="0.25"/>
    <n v="2030"/>
    <n v="126000"/>
    <n v="121800"/>
    <n v="4200"/>
    <n v="3.3333333333333333E-2"/>
  </r>
  <r>
    <x v="1142"/>
    <x v="483"/>
    <x v="1"/>
    <d v="1900-01-07T00:00:00"/>
    <x v="3"/>
    <s v="Hyderabad"/>
    <s v="Karthik Raman"/>
    <s v="Karthik Raman"/>
    <x v="3"/>
    <x v="4"/>
    <s v="Sports Gear"/>
    <s v="Yonex Badminton Racket"/>
    <x v="0"/>
    <s v="Delivered"/>
    <n v="19"/>
    <n v="3290"/>
    <n v="0.15"/>
    <n v="2470"/>
    <n v="53133.5"/>
    <n v="46930"/>
    <n v="6203.5"/>
    <n v="0.11675308421240836"/>
  </r>
  <r>
    <x v="1143"/>
    <x v="484"/>
    <x v="1"/>
    <d v="1900-01-07T00:00:00"/>
    <x v="0"/>
    <s v="Ahmedabad"/>
    <s v="Imran Sheikh"/>
    <s v="Imran Sheikh"/>
    <x v="1"/>
    <x v="2"/>
    <s v="Accessories"/>
    <s v="Wildcraft 35L Backpack"/>
    <x v="0"/>
    <s v="Delivered"/>
    <n v="14"/>
    <n v="1830"/>
    <n v="0.05"/>
    <n v="1400"/>
    <n v="24339"/>
    <n v="19600"/>
    <n v="4739"/>
    <n v="0.19470808167960885"/>
  </r>
  <r>
    <x v="1144"/>
    <x v="484"/>
    <x v="1"/>
    <d v="1900-01-07T00:00:00"/>
    <x v="3"/>
    <s v="Hyderabad"/>
    <s v="Divya Nair"/>
    <s v="Divya Nair"/>
    <x v="0"/>
    <x v="4"/>
    <s v="Sports Gear"/>
    <s v="Sg Cricket Bat English Willow"/>
    <x v="0"/>
    <s v="Delivered"/>
    <n v="11"/>
    <n v="4520"/>
    <n v="0.1"/>
    <n v="2970"/>
    <n v="44748"/>
    <n v="32670"/>
    <n v="12078"/>
    <n v="0.26991150442477874"/>
  </r>
  <r>
    <x v="1145"/>
    <x v="485"/>
    <x v="1"/>
    <d v="1900-01-07T00:00:00"/>
    <x v="0"/>
    <s v="Surat"/>
    <s v="Prateek Shah"/>
    <s v="Prateek Shah"/>
    <x v="0"/>
    <x v="3"/>
    <s v="Office Chairs"/>
    <s v="Green Soul Ergonomic Chair"/>
    <x v="0"/>
    <s v="Delivered"/>
    <n v="4"/>
    <n v="12160"/>
    <n v="0"/>
    <n v="6980"/>
    <n v="48640"/>
    <n v="27920"/>
    <n v="20720"/>
    <n v="0.42598684210526316"/>
  </r>
  <r>
    <x v="1146"/>
    <x v="486"/>
    <x v="1"/>
    <d v="1900-01-07T00:00:00"/>
    <x v="4"/>
    <s v="Raipur"/>
    <s v="Manish Tiwari"/>
    <s v="Manish Tiwari"/>
    <x v="3"/>
    <x v="0"/>
    <s v="Laptops"/>
    <s v="Hp Pavilion 15"/>
    <x v="2"/>
    <s v="Delivered"/>
    <n v="6"/>
    <n v="64910"/>
    <n v="0.1"/>
    <n v="44220"/>
    <n v="350514"/>
    <n v="265320"/>
    <n v="85194"/>
    <n v="0.24305448569814614"/>
  </r>
  <r>
    <x v="1147"/>
    <x v="486"/>
    <x v="1"/>
    <d v="1900-01-07T00:00:00"/>
    <x v="1"/>
    <s v="Kolkata"/>
    <s v="Ritika Ghosh"/>
    <s v="Ritika Ghosh"/>
    <x v="2"/>
    <x v="0"/>
    <s v="Televisions"/>
    <s v="Samsung Crystal 4K 55 Inch"/>
    <x v="0"/>
    <s v="Delivered"/>
    <n v="2"/>
    <n v="51560"/>
    <n v="0.1"/>
    <n v="40120"/>
    <n v="92808"/>
    <n v="80240"/>
    <n v="12568"/>
    <n v="0.13541936039996552"/>
  </r>
  <r>
    <x v="1148"/>
    <x v="487"/>
    <x v="1"/>
    <d v="1900-01-07T00:00:00"/>
    <x v="3"/>
    <s v="Coimbatore"/>
    <s v="Karthik Raman"/>
    <s v="Karthik Raman"/>
    <x v="2"/>
    <x v="3"/>
    <s v="Tables"/>
    <s v="6-Seater Dining Table"/>
    <x v="2"/>
    <s v="Shipped"/>
    <n v="6"/>
    <n v="24670"/>
    <n v="0.08"/>
    <n v="18380"/>
    <n v="136178.4"/>
    <n v="110280"/>
    <n v="25898.399999999994"/>
    <n v="0.19017994043108155"/>
  </r>
  <r>
    <x v="1149"/>
    <x v="487"/>
    <x v="1"/>
    <d v="1900-01-07T00:00:00"/>
    <x v="0"/>
    <s v="Nagpur"/>
    <s v="Prateek Shah"/>
    <s v="Prateek Shah"/>
    <x v="2"/>
    <x v="0"/>
    <s v="Televisions"/>
    <s v="Mi Tv 5X 43 Inch"/>
    <x v="1"/>
    <s v="Delivered"/>
    <n v="3"/>
    <n v="30580"/>
    <n v="0"/>
    <n v="23340"/>
    <n v="91740"/>
    <n v="70020"/>
    <n v="21720"/>
    <n v="0.23675604970569"/>
  </r>
  <r>
    <x v="1150"/>
    <x v="488"/>
    <x v="1"/>
    <d v="1900-01-07T00:00:00"/>
    <x v="4"/>
    <s v="Indore"/>
    <s v="Manish Tiwari"/>
    <s v="Manish Tiwari"/>
    <x v="3"/>
    <x v="0"/>
    <s v="Mobile Phones"/>
    <s v="Redmi Note 14"/>
    <x v="1"/>
    <s v="Delivered"/>
    <n v="2"/>
    <n v="19220"/>
    <n v="0.25"/>
    <n v="14510"/>
    <n v="28830"/>
    <n v="29020"/>
    <n v="-190"/>
    <n v="-6.5903572667360385E-3"/>
  </r>
  <r>
    <x v="1151"/>
    <x v="488"/>
    <x v="1"/>
    <d v="1900-01-07T00:00:00"/>
    <x v="2"/>
    <s v="Chandigarh"/>
    <s v="Simran Kaur"/>
    <s v="Simran Kaur"/>
    <x v="2"/>
    <x v="4"/>
    <s v="Sports Gear"/>
    <s v="Yonex Badminton Racket"/>
    <x v="2"/>
    <s v="Delivered"/>
    <n v="14"/>
    <n v="3180"/>
    <n v="0.12"/>
    <n v="1820"/>
    <n v="39177.599999999999"/>
    <n v="25480"/>
    <n v="13697.599999999999"/>
    <n v="0.34962835906232131"/>
  </r>
  <r>
    <x v="1152"/>
    <x v="488"/>
    <x v="1"/>
    <d v="1900-01-07T00:00:00"/>
    <x v="0"/>
    <s v="Ahmedabad"/>
    <s v="Imran Sheikh"/>
    <s v="Imran Sheikh"/>
    <x v="0"/>
    <x v="2"/>
    <s v="Accessories"/>
    <s v="Fastrack Analog Watch"/>
    <x v="2"/>
    <s v="Delivered"/>
    <n v="8"/>
    <n v="2520"/>
    <n v="0.1"/>
    <n v="1940"/>
    <n v="18144"/>
    <n v="15520"/>
    <n v="2624"/>
    <n v="0.14462081128747795"/>
  </r>
  <r>
    <x v="1153"/>
    <x v="488"/>
    <x v="1"/>
    <d v="1900-01-07T00:00:00"/>
    <x v="3"/>
    <s v="Hyderabad"/>
    <s v="Anjali Menon"/>
    <s v="Anjali Menon"/>
    <x v="0"/>
    <x v="0"/>
    <s v="Laptops"/>
    <s v="Macbook Air M3"/>
    <x v="0"/>
    <s v="Delivered"/>
    <n v="4"/>
    <n v="101070"/>
    <n v="0"/>
    <n v="63390"/>
    <n v="404280"/>
    <n v="253560"/>
    <n v="150720"/>
    <n v="0.37281092312258829"/>
  </r>
  <r>
    <x v="1154"/>
    <x v="489"/>
    <x v="1"/>
    <d v="1900-01-07T00:00:00"/>
    <x v="2"/>
    <s v="Gurugram"/>
    <s v="Simran Kaur"/>
    <s v="Simran Kaur"/>
    <x v="3"/>
    <x v="2"/>
    <s v="Apparel"/>
    <s v="Allen Solly Formal Shirt"/>
    <x v="0"/>
    <s v="Delivered"/>
    <n v="41"/>
    <n v="1810"/>
    <n v="0.25"/>
    <n v="1030"/>
    <n v="55657.5"/>
    <n v="42230"/>
    <n v="13427.5"/>
    <n v="0.24125230202578268"/>
  </r>
  <r>
    <x v="1155"/>
    <x v="490"/>
    <x v="1"/>
    <d v="1900-01-07T00:00:00"/>
    <x v="3"/>
    <s v="Hyderabad"/>
    <s v="Divya Nair"/>
    <s v="Divya Nair"/>
    <x v="3"/>
    <x v="4"/>
    <s v="Sports Gear"/>
    <s v="Sg Cricket Bat English Willow"/>
    <x v="2"/>
    <s v="Delivered"/>
    <n v="4"/>
    <n v="4350"/>
    <n v="0.2"/>
    <n v="2450"/>
    <n v="13920"/>
    <n v="9800"/>
    <n v="4120"/>
    <n v="0.29597701149425287"/>
  </r>
  <r>
    <x v="1156"/>
    <x v="491"/>
    <x v="1"/>
    <d v="1900-01-07T00:00:00"/>
    <x v="4"/>
    <s v="Raipur"/>
    <s v="Pooja Chouhan"/>
    <s v="Pooja Chouhan"/>
    <x v="0"/>
    <x v="3"/>
    <s v="Sofas"/>
    <s v="3-Seater Fabric Sofa"/>
    <x v="1"/>
    <s v="Delivered"/>
    <n v="1"/>
    <n v="32920"/>
    <n v="0.05"/>
    <n v="21290"/>
    <n v="31274"/>
    <n v="21290"/>
    <n v="9984"/>
    <n v="0.31924282151307798"/>
  </r>
  <r>
    <x v="1157"/>
    <x v="491"/>
    <x v="1"/>
    <d v="1900-01-07T00:00:00"/>
    <x v="3"/>
    <s v="Kochi"/>
    <s v="Divya Nair"/>
    <s v="Divya Nair"/>
    <x v="0"/>
    <x v="0"/>
    <s v="Laptops"/>
    <s v="Macbook Air M3"/>
    <x v="0"/>
    <s v="Pending"/>
    <n v="3"/>
    <n v="101120"/>
    <n v="0.2"/>
    <n v="70470"/>
    <n v="242688"/>
    <n v="211410"/>
    <n v="31278"/>
    <n v="0.12888152689873417"/>
  </r>
  <r>
    <x v="1158"/>
    <x v="492"/>
    <x v="1"/>
    <d v="1900-01-07T00:00:00"/>
    <x v="2"/>
    <s v="Lucknow"/>
    <s v="Rohit Malhotra"/>
    <s v="Rohit Malhotra"/>
    <x v="1"/>
    <x v="0"/>
    <s v="Televisions"/>
    <s v="Mi Tv 5X 43 Inch"/>
    <x v="2"/>
    <s v="Delivered"/>
    <n v="2"/>
    <n v="30660"/>
    <n v="0.05"/>
    <n v="19450"/>
    <n v="58254"/>
    <n v="38900"/>
    <n v="19354"/>
    <n v="0.33223469632986574"/>
  </r>
  <r>
    <x v="1159"/>
    <x v="493"/>
    <x v="1"/>
    <d v="1900-01-07T00:00:00"/>
    <x v="3"/>
    <s v="Kochi"/>
    <s v="Anjali Menon"/>
    <s v="Anjali Menon"/>
    <x v="0"/>
    <x v="3"/>
    <s v="Sofas"/>
    <s v="3-Seater Fabric Sofa"/>
    <x v="1"/>
    <s v="Shipped"/>
    <n v="3"/>
    <n v="32160"/>
    <n v="0.05"/>
    <n v="23460"/>
    <n v="91656"/>
    <n v="70380"/>
    <n v="21276"/>
    <n v="0.23212882953652789"/>
  </r>
  <r>
    <x v="1160"/>
    <x v="494"/>
    <x v="1"/>
    <d v="1900-01-07T00:00:00"/>
    <x v="1"/>
    <s v="Siliguri"/>
    <s v="Ritika Ghosh"/>
    <s v="Ritika Ghosh"/>
    <x v="2"/>
    <x v="0"/>
    <s v="Audio Devices"/>
    <s v="Jbl Flip 6"/>
    <x v="1"/>
    <s v="Delivered"/>
    <n v="4"/>
    <n v="9070"/>
    <n v="0.12"/>
    <n v="5860"/>
    <n v="31926.400000000001"/>
    <n v="23440"/>
    <n v="8486.4000000000015"/>
    <n v="0.26581136614212691"/>
  </r>
  <r>
    <x v="1161"/>
    <x v="494"/>
    <x v="1"/>
    <d v="1900-01-07T00:00:00"/>
    <x v="4"/>
    <s v="Jabalpur"/>
    <s v="Pooja Chouhan"/>
    <s v="Pooja Chouhan"/>
    <x v="0"/>
    <x v="4"/>
    <s v="Sports Gear"/>
    <s v="Yonex Badminton Racket"/>
    <x v="0"/>
    <s v="Pending"/>
    <n v="11"/>
    <n v="3360"/>
    <n v="0.1"/>
    <n v="2460"/>
    <n v="33264"/>
    <n v="27060"/>
    <n v="6204"/>
    <n v="0.18650793650793651"/>
  </r>
  <r>
    <x v="1162"/>
    <x v="494"/>
    <x v="1"/>
    <d v="1900-01-07T00:00:00"/>
    <x v="3"/>
    <s v="Bengaluru"/>
    <s v="Anjali Menon"/>
    <s v="Anjali Menon"/>
    <x v="0"/>
    <x v="3"/>
    <s v="Storage"/>
    <s v="3-Door Wardrobe"/>
    <x v="0"/>
    <s v="Delivered"/>
    <n v="5"/>
    <n v="29910"/>
    <n v="0.15"/>
    <n v="18610"/>
    <n v="127117.5"/>
    <n v="93050"/>
    <n v="34067.5"/>
    <n v="0.26800007866737469"/>
  </r>
  <r>
    <x v="1163"/>
    <x v="494"/>
    <x v="1"/>
    <d v="1900-01-07T00:00:00"/>
    <x v="0"/>
    <s v="Nashik"/>
    <s v="Prateek Shah"/>
    <s v="Prateek Shah"/>
    <x v="3"/>
    <x v="3"/>
    <s v="Tables"/>
    <s v="6-Seater Dining Table"/>
    <x v="1"/>
    <s v="Delivered"/>
    <n v="12"/>
    <n v="22960"/>
    <n v="0.05"/>
    <n v="15620"/>
    <n v="261744"/>
    <n v="187440"/>
    <n v="74304"/>
    <n v="0.28388043278929032"/>
  </r>
  <r>
    <x v="1164"/>
    <x v="495"/>
    <x v="1"/>
    <d v="1900-01-07T00:00:00"/>
    <x v="0"/>
    <s v="Ahmedabad"/>
    <s v="Imran Sheikh"/>
    <s v="Imran Sheikh"/>
    <x v="0"/>
    <x v="2"/>
    <s v="Footwear"/>
    <s v="Bata Formal Shoes"/>
    <x v="0"/>
    <s v="Delivered"/>
    <n v="11"/>
    <n v="2120"/>
    <n v="0.05"/>
    <n v="1430"/>
    <n v="22154"/>
    <n v="15730"/>
    <n v="6424"/>
    <n v="0.28997020854021849"/>
  </r>
  <r>
    <x v="1165"/>
    <x v="495"/>
    <x v="1"/>
    <d v="1900-01-07T00:00:00"/>
    <x v="2"/>
    <s v="Gurugram"/>
    <s v="Simran Kaur"/>
    <s v="Simran Kaur"/>
    <x v="1"/>
    <x v="3"/>
    <s v="Sofas"/>
    <s v="Single Seater Recliner"/>
    <x v="0"/>
    <s v="Delivered"/>
    <n v="7"/>
    <n v="46100"/>
    <n v="0.18"/>
    <n v="30450"/>
    <n v="264614"/>
    <n v="213150"/>
    <n v="51464"/>
    <n v="0.19448706417649861"/>
  </r>
  <r>
    <x v="1166"/>
    <x v="495"/>
    <x v="1"/>
    <d v="1900-01-07T00:00:00"/>
    <x v="2"/>
    <s v="Noida"/>
    <s v="Rohit Malhotra"/>
    <s v="Rohit Malhotra"/>
    <x v="3"/>
    <x v="0"/>
    <s v="Televisions"/>
    <s v="Mi Tv 5X 43 Inch"/>
    <x v="0"/>
    <s v="Delivered"/>
    <n v="6"/>
    <n v="33390"/>
    <n v="0.2"/>
    <n v="22100"/>
    <n v="160272"/>
    <n v="132600"/>
    <n v="27672"/>
    <n v="0.17265648397723871"/>
  </r>
  <r>
    <x v="1167"/>
    <x v="495"/>
    <x v="1"/>
    <d v="1900-01-07T00:00:00"/>
    <x v="2"/>
    <s v="Lucknow"/>
    <s v="Aditya Verma"/>
    <s v="Aditya Verma"/>
    <x v="3"/>
    <x v="1"/>
    <s v="Air Conditioners"/>
    <s v="Voltas 1.5T Inverter Ac"/>
    <x v="0"/>
    <s v="Shipped"/>
    <n v="7"/>
    <n v="34880"/>
    <n v="0.05"/>
    <n v="25760"/>
    <n v="231952"/>
    <n v="180320"/>
    <n v="51632"/>
    <n v="0.22259777885079671"/>
  </r>
  <r>
    <x v="1168"/>
    <x v="496"/>
    <x v="1"/>
    <d v="1900-01-07T00:00:00"/>
    <x v="3"/>
    <s v="Hyderabad"/>
    <s v="Karthik Raman"/>
    <s v="Karthik Raman"/>
    <x v="0"/>
    <x v="4"/>
    <s v="Sports Gear"/>
    <s v="Yonex Badminton Racket"/>
    <x v="1"/>
    <s v="Delivered"/>
    <n v="14"/>
    <n v="3350"/>
    <n v="0.15"/>
    <n v="2040"/>
    <n v="39865"/>
    <n v="28560"/>
    <n v="11305"/>
    <n v="0.28358208955223879"/>
  </r>
  <r>
    <x v="1169"/>
    <x v="496"/>
    <x v="1"/>
    <d v="1900-01-07T00:00:00"/>
    <x v="2"/>
    <s v="Gurugram"/>
    <s v="Rohit Malhotra"/>
    <s v="Rohit Malhotra"/>
    <x v="2"/>
    <x v="0"/>
    <s v="Laptops"/>
    <s v="Dell Inspiron 3520"/>
    <x v="1"/>
    <s v="Delivered"/>
    <n v="1"/>
    <n v="53380"/>
    <n v="0"/>
    <n v="39810"/>
    <n v="53380"/>
    <n v="39810"/>
    <n v="13570"/>
    <n v="0.2542150618209067"/>
  </r>
  <r>
    <x v="1170"/>
    <x v="497"/>
    <x v="1"/>
    <d v="1900-01-07T00:00:00"/>
    <x v="0"/>
    <s v="Pune"/>
    <s v="Prateek Shah"/>
    <s v="Prateek Shah"/>
    <x v="0"/>
    <x v="2"/>
    <s v="Accessories"/>
    <s v="Wildcraft 35L Backpack"/>
    <x v="0"/>
    <s v="Delivered"/>
    <n v="3"/>
    <n v="1970"/>
    <n v="0.05"/>
    <n v="1470"/>
    <n v="5614.5"/>
    <n v="4410"/>
    <n v="1204.5"/>
    <n v="0.21453379641998396"/>
  </r>
  <r>
    <x v="1171"/>
    <x v="497"/>
    <x v="1"/>
    <d v="1900-01-07T00:00:00"/>
    <x v="3"/>
    <s v="Bengaluru"/>
    <s v="Anjali Menon"/>
    <s v="Anjali Menon"/>
    <x v="0"/>
    <x v="2"/>
    <s v="Apparel"/>
    <s v="Levis 511 Jeans"/>
    <x v="0"/>
    <s v="Shipped"/>
    <n v="27"/>
    <n v="2710"/>
    <n v="0.12"/>
    <n v="2080"/>
    <n v="64389.599999999999"/>
    <n v="56160"/>
    <n v="8229.5999999999985"/>
    <n v="0.12780945991278092"/>
  </r>
  <r>
    <x v="1172"/>
    <x v="497"/>
    <x v="1"/>
    <d v="1900-01-07T00:00:00"/>
    <x v="1"/>
    <s v="Kolkata"/>
    <s v="Sourav Das"/>
    <s v="Sourav Das"/>
    <x v="0"/>
    <x v="0"/>
    <s v="Laptops"/>
    <s v="Dell Inspiron 3520"/>
    <x v="0"/>
    <s v="Delivered"/>
    <n v="4"/>
    <n v="55840"/>
    <n v="0.12"/>
    <n v="37230"/>
    <n v="196556.79999999999"/>
    <n v="148920"/>
    <n v="47636.799999999988"/>
    <n v="0.24235640791872878"/>
  </r>
  <r>
    <x v="1173"/>
    <x v="498"/>
    <x v="1"/>
    <d v="1900-01-07T00:00:00"/>
    <x v="4"/>
    <s v="Raipur"/>
    <s v="Manish Tiwari"/>
    <s v="Manish Tiwari"/>
    <x v="2"/>
    <x v="1"/>
    <s v="Refrigerators"/>
    <s v="Lg 260L Double Door"/>
    <x v="0"/>
    <s v="Delivered"/>
    <n v="8"/>
    <n v="27890"/>
    <n v="0.2"/>
    <n v="16670"/>
    <n v="178496"/>
    <n v="133360"/>
    <n v="45136"/>
    <n v="0.25286841161706702"/>
  </r>
  <r>
    <x v="1174"/>
    <x v="498"/>
    <x v="1"/>
    <d v="1900-01-07T00:00:00"/>
    <x v="0"/>
    <s v="Surat"/>
    <s v="Neha Deshpande"/>
    <s v="Neha Deshpande"/>
    <x v="0"/>
    <x v="1"/>
    <s v="Washing Machines"/>
    <s v="Ifb Front Load 7Kg"/>
    <x v="1"/>
    <s v="Delivered"/>
    <n v="2"/>
    <n v="32530"/>
    <n v="0.05"/>
    <n v="22410"/>
    <n v="61807"/>
    <n v="44820"/>
    <n v="16987"/>
    <n v="0.27483941948323004"/>
  </r>
  <r>
    <x v="1175"/>
    <x v="498"/>
    <x v="1"/>
    <d v="1900-01-07T00:00:00"/>
    <x v="2"/>
    <s v="Chandigarh"/>
    <s v="Aditya Verma"/>
    <s v="Aditya Verma"/>
    <x v="0"/>
    <x v="0"/>
    <s v="Televisions"/>
    <s v="Mi Tv 5X 43 Inch"/>
    <x v="0"/>
    <s v="Delivered"/>
    <n v="3"/>
    <n v="31170"/>
    <n v="0.15"/>
    <n v="20020"/>
    <n v="79483.5"/>
    <n v="60060"/>
    <n v="19423.5"/>
    <n v="0.24437147332465228"/>
  </r>
  <r>
    <x v="1176"/>
    <x v="498"/>
    <x v="1"/>
    <d v="1900-01-07T00:00:00"/>
    <x v="2"/>
    <s v="Gurugram"/>
    <s v="Simran Kaur"/>
    <s v="Simran Kaur"/>
    <x v="1"/>
    <x v="3"/>
    <s v="Storage"/>
    <s v="3-Door Wardrobe"/>
    <x v="0"/>
    <s v="Pending"/>
    <n v="10"/>
    <n v="28050"/>
    <n v="0.05"/>
    <n v="16990"/>
    <n v="266475"/>
    <n v="169900"/>
    <n v="96575"/>
    <n v="0.36241673702974014"/>
  </r>
  <r>
    <x v="1177"/>
    <x v="498"/>
    <x v="1"/>
    <d v="1900-01-07T00:00:00"/>
    <x v="3"/>
    <s v="Hyderabad"/>
    <s v="Anjali Menon"/>
    <s v="Anjali Menon"/>
    <x v="1"/>
    <x v="1"/>
    <s v="Refrigerators"/>
    <s v="Samsung 192L Single Door"/>
    <x v="0"/>
    <s v="Delivered"/>
    <n v="15"/>
    <n v="15900"/>
    <n v="0.18"/>
    <n v="11070"/>
    <n v="195570.00000000003"/>
    <n v="166050"/>
    <n v="29520.000000000029"/>
    <n v="0.15094339622641523"/>
  </r>
  <r>
    <x v="1178"/>
    <x v="499"/>
    <x v="1"/>
    <d v="1900-01-07T00:00:00"/>
    <x v="3"/>
    <s v="Hyderabad"/>
    <s v="Divya Nair"/>
    <s v="Divya Nair"/>
    <x v="0"/>
    <x v="0"/>
    <s v="Audio Devices"/>
    <s v="Boat Airdopes 141"/>
    <x v="1"/>
    <s v="Delivered"/>
    <n v="15"/>
    <n v="1930"/>
    <n v="0"/>
    <n v="1150"/>
    <n v="28950"/>
    <n v="17250"/>
    <n v="11700"/>
    <n v="0.40414507772020725"/>
  </r>
  <r>
    <x v="1179"/>
    <x v="499"/>
    <x v="1"/>
    <d v="1900-01-07T00:00:00"/>
    <x v="1"/>
    <s v="Bhubaneswar"/>
    <s v="Sourav Das"/>
    <s v="Sourav Das"/>
    <x v="1"/>
    <x v="3"/>
    <s v="Sofas"/>
    <s v="3-Seater Fabric Sofa"/>
    <x v="0"/>
    <s v="Delivered"/>
    <n v="6"/>
    <n v="33020"/>
    <n v="0"/>
    <n v="21790"/>
    <n v="198120"/>
    <n v="130740"/>
    <n v="67380"/>
    <n v="0.34009691096305267"/>
  </r>
  <r>
    <x v="1180"/>
    <x v="499"/>
    <x v="1"/>
    <d v="1900-01-07T00:00:00"/>
    <x v="0"/>
    <s v="Nagpur"/>
    <s v="Imran Sheikh"/>
    <s v="Imran Sheikh"/>
    <x v="0"/>
    <x v="0"/>
    <s v="Televisions"/>
    <s v="Mi Tv 5X 43 Inch"/>
    <x v="0"/>
    <s v="Delivered"/>
    <n v="4"/>
    <n v="31020"/>
    <n v="0.15"/>
    <n v="19180"/>
    <n v="105468"/>
    <n v="76720"/>
    <n v="28748"/>
    <n v="0.27257556794477944"/>
  </r>
  <r>
    <x v="1181"/>
    <x v="500"/>
    <x v="1"/>
    <d v="1900-01-07T00:00:00"/>
    <x v="1"/>
    <s v="Bhubaneswar"/>
    <s v="Sourav Das"/>
    <s v="Sourav Das"/>
    <x v="1"/>
    <x v="2"/>
    <s v="Apparel"/>
    <s v="Allen Solly Formal Shirt"/>
    <x v="0"/>
    <s v="Delivered"/>
    <n v="53"/>
    <n v="1920"/>
    <n v="0.2"/>
    <n v="1280"/>
    <n v="81408"/>
    <n v="67840"/>
    <n v="13568"/>
    <n v="0.16666666666666666"/>
  </r>
  <r>
    <x v="1182"/>
    <x v="501"/>
    <x v="1"/>
    <d v="1900-01-07T00:00:00"/>
    <x v="0"/>
    <s v="Nagpur"/>
    <s v="Prateek Shah"/>
    <s v="Prateek Shah"/>
    <x v="0"/>
    <x v="0"/>
    <s v="Televisions"/>
    <s v="Mi Tv 5X 43 Inch"/>
    <x v="2"/>
    <s v="Delivered"/>
    <n v="2"/>
    <n v="32200"/>
    <n v="0.08"/>
    <n v="21050"/>
    <n v="59248"/>
    <n v="42100"/>
    <n v="17148"/>
    <n v="0.28942749122333244"/>
  </r>
  <r>
    <x v="1183"/>
    <x v="501"/>
    <x v="1"/>
    <d v="1900-01-07T00:00:00"/>
    <x v="3"/>
    <s v="Visakhapatnam"/>
    <s v="Karthik Raman"/>
    <s v="Karthik Raman"/>
    <x v="0"/>
    <x v="1"/>
    <s v="Air Conditioners"/>
    <s v="Voltas 1.5T Inverter Ac"/>
    <x v="0"/>
    <s v="Shipped"/>
    <n v="3"/>
    <n v="36510"/>
    <n v="0.18"/>
    <n v="28790"/>
    <n v="89814.6"/>
    <n v="86370"/>
    <n v="3444.6000000000058"/>
    <n v="3.8352339151986485E-2"/>
  </r>
  <r>
    <x v="1184"/>
    <x v="501"/>
    <x v="1"/>
    <d v="1900-01-07T00:00:00"/>
    <x v="2"/>
    <s v="Gurugram"/>
    <s v="Simran Kaur"/>
    <s v="Simran Kaur"/>
    <x v="0"/>
    <x v="3"/>
    <s v="Office Chairs"/>
    <s v="Nilkamal Executive Chair"/>
    <x v="1"/>
    <s v="Shipped"/>
    <n v="6"/>
    <n v="6230"/>
    <n v="0.15"/>
    <n v="3540"/>
    <n v="31773"/>
    <n v="21240"/>
    <n v="10533"/>
    <n v="0.33150788405249743"/>
  </r>
  <r>
    <x v="1185"/>
    <x v="501"/>
    <x v="1"/>
    <d v="1900-01-07T00:00:00"/>
    <x v="0"/>
    <s v="Mumbai"/>
    <s v="Neha Deshpande"/>
    <s v="Neha Deshpande"/>
    <x v="0"/>
    <x v="3"/>
    <s v="Sofas"/>
    <s v="Single Seater Recliner"/>
    <x v="1"/>
    <s v="Shipped"/>
    <n v="4"/>
    <n v="43710"/>
    <n v="0.1"/>
    <n v="30310"/>
    <n v="157356"/>
    <n v="121240"/>
    <n v="36116"/>
    <n v="0.2295177813365871"/>
  </r>
  <r>
    <x v="1186"/>
    <x v="502"/>
    <x v="1"/>
    <d v="1900-01-07T00:00:00"/>
    <x v="3"/>
    <s v="Chennai"/>
    <s v="Anjali Menon"/>
    <s v="Anjali Menon"/>
    <x v="0"/>
    <x v="2"/>
    <s v="Footwear"/>
    <s v="Nike Revolution 7"/>
    <x v="0"/>
    <s v="Delivered"/>
    <n v="8"/>
    <n v="3730"/>
    <n v="0.18"/>
    <n v="2150"/>
    <n v="24468.800000000003"/>
    <n v="17200"/>
    <n v="7268.8000000000029"/>
    <n v="0.29706401621656975"/>
  </r>
  <r>
    <x v="1187"/>
    <x v="502"/>
    <x v="1"/>
    <d v="1900-01-07T00:00:00"/>
    <x v="3"/>
    <s v="Coimbatore"/>
    <s v="Divya Nair"/>
    <s v="Divya Nair"/>
    <x v="3"/>
    <x v="3"/>
    <s v="Tables"/>
    <s v="6-Seater Dining Table"/>
    <x v="0"/>
    <s v="Returned"/>
    <n v="9"/>
    <n v="23640"/>
    <n v="0.1"/>
    <n v="13740"/>
    <n v="191484"/>
    <n v="123660"/>
    <n v="67824"/>
    <n v="0.3542019176536943"/>
  </r>
  <r>
    <x v="1188"/>
    <x v="503"/>
    <x v="1"/>
    <d v="1900-01-07T00:00:00"/>
    <x v="3"/>
    <s v="Kochi"/>
    <s v="Anjali Menon"/>
    <s v="Anjali Menon"/>
    <x v="2"/>
    <x v="4"/>
    <s v="Activewear"/>
    <s v="Puma Track Pants"/>
    <x v="1"/>
    <s v="Delivered"/>
    <n v="33"/>
    <n v="1660"/>
    <n v="0.25"/>
    <n v="1060"/>
    <n v="41085"/>
    <n v="34980"/>
    <n v="6105"/>
    <n v="0.14859437751004015"/>
  </r>
  <r>
    <x v="1189"/>
    <x v="503"/>
    <x v="1"/>
    <d v="1900-01-07T00:00:00"/>
    <x v="3"/>
    <s v="Bengaluru"/>
    <s v="Divya Nair"/>
    <s v="Divya Nair"/>
    <x v="3"/>
    <x v="3"/>
    <s v="Tables"/>
    <s v="Study Table Engineered Wood"/>
    <x v="2"/>
    <s v="Delivered"/>
    <n v="24"/>
    <n v="8720"/>
    <n v="0.08"/>
    <n v="6720"/>
    <n v="192537.60000000001"/>
    <n v="161280"/>
    <n v="31257.600000000006"/>
    <n v="0.16234543278819308"/>
  </r>
  <r>
    <x v="1190"/>
    <x v="503"/>
    <x v="1"/>
    <d v="1900-01-07T00:00:00"/>
    <x v="4"/>
    <s v="Ujjain"/>
    <s v="Manish Tiwari"/>
    <s v="Manish Tiwari"/>
    <x v="3"/>
    <x v="0"/>
    <s v="Televisions"/>
    <s v="Mi Tv 5X 43 Inch"/>
    <x v="1"/>
    <s v="Delivered"/>
    <n v="1"/>
    <n v="33020"/>
    <n v="0.05"/>
    <n v="21650"/>
    <n v="31369"/>
    <n v="21650"/>
    <n v="9719"/>
    <n v="0.3098281743122191"/>
  </r>
  <r>
    <x v="1191"/>
    <x v="504"/>
    <x v="1"/>
    <d v="1900-01-07T00:00:00"/>
    <x v="4"/>
    <s v="Indore"/>
    <s v="Manish Tiwari"/>
    <s v="Manish Tiwari"/>
    <x v="3"/>
    <x v="1"/>
    <s v="Refrigerators"/>
    <s v="Lg 260L Double Door"/>
    <x v="1"/>
    <s v="Delivered"/>
    <n v="4"/>
    <n v="27320"/>
    <n v="0.18"/>
    <n v="15440"/>
    <n v="89609.600000000006"/>
    <n v="61760"/>
    <n v="27849.600000000006"/>
    <n v="0.31078812984323112"/>
  </r>
  <r>
    <x v="1192"/>
    <x v="504"/>
    <x v="1"/>
    <d v="1900-01-07T00:00:00"/>
    <x v="2"/>
    <s v="Delhi"/>
    <s v="Simran Kaur"/>
    <s v="Simran Kaur"/>
    <x v="1"/>
    <x v="3"/>
    <s v="Tables"/>
    <s v="6-Seater Dining Table"/>
    <x v="1"/>
    <s v="Delivered"/>
    <n v="13"/>
    <n v="23310"/>
    <n v="0.18"/>
    <n v="13310"/>
    <n v="248484.6"/>
    <n v="173030"/>
    <n v="75454.600000000006"/>
    <n v="0.30365905975662077"/>
  </r>
  <r>
    <x v="1193"/>
    <x v="505"/>
    <x v="1"/>
    <d v="1900-01-07T00:00:00"/>
    <x v="0"/>
    <s v="Ahmedabad"/>
    <s v="Prateek Shah"/>
    <s v="Prateek Shah"/>
    <x v="0"/>
    <x v="2"/>
    <s v="Apparel"/>
    <s v="Levis 511 Jeans"/>
    <x v="2"/>
    <s v="Pending"/>
    <n v="35"/>
    <n v="2920"/>
    <n v="0.15"/>
    <n v="1830"/>
    <n v="86870"/>
    <n v="64050"/>
    <n v="22820"/>
    <n v="0.26269137792103142"/>
  </r>
  <r>
    <x v="1194"/>
    <x v="506"/>
    <x v="1"/>
    <d v="1900-01-08T00:00:00"/>
    <x v="3"/>
    <s v="Hyderabad"/>
    <s v="Karthik Raman"/>
    <s v="Karthik Raman"/>
    <x v="2"/>
    <x v="0"/>
    <s v="Audio Devices"/>
    <s v="Boat Airdopes 141"/>
    <x v="2"/>
    <s v="Delivered"/>
    <n v="25"/>
    <n v="1740"/>
    <n v="0.08"/>
    <n v="1190"/>
    <n v="40020"/>
    <n v="29750"/>
    <n v="10270"/>
    <n v="0.25662168915542227"/>
  </r>
  <r>
    <x v="1195"/>
    <x v="506"/>
    <x v="1"/>
    <d v="1900-01-08T00:00:00"/>
    <x v="2"/>
    <s v="Noida"/>
    <s v="Rohit Malhotra"/>
    <s v="Rohit Malhotra"/>
    <x v="2"/>
    <x v="4"/>
    <s v="Sports Gear"/>
    <s v="Sg Cricket Bat English Willow"/>
    <x v="1"/>
    <s v="Delivered"/>
    <n v="11"/>
    <n v="4860"/>
    <n v="0.05"/>
    <n v="3240"/>
    <n v="50787"/>
    <n v="35640"/>
    <n v="15147"/>
    <n v="0.2982456140350877"/>
  </r>
  <r>
    <x v="1196"/>
    <x v="507"/>
    <x v="1"/>
    <d v="1900-01-08T00:00:00"/>
    <x v="0"/>
    <s v="Mumbai"/>
    <s v="Imran Sheikh"/>
    <s v="Imran Sheikh"/>
    <x v="0"/>
    <x v="3"/>
    <s v="Sofas"/>
    <s v="Single Seater Recliner"/>
    <x v="2"/>
    <s v="Delivered"/>
    <n v="2"/>
    <n v="45950"/>
    <n v="0.08"/>
    <n v="26530"/>
    <n v="84548"/>
    <n v="53060"/>
    <n v="31488"/>
    <n v="0.37242749680654774"/>
  </r>
  <r>
    <x v="1197"/>
    <x v="508"/>
    <x v="1"/>
    <d v="1900-01-08T00:00:00"/>
    <x v="2"/>
    <s v="Lucknow"/>
    <s v="Simran Kaur"/>
    <s v="Simran Kaur"/>
    <x v="0"/>
    <x v="4"/>
    <s v="Sports Gear"/>
    <s v="Yonex Badminton Racket"/>
    <x v="2"/>
    <s v="Delivered"/>
    <n v="9"/>
    <n v="3410"/>
    <n v="0"/>
    <n v="1970"/>
    <n v="30690"/>
    <n v="17730"/>
    <n v="12960"/>
    <n v="0.42228739002932553"/>
  </r>
  <r>
    <x v="1198"/>
    <x v="508"/>
    <x v="1"/>
    <d v="1900-01-08T00:00:00"/>
    <x v="1"/>
    <s v="Guwahati"/>
    <s v="Sourav Das"/>
    <s v="Sourav Das"/>
    <x v="0"/>
    <x v="2"/>
    <s v="Footwear"/>
    <s v="Campus Running Shoes"/>
    <x v="1"/>
    <s v="Shipped"/>
    <n v="3"/>
    <n v="1610"/>
    <n v="0.15"/>
    <n v="1080"/>
    <n v="4105.5"/>
    <n v="3240"/>
    <n v="865.5"/>
    <n v="0.21081476068688346"/>
  </r>
  <r>
    <x v="1199"/>
    <x v="508"/>
    <x v="1"/>
    <d v="1900-01-08T00:00:00"/>
    <x v="2"/>
    <s v="Lucknow"/>
    <s v="Aditya Verma"/>
    <s v="Aditya Verma"/>
    <x v="0"/>
    <x v="0"/>
    <s v="Audio Devices"/>
    <s v="Jbl Flip 6"/>
    <x v="0"/>
    <s v="Delivered"/>
    <n v="8"/>
    <n v="9780"/>
    <n v="0"/>
    <n v="7170"/>
    <n v="78240"/>
    <n v="57360"/>
    <n v="20880"/>
    <n v="0.26687116564417179"/>
  </r>
  <r>
    <x v="1200"/>
    <x v="509"/>
    <x v="1"/>
    <d v="1900-01-08T00:00:00"/>
    <x v="2"/>
    <s v="Lucknow"/>
    <s v="Simran Kaur"/>
    <s v="Simran Kaur"/>
    <x v="1"/>
    <x v="4"/>
    <s v="Fitness Equipment"/>
    <s v="Adjustable Dumbbell Set 10Kg"/>
    <x v="1"/>
    <s v="Shipped"/>
    <n v="9"/>
    <n v="2420"/>
    <n v="0.15"/>
    <n v="1570"/>
    <n v="18513"/>
    <n v="14130"/>
    <n v="4383"/>
    <n v="0.23675255226057365"/>
  </r>
  <r>
    <x v="1201"/>
    <x v="509"/>
    <x v="1"/>
    <d v="1900-01-08T00:00:00"/>
    <x v="3"/>
    <s v="Bengaluru"/>
    <s v="Anjali Menon"/>
    <s v="Anjali Menon"/>
    <x v="0"/>
    <x v="0"/>
    <s v="Televisions"/>
    <s v="Samsung Crystal 4K 55 Inch"/>
    <x v="0"/>
    <s v="Shipped"/>
    <n v="4"/>
    <n v="51500"/>
    <n v="0.1"/>
    <n v="35830"/>
    <n v="185400"/>
    <n v="143320"/>
    <n v="42080"/>
    <n v="0.22696871628910464"/>
  </r>
  <r>
    <x v="1202"/>
    <x v="510"/>
    <x v="1"/>
    <d v="1900-01-08T00:00:00"/>
    <x v="2"/>
    <s v="Jaipur"/>
    <s v="Simran Kaur"/>
    <s v="Simran Kaur"/>
    <x v="2"/>
    <x v="0"/>
    <s v="Mobile Phones"/>
    <s v="Iphone 15"/>
    <x v="1"/>
    <s v="Delivered"/>
    <n v="3"/>
    <n v="70190"/>
    <n v="0.18"/>
    <n v="54090"/>
    <n v="172667.40000000002"/>
    <n v="162270"/>
    <n v="10397.400000000023"/>
    <n v="6.0216346571501177E-2"/>
  </r>
  <r>
    <x v="1203"/>
    <x v="510"/>
    <x v="1"/>
    <d v="1900-01-08T00:00:00"/>
    <x v="4"/>
    <s v="Gwalior"/>
    <s v="Manish Tiwari"/>
    <s v="Manish Tiwari"/>
    <x v="0"/>
    <x v="3"/>
    <s v="Office Chairs"/>
    <s v="Green Soul Ergonomic Chair"/>
    <x v="1"/>
    <s v="Delivered"/>
    <n v="2"/>
    <n v="12510"/>
    <n v="0.15"/>
    <n v="8020"/>
    <n v="21267"/>
    <n v="16040"/>
    <n v="5227"/>
    <n v="0.24577984671086661"/>
  </r>
  <r>
    <x v="1204"/>
    <x v="510"/>
    <x v="1"/>
    <d v="1900-01-08T00:00:00"/>
    <x v="0"/>
    <s v="Pune"/>
    <s v="Prateek Shah"/>
    <s v="Prateek Shah"/>
    <x v="0"/>
    <x v="0"/>
    <s v="Televisions"/>
    <s v="Mi Tv 5X 43 Inch"/>
    <x v="1"/>
    <s v="Delivered"/>
    <n v="1"/>
    <n v="32130"/>
    <n v="0.05"/>
    <n v="24100"/>
    <n v="30523.5"/>
    <n v="24100"/>
    <n v="6423.5"/>
    <n v="0.21044441168280179"/>
  </r>
  <r>
    <x v="1205"/>
    <x v="511"/>
    <x v="1"/>
    <d v="1900-01-08T00:00:00"/>
    <x v="3"/>
    <s v="Hyderabad"/>
    <s v="Divya Nair"/>
    <s v="Divya Nair"/>
    <x v="2"/>
    <x v="2"/>
    <s v="Apparel"/>
    <s v="Levis 511 Jeans"/>
    <x v="0"/>
    <s v="Delivered"/>
    <n v="16"/>
    <n v="2890"/>
    <n v="0.08"/>
    <n v="1810"/>
    <n v="42540.800000000003"/>
    <n v="28960"/>
    <n v="13580.800000000003"/>
    <n v="0.31924176320144432"/>
  </r>
  <r>
    <x v="1206"/>
    <x v="511"/>
    <x v="1"/>
    <d v="1900-01-08T00:00:00"/>
    <x v="0"/>
    <s v="Nagpur"/>
    <s v="Neha Deshpande"/>
    <s v="Neha Deshpande"/>
    <x v="0"/>
    <x v="2"/>
    <s v="Accessories"/>
    <s v="Fastrack Analog Watch"/>
    <x v="0"/>
    <s v="Delivered"/>
    <n v="36"/>
    <n v="2530"/>
    <n v="0.08"/>
    <n v="1650"/>
    <n v="83793.600000000006"/>
    <n v="59400"/>
    <n v="24393.600000000006"/>
    <n v="0.29111531190926282"/>
  </r>
  <r>
    <x v="1207"/>
    <x v="511"/>
    <x v="1"/>
    <d v="1900-01-08T00:00:00"/>
    <x v="4"/>
    <s v="Jabalpur"/>
    <s v="Manish Tiwari"/>
    <s v="Manish Tiwari"/>
    <x v="2"/>
    <x v="4"/>
    <s v="Activewear"/>
    <s v="Puma Track Pants"/>
    <x v="1"/>
    <s v="Returned"/>
    <n v="28"/>
    <n v="1670"/>
    <n v="0.1"/>
    <n v="1130"/>
    <n v="42084"/>
    <n v="31640"/>
    <n v="10444"/>
    <n v="0.2481703260146374"/>
  </r>
  <r>
    <x v="1208"/>
    <x v="511"/>
    <x v="1"/>
    <d v="1900-01-08T00:00:00"/>
    <x v="1"/>
    <s v="Guwahati"/>
    <s v="Sourav Das"/>
    <s v="Sourav Das"/>
    <x v="0"/>
    <x v="0"/>
    <s v="Audio Devices"/>
    <s v="Boat Airdopes 141"/>
    <x v="0"/>
    <s v="Delivered"/>
    <n v="3"/>
    <n v="1840"/>
    <n v="0.25"/>
    <n v="1320"/>
    <n v="4140"/>
    <n v="3960"/>
    <n v="180"/>
    <n v="4.3478260869565216E-2"/>
  </r>
  <r>
    <x v="1209"/>
    <x v="512"/>
    <x v="1"/>
    <d v="1900-01-08T00:00:00"/>
    <x v="0"/>
    <s v="Pune"/>
    <s v="Imran Sheikh"/>
    <s v="Imran Sheikh"/>
    <x v="0"/>
    <x v="3"/>
    <s v="Sofas"/>
    <s v="Single Seater Recliner"/>
    <x v="1"/>
    <s v="Shipped"/>
    <n v="2"/>
    <n v="46690"/>
    <n v="0.1"/>
    <n v="28600"/>
    <n v="84042"/>
    <n v="57200"/>
    <n v="26842"/>
    <n v="0.31938792508507652"/>
  </r>
  <r>
    <x v="1210"/>
    <x v="512"/>
    <x v="1"/>
    <d v="1900-01-08T00:00:00"/>
    <x v="0"/>
    <s v="Nashik"/>
    <s v="Imran Sheikh"/>
    <s v="Imran Sheikh"/>
    <x v="1"/>
    <x v="2"/>
    <s v="Accessories"/>
    <s v="Fastrack Analog Watch"/>
    <x v="0"/>
    <s v="Delivered"/>
    <n v="22"/>
    <n v="2520"/>
    <n v="0.2"/>
    <n v="1580"/>
    <n v="44352"/>
    <n v="34760"/>
    <n v="9592"/>
    <n v="0.21626984126984128"/>
  </r>
  <r>
    <x v="1211"/>
    <x v="512"/>
    <x v="1"/>
    <d v="1900-01-08T00:00:00"/>
    <x v="2"/>
    <s v="Jaipur"/>
    <s v="Rohit Malhotra"/>
    <s v="Rohit Malhotra"/>
    <x v="2"/>
    <x v="2"/>
    <s v="Apparel"/>
    <s v="Allen Solly Formal Shirt"/>
    <x v="0"/>
    <s v="Delivered"/>
    <n v="29"/>
    <n v="1740"/>
    <n v="0"/>
    <n v="1330"/>
    <n v="50460"/>
    <n v="38570"/>
    <n v="11890"/>
    <n v="0.23563218390804597"/>
  </r>
  <r>
    <x v="1212"/>
    <x v="512"/>
    <x v="1"/>
    <d v="1900-01-08T00:00:00"/>
    <x v="0"/>
    <s v="Ahmedabad"/>
    <s v="Prateek Shah"/>
    <s v="Prateek Shah"/>
    <x v="0"/>
    <x v="0"/>
    <s v="Televisions"/>
    <s v="Mi Tv 5X 43 Inch"/>
    <x v="0"/>
    <s v="Delivered"/>
    <n v="2"/>
    <n v="33520"/>
    <n v="0.08"/>
    <n v="24140"/>
    <n v="61676.800000000003"/>
    <n v="48280"/>
    <n v="13396.800000000003"/>
    <n v="0.21720971256615132"/>
  </r>
  <r>
    <x v="1213"/>
    <x v="513"/>
    <x v="1"/>
    <d v="1900-01-08T00:00:00"/>
    <x v="2"/>
    <s v="Delhi"/>
    <s v="Rohit Malhotra"/>
    <s v="Rohit Malhotra"/>
    <x v="0"/>
    <x v="3"/>
    <s v="Tables"/>
    <s v="Study Table Engineered Wood"/>
    <x v="0"/>
    <s v="Delivered"/>
    <n v="4"/>
    <n v="8170"/>
    <n v="0.1"/>
    <n v="5670"/>
    <n v="29412"/>
    <n v="22680"/>
    <n v="6732"/>
    <n v="0.22888616891064872"/>
  </r>
  <r>
    <x v="1214"/>
    <x v="513"/>
    <x v="1"/>
    <d v="1900-01-08T00:00:00"/>
    <x v="4"/>
    <s v="Bhopal"/>
    <s v="Manish Tiwari"/>
    <s v="Manish Tiwari"/>
    <x v="2"/>
    <x v="0"/>
    <s v="Audio Devices"/>
    <s v="Sony Wh-Ch720N"/>
    <x v="1"/>
    <s v="Delivered"/>
    <n v="8"/>
    <n v="8270"/>
    <n v="0"/>
    <n v="5510"/>
    <n v="66160"/>
    <n v="44080"/>
    <n v="22080"/>
    <n v="0.33373639661426846"/>
  </r>
  <r>
    <x v="1215"/>
    <x v="513"/>
    <x v="1"/>
    <d v="1900-01-08T00:00:00"/>
    <x v="2"/>
    <s v="Chandigarh"/>
    <s v="Simran Kaur"/>
    <s v="Simran Kaur"/>
    <x v="3"/>
    <x v="2"/>
    <s v="Footwear"/>
    <s v="Campus Running Shoes"/>
    <x v="1"/>
    <s v="Shipped"/>
    <n v="37"/>
    <n v="1610"/>
    <n v="0.08"/>
    <n v="960"/>
    <n v="54804.4"/>
    <n v="35520"/>
    <n v="19284.400000000001"/>
    <n v="0.35187685660275453"/>
  </r>
  <r>
    <x v="1216"/>
    <x v="514"/>
    <x v="1"/>
    <d v="1900-01-08T00:00:00"/>
    <x v="2"/>
    <s v="Noida"/>
    <s v="Rohit Malhotra"/>
    <s v="Rohit Malhotra"/>
    <x v="0"/>
    <x v="0"/>
    <s v="Audio Devices"/>
    <s v="Sony Wh-Ch720N"/>
    <x v="2"/>
    <s v="Delivered"/>
    <n v="4"/>
    <n v="8350"/>
    <n v="0.05"/>
    <n v="6360"/>
    <n v="31730"/>
    <n v="25440"/>
    <n v="6290"/>
    <n v="0.1982351087299086"/>
  </r>
  <r>
    <x v="1217"/>
    <x v="514"/>
    <x v="1"/>
    <d v="1900-01-08T00:00:00"/>
    <x v="2"/>
    <s v="Lucknow"/>
    <s v="Aditya Verma"/>
    <s v="Aditya Verma"/>
    <x v="3"/>
    <x v="4"/>
    <s v="Fitness Equipment"/>
    <s v="Home Foldable Treadmill"/>
    <x v="2"/>
    <s v="Delivered"/>
    <n v="3"/>
    <n v="41810"/>
    <n v="0"/>
    <n v="30330"/>
    <n v="125430"/>
    <n v="90990"/>
    <n v="34440"/>
    <n v="0.27457546041616837"/>
  </r>
  <r>
    <x v="1218"/>
    <x v="514"/>
    <x v="1"/>
    <d v="1900-01-08T00:00:00"/>
    <x v="2"/>
    <s v="Delhi"/>
    <s v="Aditya Verma"/>
    <s v="Aditya Verma"/>
    <x v="2"/>
    <x v="0"/>
    <s v="Audio Devices"/>
    <s v="Sony Wh-Ch720N"/>
    <x v="0"/>
    <s v="Delivered"/>
    <n v="14"/>
    <n v="8350"/>
    <n v="0"/>
    <n v="5470"/>
    <n v="116900"/>
    <n v="76580"/>
    <n v="40320"/>
    <n v="0.34491017964071857"/>
  </r>
  <r>
    <x v="1219"/>
    <x v="514"/>
    <x v="1"/>
    <d v="1900-01-08T00:00:00"/>
    <x v="4"/>
    <s v="Bhopal"/>
    <s v="Manish Tiwari"/>
    <s v="Manish Tiwari"/>
    <x v="1"/>
    <x v="2"/>
    <s v="Accessories"/>
    <s v="Wildcraft 35L Backpack"/>
    <x v="0"/>
    <s v="Delivered"/>
    <n v="44"/>
    <n v="2010"/>
    <n v="0.1"/>
    <n v="1450"/>
    <n v="79596"/>
    <n v="63800"/>
    <n v="15796"/>
    <n v="0.19845218352681041"/>
  </r>
  <r>
    <x v="1220"/>
    <x v="515"/>
    <x v="1"/>
    <d v="1900-01-08T00:00:00"/>
    <x v="3"/>
    <s v="Bengaluru"/>
    <s v="Divya Nair"/>
    <s v="Divya Nair"/>
    <x v="2"/>
    <x v="2"/>
    <s v="Apparel"/>
    <s v="Levis 511 Jeans"/>
    <x v="1"/>
    <s v="Delivered"/>
    <n v="36"/>
    <n v="2720"/>
    <n v="0.25"/>
    <n v="1950"/>
    <n v="73440"/>
    <n v="70200"/>
    <n v="3240"/>
    <n v="4.4117647058823532E-2"/>
  </r>
  <r>
    <x v="1221"/>
    <x v="516"/>
    <x v="1"/>
    <d v="1900-01-08T00:00:00"/>
    <x v="3"/>
    <s v="Bengaluru"/>
    <s v="Karthik Raman"/>
    <s v="Karthik Raman"/>
    <x v="0"/>
    <x v="3"/>
    <s v="Storage"/>
    <s v="3-Door Wardrobe"/>
    <x v="1"/>
    <s v="Shipped"/>
    <n v="5"/>
    <n v="26610"/>
    <n v="0.1"/>
    <n v="17530"/>
    <n v="119745"/>
    <n v="87650"/>
    <n v="32095"/>
    <n v="0.26802789260511922"/>
  </r>
  <r>
    <x v="1222"/>
    <x v="517"/>
    <x v="1"/>
    <d v="1900-01-08T00:00:00"/>
    <x v="4"/>
    <s v="Raipur"/>
    <s v="Pooja Chouhan"/>
    <s v="Pooja Chouhan"/>
    <x v="1"/>
    <x v="0"/>
    <s v="Laptops"/>
    <s v="Hp Pavilion 15"/>
    <x v="0"/>
    <s v="Delivered"/>
    <n v="4"/>
    <n v="66900"/>
    <n v="0.15"/>
    <n v="39210"/>
    <n v="227460"/>
    <n v="156840"/>
    <n v="70620"/>
    <n v="0.31047217093115276"/>
  </r>
  <r>
    <x v="1223"/>
    <x v="517"/>
    <x v="1"/>
    <d v="1900-01-08T00:00:00"/>
    <x v="0"/>
    <s v="Mumbai"/>
    <s v="Prateek Shah"/>
    <s v="Prateek Shah"/>
    <x v="1"/>
    <x v="2"/>
    <s v="Footwear"/>
    <s v="Bata Formal Shoes"/>
    <x v="0"/>
    <s v="Delivered"/>
    <n v="45"/>
    <n v="2340"/>
    <n v="0.18"/>
    <n v="1620"/>
    <n v="86346"/>
    <n v="72900"/>
    <n v="13446"/>
    <n v="0.15572232645403378"/>
  </r>
  <r>
    <x v="1224"/>
    <x v="517"/>
    <x v="1"/>
    <d v="1900-01-08T00:00:00"/>
    <x v="0"/>
    <s v="Ahmedabad"/>
    <s v="Imran Sheikh"/>
    <s v="Imran Sheikh"/>
    <x v="1"/>
    <x v="1"/>
    <s v="Washing Machines"/>
    <s v="Whirlpool Semi Auto 7.5Kg"/>
    <x v="1"/>
    <s v="Pending"/>
    <n v="5"/>
    <n v="14970"/>
    <n v="0.08"/>
    <n v="10200"/>
    <n v="68862"/>
    <n v="51000"/>
    <n v="17862"/>
    <n v="0.2593883419011937"/>
  </r>
  <r>
    <x v="1225"/>
    <x v="518"/>
    <x v="1"/>
    <d v="1900-01-08T00:00:00"/>
    <x v="3"/>
    <s v="Visakhapatnam"/>
    <s v="Anjali Menon"/>
    <s v="Anjali Menon"/>
    <x v="2"/>
    <x v="2"/>
    <s v="Footwear"/>
    <s v="Bata Formal Shoes"/>
    <x v="2"/>
    <s v="Delivered"/>
    <n v="40"/>
    <n v="2130"/>
    <n v="0.25"/>
    <n v="1350"/>
    <n v="63900"/>
    <n v="54000"/>
    <n v="9900"/>
    <n v="0.15492957746478872"/>
  </r>
  <r>
    <x v="1226"/>
    <x v="518"/>
    <x v="1"/>
    <d v="1900-01-08T00:00:00"/>
    <x v="2"/>
    <s v="Chandigarh"/>
    <s v="Simran Kaur"/>
    <s v="Simran Kaur"/>
    <x v="0"/>
    <x v="4"/>
    <s v="Activewear"/>
    <s v="Nivia Football Size 5"/>
    <x v="1"/>
    <s v="Delivered"/>
    <n v="37"/>
    <n v="960"/>
    <n v="0.08"/>
    <n v="590"/>
    <n v="32678.400000000001"/>
    <n v="21830"/>
    <n v="10848.400000000001"/>
    <n v="0.33197463768115942"/>
  </r>
  <r>
    <x v="1227"/>
    <x v="518"/>
    <x v="1"/>
    <d v="1900-01-08T00:00:00"/>
    <x v="2"/>
    <s v="Gurugram"/>
    <s v="Aditya Verma"/>
    <s v="Aditya Verma"/>
    <x v="0"/>
    <x v="4"/>
    <s v="Sports Gear"/>
    <s v="Yonex Badminton Racket"/>
    <x v="0"/>
    <s v="Delivered"/>
    <n v="2"/>
    <n v="3130"/>
    <n v="0"/>
    <n v="2120"/>
    <n v="6260"/>
    <n v="4240"/>
    <n v="2020"/>
    <n v="0.32268370607028751"/>
  </r>
  <r>
    <x v="1228"/>
    <x v="519"/>
    <x v="1"/>
    <d v="1900-01-08T00:00:00"/>
    <x v="3"/>
    <s v="Visakhapatnam"/>
    <s v="Divya Nair"/>
    <s v="Divya Nair"/>
    <x v="0"/>
    <x v="4"/>
    <s v="Sports Gear"/>
    <s v="Yonex Badminton Racket"/>
    <x v="0"/>
    <s v="Shipped"/>
    <n v="15"/>
    <n v="3400"/>
    <n v="0.05"/>
    <n v="2590"/>
    <n v="48450"/>
    <n v="38850"/>
    <n v="9600"/>
    <n v="0.19814241486068113"/>
  </r>
  <r>
    <x v="1229"/>
    <x v="519"/>
    <x v="1"/>
    <d v="1900-01-08T00:00:00"/>
    <x v="1"/>
    <s v="Siliguri"/>
    <s v="Ritika Ghosh"/>
    <s v="Ritika Ghosh"/>
    <x v="0"/>
    <x v="1"/>
    <s v="Air Conditioners"/>
    <s v="Daikin 1.5T Split Ac"/>
    <x v="0"/>
    <s v="Delivered"/>
    <n v="4"/>
    <n v="45030"/>
    <n v="0.25"/>
    <n v="33520"/>
    <n v="135090"/>
    <n v="134080"/>
    <n v="1010"/>
    <n v="7.4764971500481158E-3"/>
  </r>
  <r>
    <x v="1230"/>
    <x v="520"/>
    <x v="1"/>
    <d v="1900-01-08T00:00:00"/>
    <x v="0"/>
    <s v="Surat"/>
    <s v="Imran Sheikh"/>
    <s v="Imran Sheikh"/>
    <x v="3"/>
    <x v="3"/>
    <s v="Sofas"/>
    <s v="Single Seater Recliner"/>
    <x v="1"/>
    <s v="Delivered"/>
    <n v="6"/>
    <n v="46880"/>
    <n v="0.1"/>
    <n v="29110"/>
    <n v="253152"/>
    <n v="174660"/>
    <n v="78492"/>
    <n v="0.31005877891543421"/>
  </r>
  <r>
    <x v="1231"/>
    <x v="520"/>
    <x v="1"/>
    <d v="1900-01-08T00:00:00"/>
    <x v="1"/>
    <s v="Bhubaneswar"/>
    <s v="Sourav Das"/>
    <s v="Sourav Das"/>
    <x v="2"/>
    <x v="0"/>
    <s v="Audio Devices"/>
    <s v="Sony Wh-Ch720N"/>
    <x v="0"/>
    <s v="Delivered"/>
    <n v="2"/>
    <n v="8860"/>
    <n v="0.2"/>
    <n v="6960"/>
    <n v="14176"/>
    <n v="13920"/>
    <n v="256"/>
    <n v="1.8058690744920992E-2"/>
  </r>
  <r>
    <x v="1232"/>
    <x v="520"/>
    <x v="1"/>
    <d v="1900-01-08T00:00:00"/>
    <x v="4"/>
    <s v="Indore"/>
    <s v="Manish Tiwari"/>
    <s v="Manish Tiwari"/>
    <x v="0"/>
    <x v="1"/>
    <s v="Air Conditioners"/>
    <s v="Daikin 1.5T Split Ac"/>
    <x v="1"/>
    <s v="Delivered"/>
    <n v="2"/>
    <n v="42360"/>
    <n v="0.08"/>
    <n v="31140"/>
    <n v="77942.400000000009"/>
    <n v="62280"/>
    <n v="15662.400000000009"/>
    <n v="0.20094839265919456"/>
  </r>
  <r>
    <x v="1233"/>
    <x v="521"/>
    <x v="1"/>
    <d v="1900-01-08T00:00:00"/>
    <x v="3"/>
    <s v="Hyderabad"/>
    <s v="Divya Nair"/>
    <s v="Divya Nair"/>
    <x v="1"/>
    <x v="1"/>
    <s v="Air Conditioners"/>
    <s v="Daikin 1.5T Split Ac"/>
    <x v="1"/>
    <s v="Delivered"/>
    <n v="2"/>
    <n v="43080"/>
    <n v="0.1"/>
    <n v="31470"/>
    <n v="77544"/>
    <n v="62940"/>
    <n v="14604"/>
    <n v="0.18833178582482205"/>
  </r>
  <r>
    <x v="1234"/>
    <x v="521"/>
    <x v="1"/>
    <d v="1900-01-08T00:00:00"/>
    <x v="2"/>
    <s v="Noida"/>
    <s v="Simran Kaur"/>
    <s v="Simran Kaur"/>
    <x v="2"/>
    <x v="4"/>
    <s v="Sports Gear"/>
    <s v="Yonex Badminton Racket"/>
    <x v="2"/>
    <s v="Delivered"/>
    <n v="13"/>
    <n v="3170"/>
    <n v="0.25"/>
    <n v="2250"/>
    <n v="30907.5"/>
    <n v="29250"/>
    <n v="1657.5"/>
    <n v="5.362776025236593E-2"/>
  </r>
  <r>
    <x v="1235"/>
    <x v="521"/>
    <x v="1"/>
    <d v="1900-01-08T00:00:00"/>
    <x v="3"/>
    <s v="Chennai"/>
    <s v="Anjali Menon"/>
    <s v="Anjali Menon"/>
    <x v="0"/>
    <x v="1"/>
    <s v="Air Conditioners"/>
    <s v="Daikin 1.5T Split Ac"/>
    <x v="2"/>
    <s v="Shipped"/>
    <n v="1"/>
    <n v="42320"/>
    <n v="0"/>
    <n v="27890"/>
    <n v="42320"/>
    <n v="27890"/>
    <n v="14430"/>
    <n v="0.34097353497164462"/>
  </r>
  <r>
    <x v="1236"/>
    <x v="522"/>
    <x v="1"/>
    <d v="1900-01-08T00:00:00"/>
    <x v="4"/>
    <s v="Gwalior"/>
    <s v="Manish Tiwari"/>
    <s v="Manish Tiwari"/>
    <x v="0"/>
    <x v="2"/>
    <s v="Accessories"/>
    <s v="Fastrack Analog Watch"/>
    <x v="1"/>
    <s v="Delivered"/>
    <n v="9"/>
    <n v="2650"/>
    <n v="0.08"/>
    <n v="2020"/>
    <n v="21942"/>
    <n v="18180"/>
    <n v="3762"/>
    <n v="0.17145200984413453"/>
  </r>
  <r>
    <x v="1237"/>
    <x v="522"/>
    <x v="1"/>
    <d v="1900-01-08T00:00:00"/>
    <x v="1"/>
    <s v="Kolkata"/>
    <s v="Sourav Das"/>
    <s v="Sourav Das"/>
    <x v="0"/>
    <x v="2"/>
    <s v="Footwear"/>
    <s v="Bata Formal Shoes"/>
    <x v="1"/>
    <s v="Delivered"/>
    <n v="37"/>
    <n v="2140"/>
    <n v="0.2"/>
    <n v="1430"/>
    <n v="63344"/>
    <n v="52910"/>
    <n v="10434"/>
    <n v="0.1647196261682243"/>
  </r>
  <r>
    <x v="1238"/>
    <x v="522"/>
    <x v="1"/>
    <d v="1900-01-08T00:00:00"/>
    <x v="2"/>
    <s v="Delhi"/>
    <s v="Simran Kaur"/>
    <s v="Simran Kaur"/>
    <x v="2"/>
    <x v="1"/>
    <s v="Air Conditioners"/>
    <s v="Daikin 1.5T Split Ac"/>
    <x v="1"/>
    <s v="Returned"/>
    <n v="3"/>
    <n v="42250"/>
    <n v="0.05"/>
    <n v="27190"/>
    <n v="120412.5"/>
    <n v="81570"/>
    <n v="38842.5"/>
    <n v="0.3225786359389598"/>
  </r>
  <r>
    <x v="1239"/>
    <x v="523"/>
    <x v="1"/>
    <d v="1900-01-08T00:00:00"/>
    <x v="3"/>
    <s v="Bengaluru"/>
    <s v="Karthik Raman"/>
    <s v="Karthik Raman"/>
    <x v="2"/>
    <x v="3"/>
    <s v="Tables"/>
    <s v="6-Seater Dining Table"/>
    <x v="0"/>
    <s v="Delivered"/>
    <n v="4"/>
    <n v="23810"/>
    <n v="0.12"/>
    <n v="16260"/>
    <n v="83811.199999999997"/>
    <n v="65040"/>
    <n v="18771.199999999997"/>
    <n v="0.22397006605322436"/>
  </r>
  <r>
    <x v="1240"/>
    <x v="523"/>
    <x v="1"/>
    <d v="1900-01-08T00:00:00"/>
    <x v="3"/>
    <s v="Chennai"/>
    <s v="Divya Nair"/>
    <s v="Divya Nair"/>
    <x v="1"/>
    <x v="4"/>
    <s v="Activewear"/>
    <s v="Nivia Football Size 5"/>
    <x v="0"/>
    <s v="Delivered"/>
    <n v="34"/>
    <n v="950"/>
    <n v="0.18"/>
    <n v="670"/>
    <n v="26486.000000000004"/>
    <n v="22780"/>
    <n v="3706.0000000000036"/>
    <n v="0.1399229781771503"/>
  </r>
  <r>
    <x v="1241"/>
    <x v="523"/>
    <x v="1"/>
    <d v="1900-01-08T00:00:00"/>
    <x v="3"/>
    <s v="Visakhapatnam"/>
    <s v="Anjali Menon"/>
    <s v="Anjali Menon"/>
    <x v="2"/>
    <x v="4"/>
    <s v="Sports Gear"/>
    <s v="Sg Cricket Bat English Willow"/>
    <x v="1"/>
    <s v="Delivered"/>
    <n v="5"/>
    <n v="4810"/>
    <n v="0.15"/>
    <n v="3580"/>
    <n v="20442.5"/>
    <n v="17900"/>
    <n v="2542.5"/>
    <n v="0.12437324202030084"/>
  </r>
  <r>
    <x v="1242"/>
    <x v="523"/>
    <x v="1"/>
    <d v="1900-01-08T00:00:00"/>
    <x v="2"/>
    <s v="Delhi"/>
    <s v="Simran Kaur"/>
    <s v="Simran Kaur"/>
    <x v="0"/>
    <x v="1"/>
    <s v="Kitchen Appliances"/>
    <s v="Pigeon Induction Cooktop"/>
    <x v="0"/>
    <s v="Delivered"/>
    <n v="5"/>
    <n v="2470"/>
    <n v="0.2"/>
    <n v="1880"/>
    <n v="9880"/>
    <n v="9400"/>
    <n v="480"/>
    <n v="4.8582995951417005E-2"/>
  </r>
  <r>
    <x v="1243"/>
    <x v="523"/>
    <x v="1"/>
    <d v="1900-01-08T00:00:00"/>
    <x v="0"/>
    <s v="Mumbai"/>
    <s v="Imran Sheikh"/>
    <s v="Imran Sheikh"/>
    <x v="0"/>
    <x v="0"/>
    <s v="Televisions"/>
    <s v="Samsung Crystal 4K 55 Inch"/>
    <x v="0"/>
    <s v="Pending"/>
    <n v="4"/>
    <n v="50130"/>
    <n v="0.12"/>
    <n v="33510"/>
    <n v="176457.60000000001"/>
    <n v="134040"/>
    <n v="42417.600000000006"/>
    <n v="0.24038409226919102"/>
  </r>
  <r>
    <x v="1244"/>
    <x v="524"/>
    <x v="1"/>
    <d v="1900-01-08T00:00:00"/>
    <x v="1"/>
    <s v="Bhubaneswar"/>
    <s v="Sourav Das"/>
    <s v="Sourav Das"/>
    <x v="3"/>
    <x v="0"/>
    <s v="Televisions"/>
    <s v="Samsung Crystal 4K 55 Inch"/>
    <x v="2"/>
    <s v="Delivered"/>
    <n v="4"/>
    <n v="53090"/>
    <n v="0"/>
    <n v="31100"/>
    <n v="212360"/>
    <n v="124400"/>
    <n v="87960"/>
    <n v="0.41420229798455455"/>
  </r>
  <r>
    <x v="1245"/>
    <x v="525"/>
    <x v="1"/>
    <d v="1900-01-08T00:00:00"/>
    <x v="2"/>
    <s v="Noida"/>
    <s v="Simran Kaur"/>
    <s v="Simran Kaur"/>
    <x v="3"/>
    <x v="3"/>
    <s v="Office Chairs"/>
    <s v="Green Soul Ergonomic Chair"/>
    <x v="0"/>
    <s v="Returned"/>
    <n v="16"/>
    <n v="11810"/>
    <n v="0.1"/>
    <n v="7680"/>
    <n v="170064"/>
    <n v="122880"/>
    <n v="47184"/>
    <n v="0.27744848998024274"/>
  </r>
  <r>
    <x v="1246"/>
    <x v="526"/>
    <x v="1"/>
    <d v="1900-01-08T00:00:00"/>
    <x v="1"/>
    <s v="Guwahati"/>
    <s v="Ritika Ghosh"/>
    <s v="Ritika Ghosh"/>
    <x v="0"/>
    <x v="2"/>
    <s v="Apparel"/>
    <s v="Levis 511 Jeans"/>
    <x v="1"/>
    <s v="Delivered"/>
    <n v="23"/>
    <n v="2860"/>
    <n v="0.1"/>
    <n v="2190"/>
    <n v="59202"/>
    <n v="50370"/>
    <n v="8832"/>
    <n v="0.14918414918414918"/>
  </r>
  <r>
    <x v="1247"/>
    <x v="526"/>
    <x v="1"/>
    <d v="1900-01-08T00:00:00"/>
    <x v="3"/>
    <s v="Visakhapatnam"/>
    <s v="Divya Nair"/>
    <s v="Divya Nair"/>
    <x v="3"/>
    <x v="3"/>
    <s v="Storage"/>
    <s v="Metal Shoe Rack"/>
    <x v="1"/>
    <s v="Delivered"/>
    <n v="17"/>
    <n v="3570"/>
    <n v="0"/>
    <n v="2800"/>
    <n v="60690"/>
    <n v="47600"/>
    <n v="13090"/>
    <n v="0.21568627450980393"/>
  </r>
  <r>
    <x v="1248"/>
    <x v="527"/>
    <x v="1"/>
    <d v="1900-01-08T00:00:00"/>
    <x v="2"/>
    <s v="Lucknow"/>
    <s v="Simran Kaur"/>
    <s v="Simran Kaur"/>
    <x v="0"/>
    <x v="0"/>
    <s v="Mobile Phones"/>
    <s v="Samsung Galaxy M35"/>
    <x v="1"/>
    <s v="Delivered"/>
    <n v="7"/>
    <n v="23620"/>
    <n v="0.05"/>
    <n v="17450"/>
    <n v="157073"/>
    <n v="122150"/>
    <n v="34923"/>
    <n v="0.22233611123490352"/>
  </r>
  <r>
    <x v="1249"/>
    <x v="527"/>
    <x v="1"/>
    <d v="1900-01-08T00:00:00"/>
    <x v="2"/>
    <s v="Delhi"/>
    <s v="Rohit Malhotra"/>
    <s v="Rohit Malhotra"/>
    <x v="0"/>
    <x v="4"/>
    <s v="Fitness Equipment"/>
    <s v="Home Foldable Treadmill"/>
    <x v="0"/>
    <s v="Shipped"/>
    <n v="2"/>
    <n v="44810"/>
    <n v="0.1"/>
    <n v="35090"/>
    <n v="80658"/>
    <n v="70180"/>
    <n v="10478"/>
    <n v="0.12990651888219396"/>
  </r>
  <r>
    <x v="1250"/>
    <x v="527"/>
    <x v="1"/>
    <d v="1900-01-08T00:00:00"/>
    <x v="0"/>
    <s v="Mumbai"/>
    <s v="Prateek Shah"/>
    <s v="Prateek Shah"/>
    <x v="0"/>
    <x v="0"/>
    <s v="Mobile Phones"/>
    <s v="Redmi Note 14"/>
    <x v="2"/>
    <s v="Shipped"/>
    <n v="2"/>
    <n v="18290"/>
    <n v="0.12"/>
    <n v="10430"/>
    <n v="32190.400000000001"/>
    <n v="20860"/>
    <n v="11330.400000000001"/>
    <n v="0.35198071474725384"/>
  </r>
  <r>
    <x v="1251"/>
    <x v="528"/>
    <x v="1"/>
    <d v="1900-01-08T00:00:00"/>
    <x v="2"/>
    <s v="Lucknow"/>
    <s v="Aditya Verma"/>
    <s v="Aditya Verma"/>
    <x v="3"/>
    <x v="3"/>
    <s v="Office Chairs"/>
    <s v="Green Soul Ergonomic Chair"/>
    <x v="0"/>
    <s v="Delivered"/>
    <n v="6"/>
    <n v="11990"/>
    <n v="0.08"/>
    <n v="8640"/>
    <n v="66184.800000000003"/>
    <n v="51840"/>
    <n v="14344.800000000003"/>
    <n v="0.21673858650324548"/>
  </r>
  <r>
    <x v="1252"/>
    <x v="529"/>
    <x v="1"/>
    <d v="1900-01-08T00:00:00"/>
    <x v="4"/>
    <s v="Indore"/>
    <s v="Manish Tiwari"/>
    <s v="Manish Tiwari"/>
    <x v="0"/>
    <x v="2"/>
    <s v="Apparel"/>
    <s v="Allen Solly Formal Shirt"/>
    <x v="0"/>
    <s v="Delivered"/>
    <n v="40"/>
    <n v="1860"/>
    <n v="0.2"/>
    <n v="1410"/>
    <n v="59520"/>
    <n v="56400"/>
    <n v="3120"/>
    <n v="5.2419354838709679E-2"/>
  </r>
  <r>
    <x v="1253"/>
    <x v="529"/>
    <x v="1"/>
    <d v="1900-01-08T00:00:00"/>
    <x v="3"/>
    <s v="Visakhapatnam"/>
    <s v="Anjali Menon"/>
    <s v="Anjali Menon"/>
    <x v="0"/>
    <x v="2"/>
    <s v="Accessories"/>
    <s v="Wildcraft 35L Backpack"/>
    <x v="0"/>
    <s v="Delivered"/>
    <n v="21"/>
    <n v="1900"/>
    <n v="0.2"/>
    <n v="1120"/>
    <n v="31920"/>
    <n v="23520"/>
    <n v="8400"/>
    <n v="0.26315789473684209"/>
  </r>
  <r>
    <x v="1254"/>
    <x v="530"/>
    <x v="1"/>
    <d v="1900-01-08T00:00:00"/>
    <x v="3"/>
    <s v="Visakhapatnam"/>
    <s v="Anjali Menon"/>
    <s v="Anjali Menon"/>
    <x v="0"/>
    <x v="2"/>
    <s v="Apparel"/>
    <s v="Allen Solly Formal Shirt"/>
    <x v="0"/>
    <s v="Shipped"/>
    <n v="32"/>
    <n v="1830"/>
    <n v="0"/>
    <n v="1190"/>
    <n v="58560"/>
    <n v="38080"/>
    <n v="20480"/>
    <n v="0.34972677595628415"/>
  </r>
  <r>
    <x v="1255"/>
    <x v="531"/>
    <x v="1"/>
    <d v="1900-01-08T00:00:00"/>
    <x v="1"/>
    <s v="Bhubaneswar"/>
    <s v="Ritika Ghosh"/>
    <s v="Ritika Ghosh"/>
    <x v="0"/>
    <x v="0"/>
    <s v="Audio Devices"/>
    <s v="Sony Wh-Ch720N"/>
    <x v="1"/>
    <s v="Pending"/>
    <n v="14"/>
    <n v="8830"/>
    <n v="0.05"/>
    <n v="5310"/>
    <n v="117439"/>
    <n v="74340"/>
    <n v="43099"/>
    <n v="0.36699052273946475"/>
  </r>
  <r>
    <x v="1256"/>
    <x v="531"/>
    <x v="1"/>
    <d v="1900-01-08T00:00:00"/>
    <x v="1"/>
    <s v="Patna"/>
    <s v="Ritika Ghosh"/>
    <s v="Ritika Ghosh"/>
    <x v="3"/>
    <x v="0"/>
    <s v="Audio Devices"/>
    <s v="Jbl Flip 6"/>
    <x v="1"/>
    <s v="Delivered"/>
    <n v="23"/>
    <n v="9870"/>
    <n v="0.1"/>
    <n v="6700"/>
    <n v="204309"/>
    <n v="154100"/>
    <n v="50209"/>
    <n v="0.2457503095800968"/>
  </r>
  <r>
    <x v="1257"/>
    <x v="531"/>
    <x v="1"/>
    <d v="1900-01-08T00:00:00"/>
    <x v="4"/>
    <s v="Bhopal"/>
    <s v="Manish Tiwari"/>
    <s v="Manish Tiwari"/>
    <x v="1"/>
    <x v="1"/>
    <s v="Refrigerators"/>
    <s v="Samsung 192L Single Door"/>
    <x v="0"/>
    <s v="Delivered"/>
    <n v="2"/>
    <n v="16140"/>
    <n v="0.08"/>
    <n v="10600"/>
    <n v="29697.600000000002"/>
    <n v="21200"/>
    <n v="8497.6000000000022"/>
    <n v="0.28613760034480906"/>
  </r>
  <r>
    <x v="1258"/>
    <x v="531"/>
    <x v="1"/>
    <d v="1900-01-08T00:00:00"/>
    <x v="1"/>
    <s v="Guwahati"/>
    <s v="Ritika Ghosh"/>
    <s v="Ritika Ghosh"/>
    <x v="0"/>
    <x v="2"/>
    <s v="Footwear"/>
    <s v="Bata Formal Shoes"/>
    <x v="0"/>
    <s v="Returned"/>
    <n v="38"/>
    <n v="2260"/>
    <n v="0.12"/>
    <n v="1390"/>
    <n v="75574.399999999994"/>
    <n v="52820"/>
    <n v="22754.399999999994"/>
    <n v="0.30108608205953336"/>
  </r>
  <r>
    <x v="1259"/>
    <x v="532"/>
    <x v="1"/>
    <d v="1900-01-08T00:00:00"/>
    <x v="0"/>
    <s v="Mumbai"/>
    <s v="Prateek Shah"/>
    <s v="Prateek Shah"/>
    <x v="0"/>
    <x v="1"/>
    <s v="Air Conditioners"/>
    <s v="Voltas 1.5T Inverter Ac"/>
    <x v="0"/>
    <s v="Delivered"/>
    <n v="3"/>
    <n v="36090"/>
    <n v="0.08"/>
    <n v="24540"/>
    <n v="99608.400000000009"/>
    <n v="73620"/>
    <n v="25988.400000000009"/>
    <n v="0.26090570674762376"/>
  </r>
  <r>
    <x v="1260"/>
    <x v="532"/>
    <x v="1"/>
    <d v="1900-01-08T00:00:00"/>
    <x v="4"/>
    <s v="Ujjain"/>
    <s v="Pooja Chouhan"/>
    <s v="Pooja Chouhan"/>
    <x v="0"/>
    <x v="4"/>
    <s v="Sports Gear"/>
    <s v="Yonex Badminton Racket"/>
    <x v="2"/>
    <s v="Delivered"/>
    <n v="11"/>
    <n v="3310"/>
    <n v="0.25"/>
    <n v="1980"/>
    <n v="27307.5"/>
    <n v="21780"/>
    <n v="5527.5"/>
    <n v="0.20241691842900303"/>
  </r>
  <r>
    <x v="1261"/>
    <x v="532"/>
    <x v="1"/>
    <d v="1900-01-08T00:00:00"/>
    <x v="2"/>
    <s v="Noida"/>
    <s v="Rohit Malhotra"/>
    <s v="Rohit Malhotra"/>
    <x v="2"/>
    <x v="2"/>
    <s v="Footwear"/>
    <s v="Nike Revolution 7"/>
    <x v="0"/>
    <s v="Delivered"/>
    <n v="13"/>
    <n v="3670"/>
    <n v="0.12"/>
    <n v="2810"/>
    <n v="41984.800000000003"/>
    <n v="36530"/>
    <n v="5454.8000000000029"/>
    <n v="0.12992321030468176"/>
  </r>
  <r>
    <x v="1262"/>
    <x v="533"/>
    <x v="1"/>
    <d v="1900-01-09T00:00:00"/>
    <x v="4"/>
    <s v="Ujjain"/>
    <s v="Pooja Chouhan"/>
    <s v="Pooja Chouhan"/>
    <x v="3"/>
    <x v="1"/>
    <s v="Washing Machines"/>
    <s v="Ifb Front Load 7Kg"/>
    <x v="1"/>
    <s v="Delivered"/>
    <n v="6"/>
    <n v="34680"/>
    <n v="0.05"/>
    <n v="25010"/>
    <n v="197676"/>
    <n v="150060"/>
    <n v="47616"/>
    <n v="0.24087901414435745"/>
  </r>
  <r>
    <x v="1263"/>
    <x v="533"/>
    <x v="1"/>
    <d v="1900-01-09T00:00:00"/>
    <x v="0"/>
    <s v="Surat"/>
    <s v="Imran Sheikh"/>
    <s v="Imran Sheikh"/>
    <x v="0"/>
    <x v="0"/>
    <s v="Televisions"/>
    <s v="Mi Tv 5X 43 Inch"/>
    <x v="0"/>
    <s v="Returned"/>
    <n v="1"/>
    <n v="30850"/>
    <n v="0.08"/>
    <n v="19480"/>
    <n v="28382"/>
    <n v="19480"/>
    <n v="8902"/>
    <n v="0.31364949615953774"/>
  </r>
  <r>
    <x v="1264"/>
    <x v="533"/>
    <x v="1"/>
    <d v="1900-01-09T00:00:00"/>
    <x v="2"/>
    <s v="Jaipur"/>
    <s v="Aditya Verma"/>
    <s v="Aditya Verma"/>
    <x v="0"/>
    <x v="0"/>
    <s v="Audio Devices"/>
    <s v="Boat Airdopes 141"/>
    <x v="0"/>
    <s v="Delivered"/>
    <n v="36"/>
    <n v="1740"/>
    <n v="0.15"/>
    <n v="1270"/>
    <n v="53244"/>
    <n v="45720"/>
    <n v="7524"/>
    <n v="0.14131169709263017"/>
  </r>
  <r>
    <x v="1265"/>
    <x v="533"/>
    <x v="1"/>
    <d v="1900-01-09T00:00:00"/>
    <x v="2"/>
    <s v="Noida"/>
    <s v="Rohit Malhotra"/>
    <s v="Rohit Malhotra"/>
    <x v="1"/>
    <x v="0"/>
    <s v="Mobile Phones"/>
    <s v="Samsung Galaxy M35"/>
    <x v="2"/>
    <s v="Pending"/>
    <n v="2"/>
    <n v="21970"/>
    <n v="0.18"/>
    <n v="12380"/>
    <n v="36030.800000000003"/>
    <n v="24760"/>
    <n v="11270.800000000003"/>
    <n v="0.31281015131498613"/>
  </r>
  <r>
    <x v="1266"/>
    <x v="533"/>
    <x v="1"/>
    <d v="1900-01-09T00:00:00"/>
    <x v="2"/>
    <s v="Lucknow"/>
    <s v="Simran Kaur"/>
    <s v="Simran Kaur"/>
    <x v="2"/>
    <x v="1"/>
    <s v="Washing Machines"/>
    <s v="Whirlpool Semi Auto 7.5Kg"/>
    <x v="0"/>
    <s v="Delivered"/>
    <n v="8"/>
    <n v="14050"/>
    <n v="0.12"/>
    <n v="8220"/>
    <n v="98912"/>
    <n v="65760"/>
    <n v="33152"/>
    <n v="0.33516661274668391"/>
  </r>
  <r>
    <x v="1267"/>
    <x v="533"/>
    <x v="1"/>
    <d v="1900-01-09T00:00:00"/>
    <x v="4"/>
    <s v="Indore"/>
    <s v="Pooja Chouhan"/>
    <s v="Pooja Chouhan"/>
    <x v="2"/>
    <x v="2"/>
    <s v="Footwear"/>
    <s v="Nike Revolution 7"/>
    <x v="0"/>
    <s v="Returned"/>
    <n v="12"/>
    <n v="3980"/>
    <n v="0.2"/>
    <n v="2320"/>
    <n v="38208"/>
    <n v="27840"/>
    <n v="10368"/>
    <n v="0.271356783919598"/>
  </r>
  <r>
    <x v="1268"/>
    <x v="534"/>
    <x v="1"/>
    <d v="1900-01-09T00:00:00"/>
    <x v="3"/>
    <s v="Bengaluru"/>
    <s v="Karthik Raman"/>
    <s v="Karthik Raman"/>
    <x v="2"/>
    <x v="1"/>
    <s v="Air Conditioners"/>
    <s v="Daikin 1.5T Split Ac"/>
    <x v="2"/>
    <s v="Delivered"/>
    <n v="3"/>
    <n v="42450"/>
    <n v="0.05"/>
    <n v="26890"/>
    <n v="120982.5"/>
    <n v="80670"/>
    <n v="40312.5"/>
    <n v="0.33320934845948796"/>
  </r>
  <r>
    <x v="1269"/>
    <x v="534"/>
    <x v="1"/>
    <d v="1900-01-09T00:00:00"/>
    <x v="3"/>
    <s v="Kochi"/>
    <s v="Divya Nair"/>
    <s v="Divya Nair"/>
    <x v="0"/>
    <x v="0"/>
    <s v="Televisions"/>
    <s v="Samsung Crystal 4K 55 Inch"/>
    <x v="2"/>
    <s v="Shipped"/>
    <n v="4"/>
    <n v="52950"/>
    <n v="0.08"/>
    <n v="40350"/>
    <n v="194856"/>
    <n v="161400"/>
    <n v="33456"/>
    <n v="0.1716960216775465"/>
  </r>
  <r>
    <x v="1270"/>
    <x v="534"/>
    <x v="1"/>
    <d v="1900-01-09T00:00:00"/>
    <x v="2"/>
    <s v="Jaipur"/>
    <s v="Simran Kaur"/>
    <s v="Simran Kaur"/>
    <x v="2"/>
    <x v="1"/>
    <s v="Kitchen Appliances"/>
    <s v="Prestige Mixer Grinder"/>
    <x v="0"/>
    <s v="Delivered"/>
    <n v="15"/>
    <n v="4730"/>
    <n v="0.12"/>
    <n v="3560"/>
    <n v="62436"/>
    <n v="53400"/>
    <n v="9036"/>
    <n v="0.1447241975783202"/>
  </r>
  <r>
    <x v="1271"/>
    <x v="534"/>
    <x v="1"/>
    <d v="1900-01-09T00:00:00"/>
    <x v="0"/>
    <s v="Mumbai"/>
    <s v="Neha Deshpande"/>
    <s v="Neha Deshpande"/>
    <x v="0"/>
    <x v="4"/>
    <s v="Fitness Equipment"/>
    <s v="Adjustable Dumbbell Set 10Kg"/>
    <x v="0"/>
    <s v="Delivered"/>
    <n v="37"/>
    <n v="2520"/>
    <n v="0.05"/>
    <n v="1670"/>
    <n v="88578"/>
    <n v="61790"/>
    <n v="26788"/>
    <n v="0.30242272347535504"/>
  </r>
  <r>
    <x v="1272"/>
    <x v="534"/>
    <x v="1"/>
    <d v="1900-01-09T00:00:00"/>
    <x v="2"/>
    <s v="Gurugram"/>
    <s v="Simran Kaur"/>
    <s v="Simran Kaur"/>
    <x v="2"/>
    <x v="1"/>
    <s v="Refrigerators"/>
    <s v="Samsung 192L Single Door"/>
    <x v="1"/>
    <s v="Returned"/>
    <n v="7"/>
    <n v="16570"/>
    <n v="0.05"/>
    <n v="12660"/>
    <n v="110190.5"/>
    <n v="88620"/>
    <n v="21570.5"/>
    <n v="0.19575643998348316"/>
  </r>
  <r>
    <x v="1273"/>
    <x v="535"/>
    <x v="1"/>
    <d v="1900-01-09T00:00:00"/>
    <x v="0"/>
    <s v="Ahmedabad"/>
    <s v="Imran Sheikh"/>
    <s v="Imran Sheikh"/>
    <x v="2"/>
    <x v="0"/>
    <s v="Televisions"/>
    <s v="Samsung Crystal 4K 55 Inch"/>
    <x v="1"/>
    <s v="Delivered"/>
    <n v="4"/>
    <n v="52840"/>
    <n v="0.15"/>
    <n v="41340"/>
    <n v="179656"/>
    <n v="165360"/>
    <n v="14296"/>
    <n v="7.9574297546422049E-2"/>
  </r>
  <r>
    <x v="1274"/>
    <x v="535"/>
    <x v="1"/>
    <d v="1900-01-09T00:00:00"/>
    <x v="2"/>
    <s v="Lucknow"/>
    <s v="Rohit Malhotra"/>
    <s v="Rohit Malhotra"/>
    <x v="2"/>
    <x v="1"/>
    <s v="Washing Machines"/>
    <s v="Ifb Front Load 7Kg"/>
    <x v="0"/>
    <s v="Delivered"/>
    <n v="2"/>
    <n v="33120"/>
    <n v="0"/>
    <n v="21200"/>
    <n v="66240"/>
    <n v="42400"/>
    <n v="23840"/>
    <n v="0.35990338164251207"/>
  </r>
  <r>
    <x v="1275"/>
    <x v="536"/>
    <x v="1"/>
    <d v="1900-01-09T00:00:00"/>
    <x v="0"/>
    <s v="Nashik"/>
    <s v="Prateek Shah"/>
    <s v="Prateek Shah"/>
    <x v="0"/>
    <x v="2"/>
    <s v="Footwear"/>
    <s v="Campus Running Shoes"/>
    <x v="2"/>
    <s v="Delivered"/>
    <n v="10"/>
    <n v="1630"/>
    <n v="0.08"/>
    <n v="1130"/>
    <n v="14996"/>
    <n v="11300"/>
    <n v="3696"/>
    <n v="0.24646572419311816"/>
  </r>
  <r>
    <x v="1276"/>
    <x v="536"/>
    <x v="1"/>
    <d v="1900-01-09T00:00:00"/>
    <x v="2"/>
    <s v="Chandigarh"/>
    <s v="Aditya Verma"/>
    <s v="Aditya Verma"/>
    <x v="0"/>
    <x v="2"/>
    <s v="Apparel"/>
    <s v="Levis 511 Jeans"/>
    <x v="0"/>
    <s v="Delivered"/>
    <n v="32"/>
    <n v="2920"/>
    <n v="0.18"/>
    <n v="2040"/>
    <n v="76620.800000000003"/>
    <n v="65280"/>
    <n v="11340.800000000003"/>
    <n v="0.14801202806548616"/>
  </r>
  <r>
    <x v="1277"/>
    <x v="536"/>
    <x v="1"/>
    <d v="1900-01-09T00:00:00"/>
    <x v="2"/>
    <s v="Jaipur"/>
    <s v="Simran Kaur"/>
    <s v="Simran Kaur"/>
    <x v="3"/>
    <x v="0"/>
    <s v="Laptops"/>
    <s v="Dell Inspiron 3520"/>
    <x v="1"/>
    <s v="Delivered"/>
    <n v="7"/>
    <n v="54360"/>
    <n v="0.08"/>
    <n v="35640"/>
    <n v="350078.4"/>
    <n v="249480"/>
    <n v="100598.40000000002"/>
    <n v="0.28735963144255694"/>
  </r>
  <r>
    <x v="1278"/>
    <x v="536"/>
    <x v="1"/>
    <d v="1900-01-09T00:00:00"/>
    <x v="2"/>
    <s v="Jaipur"/>
    <s v="Aditya Verma"/>
    <s v="Aditya Verma"/>
    <x v="0"/>
    <x v="0"/>
    <s v="Audio Devices"/>
    <s v="Boat Airdopes 141"/>
    <x v="1"/>
    <s v="Delivered"/>
    <n v="40"/>
    <n v="1830"/>
    <n v="0.05"/>
    <n v="1030"/>
    <n v="69540"/>
    <n v="41200"/>
    <n v="28340"/>
    <n v="0.40753523152142651"/>
  </r>
  <r>
    <x v="1279"/>
    <x v="537"/>
    <x v="1"/>
    <d v="1900-01-09T00:00:00"/>
    <x v="2"/>
    <s v="Gurugram"/>
    <s v="Aditya Verma"/>
    <s v="Aditya Verma"/>
    <x v="2"/>
    <x v="0"/>
    <s v="Audio Devices"/>
    <s v="Jbl Flip 6"/>
    <x v="0"/>
    <s v="Delivered"/>
    <n v="2"/>
    <n v="8910"/>
    <n v="0.1"/>
    <n v="5200"/>
    <n v="16038"/>
    <n v="10400"/>
    <n v="5638"/>
    <n v="0.35154009228083299"/>
  </r>
  <r>
    <x v="1280"/>
    <x v="537"/>
    <x v="1"/>
    <d v="1900-01-09T00:00:00"/>
    <x v="3"/>
    <s v="Hyderabad"/>
    <s v="Divya Nair"/>
    <s v="Divya Nair"/>
    <x v="1"/>
    <x v="4"/>
    <s v="Sports Gear"/>
    <s v="Sg Cricket Bat English Willow"/>
    <x v="1"/>
    <s v="Delivered"/>
    <n v="11"/>
    <n v="4810"/>
    <n v="0"/>
    <n v="2950"/>
    <n v="52910"/>
    <n v="32450"/>
    <n v="20460"/>
    <n v="0.38669438669438672"/>
  </r>
  <r>
    <x v="1281"/>
    <x v="538"/>
    <x v="1"/>
    <d v="1900-01-09T00:00:00"/>
    <x v="2"/>
    <s v="Lucknow"/>
    <s v="Simran Kaur"/>
    <s v="Simran Kaur"/>
    <x v="3"/>
    <x v="2"/>
    <s v="Accessories"/>
    <s v="Wildcraft 35L Backpack"/>
    <x v="2"/>
    <s v="Shipped"/>
    <n v="51"/>
    <n v="1890"/>
    <n v="0.08"/>
    <n v="1410"/>
    <n v="88678.8"/>
    <n v="71910"/>
    <n v="16768.800000000003"/>
    <n v="0.18909592822636304"/>
  </r>
  <r>
    <x v="1282"/>
    <x v="538"/>
    <x v="1"/>
    <d v="1900-01-09T00:00:00"/>
    <x v="3"/>
    <s v="Kochi"/>
    <s v="Anjali Menon"/>
    <s v="Anjali Menon"/>
    <x v="3"/>
    <x v="1"/>
    <s v="Refrigerators"/>
    <s v="Samsung 192L Single Door"/>
    <x v="0"/>
    <s v="Delivered"/>
    <n v="7"/>
    <n v="15860"/>
    <n v="0"/>
    <n v="11750"/>
    <n v="111020"/>
    <n v="82250"/>
    <n v="28770"/>
    <n v="0.25914249684741486"/>
  </r>
  <r>
    <x v="1283"/>
    <x v="538"/>
    <x v="1"/>
    <d v="1900-01-09T00:00:00"/>
    <x v="3"/>
    <s v="Kochi"/>
    <s v="Divya Nair"/>
    <s v="Divya Nair"/>
    <x v="1"/>
    <x v="3"/>
    <s v="Tables"/>
    <s v="Study Table Engineered Wood"/>
    <x v="1"/>
    <s v="Delivered"/>
    <n v="25"/>
    <n v="8400"/>
    <n v="0"/>
    <n v="5900"/>
    <n v="210000"/>
    <n v="147500"/>
    <n v="62500"/>
    <n v="0.29761904761904762"/>
  </r>
  <r>
    <x v="1284"/>
    <x v="538"/>
    <x v="1"/>
    <d v="1900-01-09T00:00:00"/>
    <x v="0"/>
    <s v="Mumbai"/>
    <s v="Neha Deshpande"/>
    <s v="Neha Deshpande"/>
    <x v="0"/>
    <x v="0"/>
    <s v="Laptops"/>
    <s v="Dell Inspiron 3520"/>
    <x v="0"/>
    <s v="Delivered"/>
    <n v="3"/>
    <n v="56820"/>
    <n v="0.15"/>
    <n v="38940"/>
    <n v="144891"/>
    <n v="116820"/>
    <n v="28071"/>
    <n v="0.19373874153674142"/>
  </r>
  <r>
    <x v="1285"/>
    <x v="539"/>
    <x v="1"/>
    <d v="1900-01-09T00:00:00"/>
    <x v="2"/>
    <s v="Delhi"/>
    <s v="Aditya Verma"/>
    <s v="Aditya Verma"/>
    <x v="3"/>
    <x v="1"/>
    <s v="Air Conditioners"/>
    <s v="Daikin 1.5T Split Ac"/>
    <x v="1"/>
    <s v="Delivered"/>
    <n v="2"/>
    <n v="42960"/>
    <n v="0.05"/>
    <n v="30790"/>
    <n v="81624"/>
    <n v="61580"/>
    <n v="20044"/>
    <n v="0.24556502989316867"/>
  </r>
  <r>
    <x v="1286"/>
    <x v="539"/>
    <x v="1"/>
    <d v="1900-01-09T00:00:00"/>
    <x v="3"/>
    <s v="Chennai"/>
    <s v="Anjali Menon"/>
    <s v="Anjali Menon"/>
    <x v="0"/>
    <x v="1"/>
    <s v="Refrigerators"/>
    <s v="Lg 260L Double Door"/>
    <x v="0"/>
    <s v="Shipped"/>
    <n v="5"/>
    <n v="27850"/>
    <n v="0.05"/>
    <n v="19020"/>
    <n v="132287.5"/>
    <n v="95100"/>
    <n v="37187.5"/>
    <n v="0.28111121610129453"/>
  </r>
  <r>
    <x v="1287"/>
    <x v="539"/>
    <x v="1"/>
    <d v="1900-01-09T00:00:00"/>
    <x v="2"/>
    <s v="Chandigarh"/>
    <s v="Rohit Malhotra"/>
    <s v="Rohit Malhotra"/>
    <x v="0"/>
    <x v="0"/>
    <s v="Audio Devices"/>
    <s v="Jbl Flip 6"/>
    <x v="0"/>
    <s v="Delivered"/>
    <n v="12"/>
    <n v="8740"/>
    <n v="0.12"/>
    <n v="5360"/>
    <n v="92294.399999999994"/>
    <n v="64320"/>
    <n v="27974.399999999994"/>
    <n v="0.30309964634907421"/>
  </r>
  <r>
    <x v="1288"/>
    <x v="539"/>
    <x v="1"/>
    <d v="1900-01-09T00:00:00"/>
    <x v="0"/>
    <s v="Surat"/>
    <s v="Neha Deshpande"/>
    <s v="Neha Deshpande"/>
    <x v="2"/>
    <x v="0"/>
    <s v="Televisions"/>
    <s v="Mi Tv 5X 43 Inch"/>
    <x v="2"/>
    <s v="Delivered"/>
    <n v="2"/>
    <n v="33100"/>
    <n v="0"/>
    <n v="21490"/>
    <n v="66200"/>
    <n v="42980"/>
    <n v="23220"/>
    <n v="0.35075528700906344"/>
  </r>
  <r>
    <x v="1289"/>
    <x v="540"/>
    <x v="1"/>
    <d v="1900-01-09T00:00:00"/>
    <x v="3"/>
    <s v="Kochi"/>
    <s v="Karthik Raman"/>
    <s v="Karthik Raman"/>
    <x v="0"/>
    <x v="0"/>
    <s v="Televisions"/>
    <s v="Mi Tv 5X 43 Inch"/>
    <x v="0"/>
    <s v="Delivered"/>
    <n v="4"/>
    <n v="31950"/>
    <n v="0"/>
    <n v="23520"/>
    <n v="127800"/>
    <n v="94080"/>
    <n v="33720"/>
    <n v="0.26384976525821596"/>
  </r>
  <r>
    <x v="1290"/>
    <x v="541"/>
    <x v="1"/>
    <d v="1900-01-09T00:00:00"/>
    <x v="1"/>
    <s v="Bhubaneswar"/>
    <s v="Ritika Ghosh"/>
    <s v="Ritika Ghosh"/>
    <x v="3"/>
    <x v="3"/>
    <s v="Storage"/>
    <s v="Metal Shoe Rack"/>
    <x v="0"/>
    <s v="Delivered"/>
    <n v="8"/>
    <n v="3490"/>
    <n v="0.15"/>
    <n v="2230"/>
    <n v="23732"/>
    <n v="17840"/>
    <n v="5892"/>
    <n v="0.24827237485251979"/>
  </r>
  <r>
    <x v="1291"/>
    <x v="541"/>
    <x v="1"/>
    <d v="1900-01-09T00:00:00"/>
    <x v="2"/>
    <s v="Gurugram"/>
    <s v="Rohit Malhotra"/>
    <s v="Rohit Malhotra"/>
    <x v="2"/>
    <x v="2"/>
    <s v="Footwear"/>
    <s v="Nike Revolution 7"/>
    <x v="1"/>
    <s v="Delivered"/>
    <n v="5"/>
    <n v="3920"/>
    <n v="0"/>
    <n v="2690"/>
    <n v="19600"/>
    <n v="13450"/>
    <n v="6150"/>
    <n v="0.31377551020408162"/>
  </r>
  <r>
    <x v="1292"/>
    <x v="541"/>
    <x v="1"/>
    <d v="1900-01-09T00:00:00"/>
    <x v="3"/>
    <s v="Chennai"/>
    <s v="Divya Nair"/>
    <s v="Divya Nair"/>
    <x v="1"/>
    <x v="4"/>
    <s v="Activewear"/>
    <s v="Nivia Football Size 5"/>
    <x v="2"/>
    <s v="Delivered"/>
    <n v="57"/>
    <n v="920"/>
    <n v="0.18"/>
    <n v="580"/>
    <n v="43000.800000000003"/>
    <n v="33060"/>
    <n v="9940.8000000000029"/>
    <n v="0.23117709437963951"/>
  </r>
  <r>
    <x v="1293"/>
    <x v="541"/>
    <x v="1"/>
    <d v="1900-01-09T00:00:00"/>
    <x v="1"/>
    <s v="Ranchi"/>
    <s v="Sourav Das"/>
    <s v="Sourav Das"/>
    <x v="1"/>
    <x v="4"/>
    <s v="Fitness Equipment"/>
    <s v="Adjustable Dumbbell Set 10Kg"/>
    <x v="1"/>
    <s v="Delivered"/>
    <n v="51"/>
    <n v="2550"/>
    <n v="0.1"/>
    <n v="1500"/>
    <n v="117045"/>
    <n v="76500"/>
    <n v="40545"/>
    <n v="0.34640522875816993"/>
  </r>
  <r>
    <x v="1294"/>
    <x v="541"/>
    <x v="1"/>
    <d v="1900-01-09T00:00:00"/>
    <x v="2"/>
    <s v="Chandigarh"/>
    <s v="Simran Kaur"/>
    <s v="Simran Kaur"/>
    <x v="0"/>
    <x v="4"/>
    <s v="Fitness Equipment"/>
    <s v="Adjustable Dumbbell Set 10Kg"/>
    <x v="2"/>
    <s v="Delivered"/>
    <n v="6"/>
    <n v="2530"/>
    <n v="0.08"/>
    <n v="1620"/>
    <n v="13965.6"/>
    <n v="9720"/>
    <n v="4245.6000000000004"/>
    <n v="0.30400412442000346"/>
  </r>
  <r>
    <x v="1295"/>
    <x v="541"/>
    <x v="1"/>
    <d v="1900-01-09T00:00:00"/>
    <x v="1"/>
    <s v="Guwahati"/>
    <s v="Ritika Ghosh"/>
    <s v="Ritika Ghosh"/>
    <x v="3"/>
    <x v="4"/>
    <s v="Fitness Equipment"/>
    <s v="Home Foldable Treadmill"/>
    <x v="0"/>
    <s v="Delivered"/>
    <n v="4"/>
    <n v="44950"/>
    <n v="0"/>
    <n v="28230"/>
    <n v="179800"/>
    <n v="112920"/>
    <n v="66880"/>
    <n v="0.37196885428253618"/>
  </r>
  <r>
    <x v="1296"/>
    <x v="541"/>
    <x v="1"/>
    <d v="1900-01-09T00:00:00"/>
    <x v="2"/>
    <s v="Jaipur"/>
    <s v="Aditya Verma"/>
    <s v="Aditya Verma"/>
    <x v="0"/>
    <x v="0"/>
    <s v="Laptops"/>
    <s v="Macbook Air M3"/>
    <x v="1"/>
    <s v="Delivered"/>
    <n v="4"/>
    <n v="107160"/>
    <n v="0.18"/>
    <n v="72560"/>
    <n v="351484.80000000005"/>
    <n v="290240"/>
    <n v="61244.800000000047"/>
    <n v="0.17424594178752548"/>
  </r>
  <r>
    <x v="1297"/>
    <x v="542"/>
    <x v="1"/>
    <d v="1900-01-09T00:00:00"/>
    <x v="0"/>
    <s v="Mumbai"/>
    <s v="Imran Sheikh"/>
    <s v="Imran Sheikh"/>
    <x v="3"/>
    <x v="3"/>
    <s v="Office Chairs"/>
    <s v="Green Soul Ergonomic Chair"/>
    <x v="0"/>
    <s v="Delivered"/>
    <n v="12"/>
    <n v="12950"/>
    <n v="0.2"/>
    <n v="8680"/>
    <n v="124320"/>
    <n v="104160"/>
    <n v="20160"/>
    <n v="0.16216216216216217"/>
  </r>
  <r>
    <x v="1298"/>
    <x v="542"/>
    <x v="1"/>
    <d v="1900-01-09T00:00:00"/>
    <x v="0"/>
    <s v="Mumbai"/>
    <s v="Prateek Shah"/>
    <s v="Prateek Shah"/>
    <x v="3"/>
    <x v="0"/>
    <s v="Audio Devices"/>
    <s v="Boat Airdopes 141"/>
    <x v="1"/>
    <s v="Delivered"/>
    <n v="53"/>
    <n v="1920"/>
    <n v="0.12"/>
    <n v="1140"/>
    <n v="89548.800000000003"/>
    <n v="60420"/>
    <n v="29128.800000000003"/>
    <n v="0.32528409090909094"/>
  </r>
  <r>
    <x v="1299"/>
    <x v="543"/>
    <x v="1"/>
    <d v="1900-01-09T00:00:00"/>
    <x v="3"/>
    <s v="Hyderabad"/>
    <s v="Anjali Menon"/>
    <s v="Anjali Menon"/>
    <x v="2"/>
    <x v="1"/>
    <s v="Refrigerators"/>
    <s v="Samsung 192L Single Door"/>
    <x v="0"/>
    <s v="Delivered"/>
    <n v="4"/>
    <n v="15990"/>
    <n v="0.05"/>
    <n v="9850"/>
    <n v="60762"/>
    <n v="39400"/>
    <n v="21362"/>
    <n v="0.35156841446956982"/>
  </r>
  <r>
    <x v="1300"/>
    <x v="543"/>
    <x v="1"/>
    <d v="1900-01-09T00:00:00"/>
    <x v="0"/>
    <s v="Pune"/>
    <s v="Imran Sheikh"/>
    <s v="Imran Sheikh"/>
    <x v="2"/>
    <x v="4"/>
    <s v="Sports Gear"/>
    <s v="Yonex Badminton Racket"/>
    <x v="0"/>
    <s v="Delivered"/>
    <n v="6"/>
    <n v="3050"/>
    <n v="0.08"/>
    <n v="2380"/>
    <n v="16836"/>
    <n v="14280"/>
    <n v="2556"/>
    <n v="0.15181753385602281"/>
  </r>
  <r>
    <x v="1301"/>
    <x v="543"/>
    <x v="1"/>
    <d v="1900-01-09T00:00:00"/>
    <x v="4"/>
    <s v="Bhopal"/>
    <s v="Pooja Chouhan"/>
    <s v="Pooja Chouhan"/>
    <x v="0"/>
    <x v="0"/>
    <s v="Audio Devices"/>
    <s v="Sony Wh-Ch720N"/>
    <x v="1"/>
    <s v="Delivered"/>
    <n v="13"/>
    <n v="9050"/>
    <n v="0"/>
    <n v="5230"/>
    <n v="117650"/>
    <n v="67990"/>
    <n v="49660"/>
    <n v="0.42209944751381218"/>
  </r>
  <r>
    <x v="1302"/>
    <x v="543"/>
    <x v="1"/>
    <d v="1900-01-09T00:00:00"/>
    <x v="2"/>
    <s v="Noida"/>
    <s v="Simran Kaur"/>
    <s v="Simran Kaur"/>
    <x v="3"/>
    <x v="3"/>
    <s v="Tables"/>
    <s v="6-Seater Dining Table"/>
    <x v="0"/>
    <s v="Delivered"/>
    <n v="3"/>
    <n v="25400"/>
    <n v="0.05"/>
    <n v="17470"/>
    <n v="72390"/>
    <n v="52410"/>
    <n v="19980"/>
    <n v="0.27600497306257771"/>
  </r>
  <r>
    <x v="1303"/>
    <x v="543"/>
    <x v="1"/>
    <d v="1900-01-09T00:00:00"/>
    <x v="0"/>
    <s v="Nagpur"/>
    <s v="Prateek Shah"/>
    <s v="Prateek Shah"/>
    <x v="0"/>
    <x v="1"/>
    <s v="Kitchen Appliances"/>
    <s v="Philips Air Fryer"/>
    <x v="2"/>
    <s v="Returned"/>
    <n v="9"/>
    <n v="9650"/>
    <n v="0.08"/>
    <n v="6100"/>
    <n v="79902"/>
    <n v="54900"/>
    <n v="25002"/>
    <n v="0.3129083126830367"/>
  </r>
  <r>
    <x v="1304"/>
    <x v="544"/>
    <x v="1"/>
    <d v="1900-01-09T00:00:00"/>
    <x v="2"/>
    <s v="Gurugram"/>
    <s v="Simran Kaur"/>
    <s v="Simran Kaur"/>
    <x v="1"/>
    <x v="2"/>
    <s v="Apparel"/>
    <s v="Allen Solly Formal Shirt"/>
    <x v="2"/>
    <s v="Delivered"/>
    <n v="67"/>
    <n v="1810"/>
    <n v="0.08"/>
    <n v="1400"/>
    <n v="111568.40000000001"/>
    <n v="93800"/>
    <n v="17768.400000000009"/>
    <n v="0.15926014893105939"/>
  </r>
  <r>
    <x v="1305"/>
    <x v="544"/>
    <x v="1"/>
    <d v="1900-01-09T00:00:00"/>
    <x v="1"/>
    <s v="Kolkata"/>
    <s v="Ritika Ghosh"/>
    <s v="Ritika Ghosh"/>
    <x v="0"/>
    <x v="0"/>
    <s v="Televisions"/>
    <s v="Samsung Crystal 4K 55 Inch"/>
    <x v="1"/>
    <s v="Delivered"/>
    <n v="1"/>
    <n v="52150"/>
    <n v="0"/>
    <n v="29730"/>
    <n v="52150"/>
    <n v="29730"/>
    <n v="22420"/>
    <n v="0.42991371045062321"/>
  </r>
  <r>
    <x v="1306"/>
    <x v="545"/>
    <x v="1"/>
    <d v="1900-01-09T00:00:00"/>
    <x v="3"/>
    <s v="Coimbatore"/>
    <s v="Anjali Menon"/>
    <s v="Anjali Menon"/>
    <x v="2"/>
    <x v="0"/>
    <s v="Televisions"/>
    <s v="Samsung Crystal 4K 55 Inch"/>
    <x v="2"/>
    <s v="Delivered"/>
    <n v="1"/>
    <n v="53880"/>
    <n v="0.05"/>
    <n v="31540"/>
    <n v="51186"/>
    <n v="31540"/>
    <n v="19646"/>
    <n v="0.38381588715664439"/>
  </r>
  <r>
    <x v="1307"/>
    <x v="546"/>
    <x v="1"/>
    <d v="1900-01-09T00:00:00"/>
    <x v="1"/>
    <s v="Patna"/>
    <s v="Ritika Ghosh"/>
    <s v="Ritika Ghosh"/>
    <x v="0"/>
    <x v="3"/>
    <s v="Office Chairs"/>
    <s v="Nilkamal Executive Chair"/>
    <x v="2"/>
    <s v="Delivered"/>
    <n v="4"/>
    <n v="6720"/>
    <n v="0.18"/>
    <n v="3920"/>
    <n v="22041.600000000002"/>
    <n v="15680"/>
    <n v="6361.6000000000022"/>
    <n v="0.28861788617886186"/>
  </r>
  <r>
    <x v="1308"/>
    <x v="546"/>
    <x v="1"/>
    <d v="1900-01-09T00:00:00"/>
    <x v="2"/>
    <s v="Gurugram"/>
    <s v="Rohit Malhotra"/>
    <s v="Rohit Malhotra"/>
    <x v="2"/>
    <x v="4"/>
    <s v="Activewear"/>
    <s v="Puma Track Pants"/>
    <x v="0"/>
    <s v="Delivered"/>
    <n v="23"/>
    <n v="1680"/>
    <n v="0.12"/>
    <n v="1180"/>
    <n v="34003.199999999997"/>
    <n v="27140"/>
    <n v="6863.1999999999971"/>
    <n v="0.20183982683982676"/>
  </r>
  <r>
    <x v="1309"/>
    <x v="546"/>
    <x v="1"/>
    <d v="1900-01-09T00:00:00"/>
    <x v="0"/>
    <s v="Nashik"/>
    <s v="Imran Sheikh"/>
    <s v="Imran Sheikh"/>
    <x v="1"/>
    <x v="3"/>
    <s v="Storage"/>
    <s v="3-Door Wardrobe"/>
    <x v="2"/>
    <s v="Delivered"/>
    <n v="8"/>
    <n v="28230"/>
    <n v="0.18"/>
    <n v="21480"/>
    <n v="185188.80000000002"/>
    <n v="171840"/>
    <n v="13348.800000000017"/>
    <n v="7.2082112957155164E-2"/>
  </r>
  <r>
    <x v="1310"/>
    <x v="546"/>
    <x v="1"/>
    <d v="1900-01-09T00:00:00"/>
    <x v="4"/>
    <s v="Bhopal"/>
    <s v="Pooja Chouhan"/>
    <s v="Pooja Chouhan"/>
    <x v="0"/>
    <x v="0"/>
    <s v="Mobile Phones"/>
    <s v="Redmi Note 14"/>
    <x v="0"/>
    <s v="Pending"/>
    <n v="6"/>
    <n v="19390"/>
    <n v="0.08"/>
    <n v="12180"/>
    <n v="107032.8"/>
    <n v="73080"/>
    <n v="33952.800000000003"/>
    <n v="0.31721864699419244"/>
  </r>
  <r>
    <x v="1311"/>
    <x v="546"/>
    <x v="1"/>
    <d v="1900-01-09T00:00:00"/>
    <x v="2"/>
    <s v="Lucknow"/>
    <s v="Rohit Malhotra"/>
    <s v="Rohit Malhotra"/>
    <x v="0"/>
    <x v="4"/>
    <s v="Activewear"/>
    <s v="Nivia Football Size 5"/>
    <x v="1"/>
    <s v="Delivered"/>
    <n v="15"/>
    <n v="860"/>
    <n v="0.05"/>
    <n v="480"/>
    <n v="12255"/>
    <n v="7200"/>
    <n v="5055"/>
    <n v="0.41248470012239902"/>
  </r>
  <r>
    <x v="1312"/>
    <x v="546"/>
    <x v="1"/>
    <d v="1900-01-09T00:00:00"/>
    <x v="4"/>
    <s v="Raipur"/>
    <s v="Pooja Chouhan"/>
    <s v="Pooja Chouhan"/>
    <x v="2"/>
    <x v="2"/>
    <s v="Footwear"/>
    <s v="Bata Formal Shoes"/>
    <x v="2"/>
    <s v="Delivered"/>
    <n v="5"/>
    <n v="2190"/>
    <n v="0.12"/>
    <n v="1570"/>
    <n v="9636"/>
    <n v="7850"/>
    <n v="1786"/>
    <n v="0.18534661685346618"/>
  </r>
  <r>
    <x v="1313"/>
    <x v="547"/>
    <x v="1"/>
    <d v="1900-01-09T00:00:00"/>
    <x v="2"/>
    <s v="Jaipur"/>
    <s v="Simran Kaur"/>
    <s v="Simran Kaur"/>
    <x v="0"/>
    <x v="0"/>
    <s v="Audio Devices"/>
    <s v="Jbl Flip 6"/>
    <x v="0"/>
    <s v="Delivered"/>
    <n v="4"/>
    <n v="9270"/>
    <n v="0"/>
    <n v="6150"/>
    <n v="37080"/>
    <n v="24600"/>
    <n v="12480"/>
    <n v="0.33656957928802589"/>
  </r>
  <r>
    <x v="1314"/>
    <x v="548"/>
    <x v="1"/>
    <d v="1900-01-09T00:00:00"/>
    <x v="1"/>
    <s v="Ranchi"/>
    <s v="Sourav Das"/>
    <s v="Sourav Das"/>
    <x v="0"/>
    <x v="0"/>
    <s v="Televisions"/>
    <s v="Samsung Crystal 4K 55 Inch"/>
    <x v="0"/>
    <s v="Delivered"/>
    <n v="1"/>
    <n v="50720"/>
    <n v="0"/>
    <n v="29620"/>
    <n v="50720"/>
    <n v="29620"/>
    <n v="21100"/>
    <n v="0.4160094637223975"/>
  </r>
  <r>
    <x v="1315"/>
    <x v="548"/>
    <x v="1"/>
    <d v="1900-01-09T00:00:00"/>
    <x v="1"/>
    <s v="Guwahati"/>
    <s v="Sourav Das"/>
    <s v="Sourav Das"/>
    <x v="1"/>
    <x v="4"/>
    <s v="Activewear"/>
    <s v="Nivia Football Size 5"/>
    <x v="0"/>
    <s v="Delivered"/>
    <n v="47"/>
    <n v="930"/>
    <n v="0"/>
    <n v="680"/>
    <n v="43710"/>
    <n v="31960"/>
    <n v="11750"/>
    <n v="0.26881720430107525"/>
  </r>
  <r>
    <x v="1316"/>
    <x v="548"/>
    <x v="1"/>
    <d v="1900-01-09T00:00:00"/>
    <x v="2"/>
    <s v="Chandigarh"/>
    <s v="Rohit Malhotra"/>
    <s v="Rohit Malhotra"/>
    <x v="3"/>
    <x v="1"/>
    <s v="Refrigerators"/>
    <s v="Lg 260L Double Door"/>
    <x v="1"/>
    <s v="Returned"/>
    <n v="10"/>
    <n v="29230"/>
    <n v="0"/>
    <n v="17160"/>
    <n v="292300"/>
    <n v="171600"/>
    <n v="120700"/>
    <n v="0.41293191926103318"/>
  </r>
  <r>
    <x v="1317"/>
    <x v="549"/>
    <x v="1"/>
    <d v="1900-01-09T00:00:00"/>
    <x v="3"/>
    <s v="Hyderabad"/>
    <s v="Karthik Raman"/>
    <s v="Karthik Raman"/>
    <x v="3"/>
    <x v="0"/>
    <s v="Laptops"/>
    <s v="Hp Pavilion 15"/>
    <x v="1"/>
    <s v="Delivered"/>
    <n v="6"/>
    <n v="65270"/>
    <n v="0.12"/>
    <n v="39810"/>
    <n v="344625.6"/>
    <n v="238860"/>
    <n v="105765.59999999998"/>
    <n v="0.30690000974971093"/>
  </r>
  <r>
    <x v="1318"/>
    <x v="549"/>
    <x v="1"/>
    <d v="1900-01-09T00:00:00"/>
    <x v="4"/>
    <s v="Raipur"/>
    <s v="Pooja Chouhan"/>
    <s v="Pooja Chouhan"/>
    <x v="3"/>
    <x v="2"/>
    <s v="Footwear"/>
    <s v="Campus Running Shoes"/>
    <x v="2"/>
    <s v="Delivered"/>
    <n v="38"/>
    <n v="1710"/>
    <n v="0.18"/>
    <n v="990"/>
    <n v="53283.600000000006"/>
    <n v="37620"/>
    <n v="15663.600000000006"/>
    <n v="0.29396662387676514"/>
  </r>
  <r>
    <x v="1319"/>
    <x v="550"/>
    <x v="1"/>
    <d v="1900-01-09T00:00:00"/>
    <x v="2"/>
    <s v="Gurugram"/>
    <s v="Rohit Malhotra"/>
    <s v="Rohit Malhotra"/>
    <x v="0"/>
    <x v="1"/>
    <s v="Washing Machines"/>
    <s v="Ifb Front Load 7Kg"/>
    <x v="0"/>
    <s v="Delivered"/>
    <n v="4"/>
    <n v="32560"/>
    <n v="0.15"/>
    <n v="18530"/>
    <n v="110704"/>
    <n v="74120"/>
    <n v="36584"/>
    <n v="0.33046683046683045"/>
  </r>
  <r>
    <x v="1320"/>
    <x v="550"/>
    <x v="1"/>
    <d v="1900-01-09T00:00:00"/>
    <x v="3"/>
    <s v="Visakhapatnam"/>
    <s v="Divya Nair"/>
    <s v="Divya Nair"/>
    <x v="2"/>
    <x v="2"/>
    <s v="Footwear"/>
    <s v="Bata Formal Shoes"/>
    <x v="0"/>
    <s v="Returned"/>
    <n v="6"/>
    <n v="2320"/>
    <n v="0.05"/>
    <n v="1330"/>
    <n v="13224"/>
    <n v="7980"/>
    <n v="5244"/>
    <n v="0.39655172413793105"/>
  </r>
  <r>
    <x v="1321"/>
    <x v="551"/>
    <x v="1"/>
    <d v="1900-01-09T00:00:00"/>
    <x v="0"/>
    <s v="Nashik"/>
    <s v="Imran Sheikh"/>
    <s v="Imran Sheikh"/>
    <x v="0"/>
    <x v="1"/>
    <s v="Washing Machines"/>
    <s v="Whirlpool Semi Auto 7.5Kg"/>
    <x v="0"/>
    <s v="Delivered"/>
    <n v="8"/>
    <n v="14480"/>
    <n v="0.08"/>
    <n v="9010"/>
    <n v="106572.8"/>
    <n v="72080"/>
    <n v="34492.800000000003"/>
    <n v="0.32365481623828973"/>
  </r>
  <r>
    <x v="1322"/>
    <x v="551"/>
    <x v="1"/>
    <d v="1900-01-09T00:00:00"/>
    <x v="1"/>
    <s v="Ranchi"/>
    <s v="Sourav Das"/>
    <s v="Sourav Das"/>
    <x v="0"/>
    <x v="1"/>
    <s v="Washing Machines"/>
    <s v="Ifb Front Load 7Kg"/>
    <x v="0"/>
    <s v="Shipped"/>
    <n v="1"/>
    <n v="34450"/>
    <n v="0.15"/>
    <n v="25480"/>
    <n v="29282.5"/>
    <n v="25480"/>
    <n v="3802.5"/>
    <n v="0.12985571587125416"/>
  </r>
  <r>
    <x v="1323"/>
    <x v="551"/>
    <x v="1"/>
    <d v="1900-01-09T00:00:00"/>
    <x v="3"/>
    <s v="Chennai"/>
    <s v="Divya Nair"/>
    <s v="Divya Nair"/>
    <x v="2"/>
    <x v="4"/>
    <s v="Fitness Equipment"/>
    <s v="Home Foldable Treadmill"/>
    <x v="1"/>
    <s v="Delivered"/>
    <n v="1"/>
    <n v="42240"/>
    <n v="0.08"/>
    <n v="31810"/>
    <n v="38860.800000000003"/>
    <n v="31810"/>
    <n v="7050.8000000000029"/>
    <n v="0.18143733530961798"/>
  </r>
  <r>
    <x v="1324"/>
    <x v="551"/>
    <x v="1"/>
    <d v="1900-01-09T00:00:00"/>
    <x v="1"/>
    <s v="Patna"/>
    <s v="Sourav Das"/>
    <s v="Sourav Das"/>
    <x v="0"/>
    <x v="1"/>
    <s v="Refrigerators"/>
    <s v="Lg 260L Double Door"/>
    <x v="0"/>
    <s v="Delivered"/>
    <n v="3"/>
    <n v="27690"/>
    <n v="0.1"/>
    <n v="16320"/>
    <n v="74763"/>
    <n v="48960"/>
    <n v="25803"/>
    <n v="0.34513061273624651"/>
  </r>
  <r>
    <x v="1325"/>
    <x v="551"/>
    <x v="1"/>
    <d v="1900-01-09T00:00:00"/>
    <x v="2"/>
    <s v="Noida"/>
    <s v="Simran Kaur"/>
    <s v="Simran Kaur"/>
    <x v="0"/>
    <x v="0"/>
    <s v="Televisions"/>
    <s v="Samsung Crystal 4K 55 Inch"/>
    <x v="1"/>
    <s v="Delivered"/>
    <n v="1"/>
    <n v="50960"/>
    <n v="0.1"/>
    <n v="34720"/>
    <n v="45864"/>
    <n v="34720"/>
    <n v="11144"/>
    <n v="0.24297924297924298"/>
  </r>
  <r>
    <x v="1326"/>
    <x v="552"/>
    <x v="1"/>
    <d v="1900-01-09T00:00:00"/>
    <x v="4"/>
    <s v="Jabalpur"/>
    <s v="Manish Tiwari"/>
    <s v="Manish Tiwari"/>
    <x v="0"/>
    <x v="0"/>
    <s v="Mobile Phones"/>
    <s v="Samsung Galaxy M35"/>
    <x v="2"/>
    <s v="Delivered"/>
    <n v="5"/>
    <n v="22730"/>
    <n v="0.15"/>
    <n v="14230"/>
    <n v="96602.5"/>
    <n v="71150"/>
    <n v="25452.5"/>
    <n v="0.26347661809994566"/>
  </r>
  <r>
    <x v="1327"/>
    <x v="552"/>
    <x v="1"/>
    <d v="1900-01-09T00:00:00"/>
    <x v="2"/>
    <s v="Jaipur"/>
    <s v="Simran Kaur"/>
    <s v="Simran Kaur"/>
    <x v="0"/>
    <x v="1"/>
    <s v="Washing Machines"/>
    <s v="Ifb Front Load 7Kg"/>
    <x v="1"/>
    <s v="Delivered"/>
    <n v="4"/>
    <n v="33620"/>
    <n v="0.15"/>
    <n v="23700"/>
    <n v="114308"/>
    <n v="94800"/>
    <n v="19508"/>
    <n v="0.17066172096441193"/>
  </r>
  <r>
    <x v="1328"/>
    <x v="552"/>
    <x v="1"/>
    <d v="1900-01-09T00:00:00"/>
    <x v="4"/>
    <s v="Bhopal"/>
    <s v="Manish Tiwari"/>
    <s v="Manish Tiwari"/>
    <x v="0"/>
    <x v="0"/>
    <s v="Televisions"/>
    <s v="Samsung Crystal 4K 55 Inch"/>
    <x v="2"/>
    <s v="Delivered"/>
    <n v="1"/>
    <n v="53610"/>
    <n v="0.2"/>
    <n v="30500"/>
    <n v="42888"/>
    <n v="30500"/>
    <n v="12388"/>
    <n v="0.28884536467077038"/>
  </r>
  <r>
    <x v="1329"/>
    <x v="552"/>
    <x v="1"/>
    <d v="1900-01-09T00:00:00"/>
    <x v="4"/>
    <s v="Ujjain"/>
    <s v="Manish Tiwari"/>
    <s v="Manish Tiwari"/>
    <x v="0"/>
    <x v="0"/>
    <s v="Audio Devices"/>
    <s v="Sony Wh-Ch720N"/>
    <x v="1"/>
    <s v="Returned"/>
    <n v="10"/>
    <n v="8300"/>
    <n v="0.18"/>
    <n v="5670"/>
    <n v="68060"/>
    <n v="56700"/>
    <n v="11360"/>
    <n v="0.16691154863355862"/>
  </r>
  <r>
    <x v="1330"/>
    <x v="552"/>
    <x v="1"/>
    <d v="1900-01-09T00:00:00"/>
    <x v="3"/>
    <s v="Kochi"/>
    <s v="Karthik Raman"/>
    <s v="Karthik Raman"/>
    <x v="1"/>
    <x v="4"/>
    <s v="Sports Gear"/>
    <s v="Sg Cricket Bat English Willow"/>
    <x v="1"/>
    <s v="Delivered"/>
    <n v="15"/>
    <n v="4740"/>
    <n v="0.15"/>
    <n v="3140"/>
    <n v="60435"/>
    <n v="47100"/>
    <n v="13335"/>
    <n v="0.22065028543062795"/>
  </r>
  <r>
    <x v="1331"/>
    <x v="553"/>
    <x v="1"/>
    <d v="1900-01-09T00:00:00"/>
    <x v="3"/>
    <s v="Visakhapatnam"/>
    <s v="Karthik Raman"/>
    <s v="Karthik Raman"/>
    <x v="3"/>
    <x v="3"/>
    <s v="Office Chairs"/>
    <s v="Nilkamal Executive Chair"/>
    <x v="1"/>
    <s v="Pending"/>
    <n v="17"/>
    <n v="6710"/>
    <n v="0"/>
    <n v="4890"/>
    <n v="114070"/>
    <n v="83130"/>
    <n v="30940"/>
    <n v="0.27123695976154993"/>
  </r>
  <r>
    <x v="1332"/>
    <x v="553"/>
    <x v="1"/>
    <d v="1900-01-09T00:00:00"/>
    <x v="0"/>
    <s v="Pune"/>
    <s v="Neha Deshpande"/>
    <s v="Neha Deshpande"/>
    <x v="2"/>
    <x v="3"/>
    <s v="Tables"/>
    <s v="6-Seater Dining Table"/>
    <x v="1"/>
    <s v="Returned"/>
    <n v="1"/>
    <n v="24550"/>
    <n v="0.2"/>
    <n v="15180"/>
    <n v="19640"/>
    <n v="15180"/>
    <n v="4460"/>
    <n v="0.22708757637474541"/>
  </r>
  <r>
    <x v="1333"/>
    <x v="553"/>
    <x v="1"/>
    <d v="1900-01-09T00:00:00"/>
    <x v="1"/>
    <s v="Bhubaneswar"/>
    <s v="Sourav Das"/>
    <s v="Sourav Das"/>
    <x v="2"/>
    <x v="0"/>
    <s v="Mobile Phones"/>
    <s v="Iphone 15"/>
    <x v="2"/>
    <s v="Shipped"/>
    <n v="1"/>
    <n v="64990"/>
    <n v="0.1"/>
    <n v="44390"/>
    <n v="58491"/>
    <n v="44390"/>
    <n v="14101"/>
    <n v="0.24107982424646526"/>
  </r>
  <r>
    <x v="1334"/>
    <x v="554"/>
    <x v="1"/>
    <d v="1900-01-09T00:00:00"/>
    <x v="2"/>
    <s v="Delhi"/>
    <s v="Simran Kaur"/>
    <s v="Simran Kaur"/>
    <x v="0"/>
    <x v="3"/>
    <s v="Tables"/>
    <s v="6-Seater Dining Table"/>
    <x v="0"/>
    <s v="Delivered"/>
    <n v="1"/>
    <n v="24520"/>
    <n v="0.1"/>
    <n v="16440"/>
    <n v="22068"/>
    <n v="16440"/>
    <n v="5628"/>
    <n v="0.25502990755845567"/>
  </r>
  <r>
    <x v="1335"/>
    <x v="554"/>
    <x v="1"/>
    <d v="1900-01-09T00:00:00"/>
    <x v="3"/>
    <s v="Kochi"/>
    <s v="Anjali Menon"/>
    <s v="Anjali Menon"/>
    <x v="0"/>
    <x v="0"/>
    <s v="Mobile Phones"/>
    <s v="Samsung Galaxy M35"/>
    <x v="0"/>
    <s v="Delivered"/>
    <n v="8"/>
    <n v="21460"/>
    <n v="0.1"/>
    <n v="14060"/>
    <n v="154512"/>
    <n v="112480"/>
    <n v="42032"/>
    <n v="0.27203065134099619"/>
  </r>
  <r>
    <x v="1336"/>
    <x v="555"/>
    <x v="1"/>
    <d v="1900-01-09T00:00:00"/>
    <x v="3"/>
    <s v="Coimbatore"/>
    <s v="Divya Nair"/>
    <s v="Divya Nair"/>
    <x v="0"/>
    <x v="0"/>
    <s v="Audio Devices"/>
    <s v="Sony Wh-Ch720N"/>
    <x v="1"/>
    <s v="Delivered"/>
    <n v="13"/>
    <n v="8760"/>
    <n v="0.15"/>
    <n v="5960"/>
    <n v="96798"/>
    <n v="77480"/>
    <n v="19318"/>
    <n v="0.19957023905452592"/>
  </r>
  <r>
    <x v="1337"/>
    <x v="556"/>
    <x v="1"/>
    <d v="1900-01-09T00:00:00"/>
    <x v="1"/>
    <s v="Siliguri"/>
    <s v="Sourav Das"/>
    <s v="Sourav Das"/>
    <x v="1"/>
    <x v="0"/>
    <s v="Mobile Phones"/>
    <s v="Samsung Galaxy M35"/>
    <x v="0"/>
    <s v="Delivered"/>
    <n v="2"/>
    <n v="22500"/>
    <n v="0.1"/>
    <n v="15400"/>
    <n v="40500"/>
    <n v="30800"/>
    <n v="9700"/>
    <n v="0.23950617283950618"/>
  </r>
  <r>
    <x v="1338"/>
    <x v="557"/>
    <x v="1"/>
    <d v="1900-01-09T00:00:00"/>
    <x v="2"/>
    <s v="Delhi"/>
    <s v="Aditya Verma"/>
    <s v="Aditya Verma"/>
    <x v="2"/>
    <x v="2"/>
    <s v="Accessories"/>
    <s v="Fastrack Analog Watch"/>
    <x v="0"/>
    <s v="Delivered"/>
    <n v="6"/>
    <n v="2450"/>
    <n v="0.05"/>
    <n v="1740"/>
    <n v="13965"/>
    <n v="10440"/>
    <n v="3525"/>
    <n v="0.25241675617615467"/>
  </r>
  <r>
    <x v="1339"/>
    <x v="557"/>
    <x v="1"/>
    <d v="1900-01-09T00:00:00"/>
    <x v="4"/>
    <s v="Jabalpur"/>
    <s v="Manish Tiwari"/>
    <s v="Manish Tiwari"/>
    <x v="0"/>
    <x v="1"/>
    <s v="Refrigerators"/>
    <s v="Samsung 192L Single Door"/>
    <x v="0"/>
    <s v="Delivered"/>
    <n v="6"/>
    <n v="16340"/>
    <n v="0.25"/>
    <n v="12620"/>
    <n v="73530"/>
    <n v="75720"/>
    <n v="-2190"/>
    <n v="-2.9783761729906162E-2"/>
  </r>
  <r>
    <x v="1340"/>
    <x v="557"/>
    <x v="1"/>
    <d v="1900-01-09T00:00:00"/>
    <x v="2"/>
    <s v="Noida"/>
    <s v="Aditya Verma"/>
    <s v="Aditya Verma"/>
    <x v="1"/>
    <x v="4"/>
    <s v="Fitness Equipment"/>
    <s v="Adjustable Dumbbell Set 10Kg"/>
    <x v="0"/>
    <s v="Delivered"/>
    <n v="50"/>
    <n v="2320"/>
    <n v="0.15"/>
    <n v="1780"/>
    <n v="98600"/>
    <n v="89000"/>
    <n v="9600"/>
    <n v="9.7363083164300201E-2"/>
  </r>
  <r>
    <x v="1341"/>
    <x v="558"/>
    <x v="1"/>
    <d v="1900-01-09T00:00:00"/>
    <x v="4"/>
    <s v="Bhopal"/>
    <s v="Manish Tiwari"/>
    <s v="Manish Tiwari"/>
    <x v="0"/>
    <x v="1"/>
    <s v="Air Conditioners"/>
    <s v="Daikin 1.5T Split Ac"/>
    <x v="1"/>
    <s v="Delivered"/>
    <n v="1"/>
    <n v="42260"/>
    <n v="0.12"/>
    <n v="30170"/>
    <n v="37188.800000000003"/>
    <n v="30170"/>
    <n v="7018.8000000000029"/>
    <n v="0.18873424256765484"/>
  </r>
  <r>
    <x v="1342"/>
    <x v="558"/>
    <x v="1"/>
    <d v="1900-01-09T00:00:00"/>
    <x v="3"/>
    <s v="Bengaluru"/>
    <s v="Karthik Raman"/>
    <s v="Karthik Raman"/>
    <x v="0"/>
    <x v="0"/>
    <s v="Televisions"/>
    <s v="Samsung Crystal 4K 55 Inch"/>
    <x v="1"/>
    <s v="Returned"/>
    <n v="1"/>
    <n v="53950"/>
    <n v="0.1"/>
    <n v="36470"/>
    <n v="48555"/>
    <n v="36470"/>
    <n v="12085"/>
    <n v="0.2488930079291525"/>
  </r>
  <r>
    <x v="1343"/>
    <x v="559"/>
    <x v="1"/>
    <d v="1900-01-09T00:00:00"/>
    <x v="1"/>
    <s v="Guwahati"/>
    <s v="Sourav Das"/>
    <s v="Sourav Das"/>
    <x v="1"/>
    <x v="1"/>
    <s v="Washing Machines"/>
    <s v="Whirlpool Semi Auto 7.5Kg"/>
    <x v="2"/>
    <s v="Delivered"/>
    <n v="7"/>
    <n v="13410"/>
    <n v="0.05"/>
    <n v="8880"/>
    <n v="89176.5"/>
    <n v="62160"/>
    <n v="27016.5"/>
    <n v="0.30295537501471798"/>
  </r>
  <r>
    <x v="1344"/>
    <x v="559"/>
    <x v="1"/>
    <d v="1900-01-09T00:00:00"/>
    <x v="0"/>
    <s v="Ahmedabad"/>
    <s v="Prateek Shah"/>
    <s v="Prateek Shah"/>
    <x v="2"/>
    <x v="4"/>
    <s v="Sports Gear"/>
    <s v="Yonex Badminton Racket"/>
    <x v="0"/>
    <s v="Pending"/>
    <n v="12"/>
    <n v="3390"/>
    <n v="0.25"/>
    <n v="2500"/>
    <n v="30510"/>
    <n v="30000"/>
    <n v="510"/>
    <n v="1.6715830875122909E-2"/>
  </r>
  <r>
    <x v="1345"/>
    <x v="560"/>
    <x v="1"/>
    <d v="1900-01-09T00:00:00"/>
    <x v="0"/>
    <s v="Mumbai"/>
    <s v="Neha Deshpande"/>
    <s v="Neha Deshpande"/>
    <x v="0"/>
    <x v="0"/>
    <s v="Audio Devices"/>
    <s v="Jbl Flip 6"/>
    <x v="1"/>
    <s v="Delivered"/>
    <n v="13"/>
    <n v="8750"/>
    <n v="0.08"/>
    <n v="5400"/>
    <n v="104650"/>
    <n v="70200"/>
    <n v="34450"/>
    <n v="0.32919254658385094"/>
  </r>
  <r>
    <x v="1346"/>
    <x v="560"/>
    <x v="1"/>
    <d v="1900-01-09T00:00:00"/>
    <x v="2"/>
    <s v="Jaipur"/>
    <s v="Simran Kaur"/>
    <s v="Simran Kaur"/>
    <x v="3"/>
    <x v="3"/>
    <s v="Sofas"/>
    <s v="Single Seater Recliner"/>
    <x v="2"/>
    <s v="Delivered"/>
    <n v="1"/>
    <n v="44550"/>
    <n v="0.15"/>
    <n v="31820"/>
    <n v="37867.5"/>
    <n v="31820"/>
    <n v="6047.5"/>
    <n v="0.15970159107414009"/>
  </r>
  <r>
    <x v="1347"/>
    <x v="561"/>
    <x v="1"/>
    <d v="1900-01-09T00:00:00"/>
    <x v="4"/>
    <s v="Ujjain"/>
    <s v="Manish Tiwari"/>
    <s v="Manish Tiwari"/>
    <x v="0"/>
    <x v="1"/>
    <s v="Air Conditioners"/>
    <s v="Voltas 1.5T Inverter Ac"/>
    <x v="1"/>
    <s v="Pending"/>
    <n v="4"/>
    <n v="35930"/>
    <n v="0.08"/>
    <n v="22000"/>
    <n v="132222.39999999999"/>
    <n v="88000"/>
    <n v="44222.399999999994"/>
    <n v="0.33445467636346032"/>
  </r>
  <r>
    <x v="1348"/>
    <x v="561"/>
    <x v="1"/>
    <d v="1900-01-09T00:00:00"/>
    <x v="1"/>
    <s v="Siliguri"/>
    <s v="Ritika Ghosh"/>
    <s v="Ritika Ghosh"/>
    <x v="3"/>
    <x v="3"/>
    <s v="Office Chairs"/>
    <s v="Green Soul Ergonomic Chair"/>
    <x v="1"/>
    <s v="Delivered"/>
    <n v="6"/>
    <n v="11510"/>
    <n v="0.15"/>
    <n v="8330"/>
    <n v="58701"/>
    <n v="49980"/>
    <n v="8721"/>
    <n v="0.14856646394439618"/>
  </r>
  <r>
    <x v="1349"/>
    <x v="561"/>
    <x v="1"/>
    <d v="1900-01-09T00:00:00"/>
    <x v="2"/>
    <s v="Delhi"/>
    <s v="Simran Kaur"/>
    <s v="Simran Kaur"/>
    <x v="3"/>
    <x v="4"/>
    <s v="Activewear"/>
    <s v="Nivia Football Size 5"/>
    <x v="0"/>
    <s v="Delivered"/>
    <n v="18"/>
    <n v="970"/>
    <n v="0.1"/>
    <n v="660"/>
    <n v="15714"/>
    <n v="11880"/>
    <n v="3834"/>
    <n v="0.24398625429553264"/>
  </r>
  <r>
    <x v="1350"/>
    <x v="561"/>
    <x v="1"/>
    <d v="1900-01-09T00:00:00"/>
    <x v="4"/>
    <s v="Indore"/>
    <s v="Manish Tiwari"/>
    <s v="Manish Tiwari"/>
    <x v="1"/>
    <x v="0"/>
    <s v="Mobile Phones"/>
    <s v="Redmi Note 14"/>
    <x v="1"/>
    <s v="Delivered"/>
    <n v="12"/>
    <n v="18140"/>
    <n v="0.05"/>
    <n v="13830"/>
    <n v="206796"/>
    <n v="165960"/>
    <n v="40836"/>
    <n v="0.19746997040561712"/>
  </r>
  <r>
    <x v="1351"/>
    <x v="561"/>
    <x v="1"/>
    <d v="1900-01-09T00:00:00"/>
    <x v="4"/>
    <s v="Jabalpur"/>
    <s v="Pooja Chouhan"/>
    <s v="Pooja Chouhan"/>
    <x v="1"/>
    <x v="1"/>
    <s v="Kitchen Appliances"/>
    <s v="Pigeon Induction Cooktop"/>
    <x v="2"/>
    <s v="Delivered"/>
    <n v="38"/>
    <n v="2580"/>
    <n v="0.2"/>
    <n v="1880"/>
    <n v="78432"/>
    <n v="71440"/>
    <n v="6992"/>
    <n v="8.9147286821705432E-2"/>
  </r>
  <r>
    <x v="1352"/>
    <x v="561"/>
    <x v="1"/>
    <d v="1900-01-09T00:00:00"/>
    <x v="3"/>
    <s v="Kochi"/>
    <s v="Divya Nair"/>
    <s v="Divya Nair"/>
    <x v="2"/>
    <x v="1"/>
    <s v="Refrigerators"/>
    <s v="Lg 260L Double Door"/>
    <x v="0"/>
    <s v="Delivered"/>
    <n v="8"/>
    <n v="27270"/>
    <n v="0.18"/>
    <n v="17190"/>
    <n v="178891.2"/>
    <n v="137520"/>
    <n v="41371.200000000012"/>
    <n v="0.23126458987362156"/>
  </r>
  <r>
    <x v="1353"/>
    <x v="562"/>
    <x v="1"/>
    <d v="1900-01-09T00:00:00"/>
    <x v="2"/>
    <s v="Jaipur"/>
    <s v="Rohit Malhotra"/>
    <s v="Rohit Malhotra"/>
    <x v="1"/>
    <x v="1"/>
    <s v="Kitchen Appliances"/>
    <s v="Prestige Mixer Grinder"/>
    <x v="2"/>
    <s v="Delivered"/>
    <n v="19"/>
    <n v="4810"/>
    <n v="0.08"/>
    <n v="3560"/>
    <n v="84078.8"/>
    <n v="67640"/>
    <n v="16438.800000000003"/>
    <n v="0.19551658682093467"/>
  </r>
  <r>
    <x v="1354"/>
    <x v="562"/>
    <x v="1"/>
    <d v="1900-01-09T00:00:00"/>
    <x v="0"/>
    <s v="Nashik"/>
    <s v="Prateek Shah"/>
    <s v="Prateek Shah"/>
    <x v="0"/>
    <x v="0"/>
    <s v="Mobile Phones"/>
    <s v="Samsung Galaxy M35"/>
    <x v="0"/>
    <s v="Delivered"/>
    <n v="6"/>
    <n v="22850"/>
    <n v="0.15"/>
    <n v="15940"/>
    <n v="116535"/>
    <n v="95640"/>
    <n v="20895"/>
    <n v="0.17930235551551035"/>
  </r>
  <r>
    <x v="1355"/>
    <x v="562"/>
    <x v="1"/>
    <d v="1900-01-09T00:00:00"/>
    <x v="4"/>
    <s v="Raipur"/>
    <s v="Manish Tiwari"/>
    <s v="Manish Tiwari"/>
    <x v="2"/>
    <x v="4"/>
    <s v="Sports Gear"/>
    <s v="Yonex Badminton Racket"/>
    <x v="2"/>
    <s v="Returned"/>
    <n v="10"/>
    <n v="3380"/>
    <n v="0.15"/>
    <n v="1980"/>
    <n v="28730"/>
    <n v="19800"/>
    <n v="8930"/>
    <n v="0.3108249216846502"/>
  </r>
  <r>
    <x v="1356"/>
    <x v="562"/>
    <x v="1"/>
    <d v="1900-01-09T00:00:00"/>
    <x v="3"/>
    <s v="Visakhapatnam"/>
    <s v="Karthik Raman"/>
    <s v="Karthik Raman"/>
    <x v="1"/>
    <x v="2"/>
    <s v="Footwear"/>
    <s v="Bata Formal Shoes"/>
    <x v="0"/>
    <s v="Shipped"/>
    <n v="29"/>
    <n v="2320"/>
    <n v="0.1"/>
    <n v="1480"/>
    <n v="60552"/>
    <n v="42920"/>
    <n v="17632"/>
    <n v="0.29118773946360155"/>
  </r>
  <r>
    <x v="1357"/>
    <x v="562"/>
    <x v="1"/>
    <d v="1900-01-09T00:00:00"/>
    <x v="3"/>
    <s v="Chennai"/>
    <s v="Anjali Menon"/>
    <s v="Anjali Menon"/>
    <x v="0"/>
    <x v="0"/>
    <s v="Laptops"/>
    <s v="Hp Pavilion 15"/>
    <x v="0"/>
    <s v="Delivered"/>
    <n v="4"/>
    <n v="63320"/>
    <n v="0.1"/>
    <n v="39610"/>
    <n v="227952"/>
    <n v="158440"/>
    <n v="69512"/>
    <n v="0.30494139117007091"/>
  </r>
  <r>
    <x v="1358"/>
    <x v="562"/>
    <x v="1"/>
    <d v="1900-01-09T00:00:00"/>
    <x v="2"/>
    <s v="Jaipur"/>
    <s v="Rohit Malhotra"/>
    <s v="Rohit Malhotra"/>
    <x v="0"/>
    <x v="3"/>
    <s v="Office Chairs"/>
    <s v="Green Soul Ergonomic Chair"/>
    <x v="2"/>
    <s v="Delivered"/>
    <n v="4"/>
    <n v="11420"/>
    <n v="0.12"/>
    <n v="7980"/>
    <n v="40198.400000000001"/>
    <n v="31920"/>
    <n v="8278.4000000000015"/>
    <n v="0.20593854481770421"/>
  </r>
  <r>
    <x v="1359"/>
    <x v="562"/>
    <x v="1"/>
    <d v="1900-01-09T00:00:00"/>
    <x v="4"/>
    <s v="Ujjain"/>
    <s v="Manish Tiwari"/>
    <s v="Manish Tiwari"/>
    <x v="0"/>
    <x v="4"/>
    <s v="Sports Gear"/>
    <s v="Sg Cricket Bat English Willow"/>
    <x v="0"/>
    <s v="Shipped"/>
    <n v="8"/>
    <n v="4380"/>
    <n v="0"/>
    <n v="3410"/>
    <n v="35040"/>
    <n v="27280"/>
    <n v="7760"/>
    <n v="0.22146118721461186"/>
  </r>
  <r>
    <x v="1360"/>
    <x v="563"/>
    <x v="1"/>
    <d v="1900-01-10T00:00:00"/>
    <x v="3"/>
    <s v="Bengaluru"/>
    <s v="Divya Nair"/>
    <s v="Divya Nair"/>
    <x v="2"/>
    <x v="0"/>
    <s v="Audio Devices"/>
    <s v="Boat Airdopes 141"/>
    <x v="0"/>
    <s v="Delivered"/>
    <n v="30"/>
    <n v="1790"/>
    <n v="0"/>
    <n v="1050"/>
    <n v="53700"/>
    <n v="31500"/>
    <n v="22200"/>
    <n v="0.41340782122905029"/>
  </r>
  <r>
    <x v="1361"/>
    <x v="563"/>
    <x v="1"/>
    <d v="1900-01-10T00:00:00"/>
    <x v="2"/>
    <s v="Noida"/>
    <s v="Rohit Malhotra"/>
    <s v="Rohit Malhotra"/>
    <x v="1"/>
    <x v="0"/>
    <s v="Audio Devices"/>
    <s v="Sony Wh-Ch720N"/>
    <x v="1"/>
    <s v="Delivered"/>
    <n v="17"/>
    <n v="8880"/>
    <n v="0.15"/>
    <n v="5970"/>
    <n v="128316"/>
    <n v="101490"/>
    <n v="26826"/>
    <n v="0.20906200317965024"/>
  </r>
  <r>
    <x v="1362"/>
    <x v="564"/>
    <x v="1"/>
    <d v="1900-01-10T00:00:00"/>
    <x v="4"/>
    <s v="Jabalpur"/>
    <s v="Manish Tiwari"/>
    <s v="Manish Tiwari"/>
    <x v="2"/>
    <x v="1"/>
    <s v="Kitchen Appliances"/>
    <s v="Prestige Mixer Grinder"/>
    <x v="0"/>
    <s v="Delivered"/>
    <n v="10"/>
    <n v="4760"/>
    <n v="0.1"/>
    <n v="3580"/>
    <n v="42840"/>
    <n v="35800"/>
    <n v="7040"/>
    <n v="0.16433239962651727"/>
  </r>
  <r>
    <x v="1363"/>
    <x v="565"/>
    <x v="1"/>
    <d v="1900-01-10T00:00:00"/>
    <x v="4"/>
    <s v="Ujjain"/>
    <s v="Pooja Chouhan"/>
    <s v="Pooja Chouhan"/>
    <x v="2"/>
    <x v="3"/>
    <s v="Office Chairs"/>
    <s v="Green Soul Ergonomic Chair"/>
    <x v="2"/>
    <s v="Delivered"/>
    <n v="1"/>
    <n v="11580"/>
    <n v="0.12"/>
    <n v="6600"/>
    <n v="10190.4"/>
    <n v="6600"/>
    <n v="3590.3999999999996"/>
    <n v="0.35233160621761656"/>
  </r>
  <r>
    <x v="1364"/>
    <x v="565"/>
    <x v="1"/>
    <d v="1900-01-10T00:00:00"/>
    <x v="2"/>
    <s v="Lucknow"/>
    <s v="Simran Kaur"/>
    <s v="Simran Kaur"/>
    <x v="0"/>
    <x v="1"/>
    <s v="Refrigerators"/>
    <s v="Lg 260L Double Door"/>
    <x v="1"/>
    <s v="Delivered"/>
    <n v="8"/>
    <n v="27250"/>
    <n v="0.05"/>
    <n v="19400"/>
    <n v="207100"/>
    <n v="155200"/>
    <n v="51900"/>
    <n v="0.25060357315306614"/>
  </r>
  <r>
    <x v="1365"/>
    <x v="566"/>
    <x v="1"/>
    <d v="1900-01-10T00:00:00"/>
    <x v="3"/>
    <s v="Visakhapatnam"/>
    <s v="Anjali Menon"/>
    <s v="Anjali Menon"/>
    <x v="3"/>
    <x v="0"/>
    <s v="Laptops"/>
    <s v="Macbook Air M3"/>
    <x v="1"/>
    <s v="Delivered"/>
    <n v="6"/>
    <n v="102380"/>
    <n v="0.2"/>
    <n v="67830"/>
    <n v="491424"/>
    <n v="406980"/>
    <n v="84444"/>
    <n v="0.17183531939831997"/>
  </r>
  <r>
    <x v="1366"/>
    <x v="566"/>
    <x v="1"/>
    <d v="1900-01-10T00:00:00"/>
    <x v="1"/>
    <s v="Patna"/>
    <s v="Ritika Ghosh"/>
    <s v="Ritika Ghosh"/>
    <x v="1"/>
    <x v="2"/>
    <s v="Footwear"/>
    <s v="Bata Formal Shoes"/>
    <x v="2"/>
    <s v="Delivered"/>
    <n v="21"/>
    <n v="2320"/>
    <n v="0.08"/>
    <n v="1530"/>
    <n v="44822.400000000001"/>
    <n v="32130"/>
    <n v="12692.400000000001"/>
    <n v="0.28317091454272864"/>
  </r>
  <r>
    <x v="1367"/>
    <x v="566"/>
    <x v="1"/>
    <d v="1900-01-10T00:00:00"/>
    <x v="2"/>
    <s v="Lucknow"/>
    <s v="Rohit Malhotra"/>
    <s v="Rohit Malhotra"/>
    <x v="0"/>
    <x v="1"/>
    <s v="Washing Machines"/>
    <s v="Ifb Front Load 7Kg"/>
    <x v="1"/>
    <s v="Delivered"/>
    <n v="3"/>
    <n v="33200"/>
    <n v="0.25"/>
    <n v="22130"/>
    <n v="74700"/>
    <n v="66390"/>
    <n v="8310"/>
    <n v="0.11124497991967872"/>
  </r>
  <r>
    <x v="1368"/>
    <x v="567"/>
    <x v="1"/>
    <d v="1900-01-10T00:00:00"/>
    <x v="4"/>
    <s v="Ujjain"/>
    <s v="Pooja Chouhan"/>
    <s v="Pooja Chouhan"/>
    <x v="1"/>
    <x v="0"/>
    <s v="Mobile Phones"/>
    <s v="Iphone 15"/>
    <x v="0"/>
    <s v="Delivered"/>
    <n v="3"/>
    <n v="67560"/>
    <n v="0.12"/>
    <n v="49330"/>
    <n v="178358.39999999999"/>
    <n v="147990"/>
    <n v="30368.399999999994"/>
    <n v="0.17026616071909143"/>
  </r>
  <r>
    <x v="1369"/>
    <x v="567"/>
    <x v="1"/>
    <d v="1900-01-10T00:00:00"/>
    <x v="3"/>
    <s v="Hyderabad"/>
    <s v="Anjali Menon"/>
    <s v="Anjali Menon"/>
    <x v="0"/>
    <x v="2"/>
    <s v="Accessories"/>
    <s v="Wildcraft 35L Backpack"/>
    <x v="0"/>
    <s v="Delivered"/>
    <n v="14"/>
    <n v="1890"/>
    <n v="0.05"/>
    <n v="1470"/>
    <n v="25137"/>
    <n v="20580"/>
    <n v="4557"/>
    <n v="0.18128654970760233"/>
  </r>
  <r>
    <x v="1370"/>
    <x v="567"/>
    <x v="1"/>
    <d v="1900-01-10T00:00:00"/>
    <x v="3"/>
    <s v="Bengaluru"/>
    <s v="Divya Nair"/>
    <s v="Divya Nair"/>
    <x v="3"/>
    <x v="4"/>
    <s v="Activewear"/>
    <s v="Nivia Football Size 5"/>
    <x v="1"/>
    <s v="Pending"/>
    <n v="15"/>
    <n v="890"/>
    <n v="0.08"/>
    <n v="500"/>
    <n v="12282"/>
    <n v="7500"/>
    <n v="4782"/>
    <n v="0.3893502686858818"/>
  </r>
  <r>
    <x v="1371"/>
    <x v="567"/>
    <x v="1"/>
    <d v="1900-01-10T00:00:00"/>
    <x v="0"/>
    <s v="Nashik"/>
    <s v="Neha Deshpande"/>
    <s v="Neha Deshpande"/>
    <x v="0"/>
    <x v="2"/>
    <s v="Apparel"/>
    <s v="Allen Solly Formal Shirt"/>
    <x v="2"/>
    <s v="Returned"/>
    <n v="6"/>
    <n v="1900"/>
    <n v="0.18"/>
    <n v="1420"/>
    <n v="9348"/>
    <n v="8520"/>
    <n v="828"/>
    <n v="8.8575096277278567E-2"/>
  </r>
  <r>
    <x v="1372"/>
    <x v="568"/>
    <x v="1"/>
    <d v="1900-01-10T00:00:00"/>
    <x v="0"/>
    <s v="Pune"/>
    <s v="Prateek Shah"/>
    <s v="Prateek Shah"/>
    <x v="0"/>
    <x v="0"/>
    <s v="Mobile Phones"/>
    <s v="Iphone 15"/>
    <x v="1"/>
    <s v="Delivered"/>
    <n v="3"/>
    <n v="71440"/>
    <n v="0.18"/>
    <n v="52010"/>
    <n v="175742.40000000002"/>
    <n v="156030"/>
    <n v="19712.400000000023"/>
    <n v="0.11216644361292449"/>
  </r>
  <r>
    <x v="1373"/>
    <x v="569"/>
    <x v="1"/>
    <d v="1900-01-10T00:00:00"/>
    <x v="2"/>
    <s v="Gurugram"/>
    <s v="Simran Kaur"/>
    <s v="Simran Kaur"/>
    <x v="3"/>
    <x v="0"/>
    <s v="Audio Devices"/>
    <s v="Sony Wh-Ch720N"/>
    <x v="2"/>
    <s v="Delivered"/>
    <n v="3"/>
    <n v="8370"/>
    <n v="0.05"/>
    <n v="5600"/>
    <n v="23854.5"/>
    <n v="16800"/>
    <n v="7054.5"/>
    <n v="0.29573036533987296"/>
  </r>
  <r>
    <x v="1374"/>
    <x v="569"/>
    <x v="1"/>
    <d v="1900-01-10T00:00:00"/>
    <x v="0"/>
    <s v="Nagpur"/>
    <s v="Neha Deshpande"/>
    <s v="Neha Deshpande"/>
    <x v="0"/>
    <x v="4"/>
    <s v="Sports Gear"/>
    <s v="Sg Cricket Bat English Willow"/>
    <x v="0"/>
    <s v="Returned"/>
    <n v="8"/>
    <n v="4600"/>
    <n v="0.18"/>
    <n v="3360"/>
    <n v="30176.000000000004"/>
    <n v="26880"/>
    <n v="3296.0000000000036"/>
    <n v="0.10922587486744444"/>
  </r>
  <r>
    <x v="1375"/>
    <x v="570"/>
    <x v="1"/>
    <d v="1900-01-10T00:00:00"/>
    <x v="3"/>
    <s v="Hyderabad"/>
    <s v="Karthik Raman"/>
    <s v="Karthik Raman"/>
    <x v="2"/>
    <x v="2"/>
    <s v="Accessories"/>
    <s v="Wildcraft 35L Backpack"/>
    <x v="0"/>
    <s v="Delivered"/>
    <n v="27"/>
    <n v="2040"/>
    <n v="0.1"/>
    <n v="1330"/>
    <n v="49572"/>
    <n v="35910"/>
    <n v="13662"/>
    <n v="0.27559912854030499"/>
  </r>
  <r>
    <x v="1376"/>
    <x v="570"/>
    <x v="1"/>
    <d v="1900-01-10T00:00:00"/>
    <x v="3"/>
    <s v="Bengaluru"/>
    <s v="Anjali Menon"/>
    <s v="Anjali Menon"/>
    <x v="2"/>
    <x v="2"/>
    <s v="Accessories"/>
    <s v="Fastrack Analog Watch"/>
    <x v="2"/>
    <s v="Returned"/>
    <n v="9"/>
    <n v="2630"/>
    <n v="0"/>
    <n v="1690"/>
    <n v="23670"/>
    <n v="15210"/>
    <n v="8460"/>
    <n v="0.35741444866920152"/>
  </r>
  <r>
    <x v="1377"/>
    <x v="570"/>
    <x v="1"/>
    <d v="1900-01-10T00:00:00"/>
    <x v="4"/>
    <s v="Raipur"/>
    <s v="Manish Tiwari"/>
    <s v="Manish Tiwari"/>
    <x v="3"/>
    <x v="3"/>
    <s v="Sofas"/>
    <s v="3-Seater Fabric Sofa"/>
    <x v="1"/>
    <s v="Delivered"/>
    <n v="6"/>
    <n v="30500"/>
    <n v="0.18"/>
    <n v="17750"/>
    <n v="150060"/>
    <n v="106500"/>
    <n v="43560"/>
    <n v="0.29028388644542186"/>
  </r>
  <r>
    <x v="1378"/>
    <x v="571"/>
    <x v="1"/>
    <d v="1900-01-10T00:00:00"/>
    <x v="2"/>
    <s v="Delhi"/>
    <s v="Rohit Malhotra"/>
    <s v="Rohit Malhotra"/>
    <x v="0"/>
    <x v="3"/>
    <s v="Storage"/>
    <s v="3-Door Wardrobe"/>
    <x v="1"/>
    <s v="Delivered"/>
    <n v="2"/>
    <n v="28720"/>
    <n v="0.08"/>
    <n v="20360"/>
    <n v="52844.800000000003"/>
    <n v="40720"/>
    <n v="12124.800000000003"/>
    <n v="0.22944168584231564"/>
  </r>
  <r>
    <x v="1379"/>
    <x v="571"/>
    <x v="1"/>
    <d v="1900-01-10T00:00:00"/>
    <x v="3"/>
    <s v="Coimbatore"/>
    <s v="Divya Nair"/>
    <s v="Divya Nair"/>
    <x v="2"/>
    <x v="3"/>
    <s v="Storage"/>
    <s v="3-Door Wardrobe"/>
    <x v="0"/>
    <s v="Shipped"/>
    <n v="4"/>
    <n v="27820"/>
    <n v="0.1"/>
    <n v="21110"/>
    <n v="100152"/>
    <n v="84440"/>
    <n v="15712"/>
    <n v="0.15688154005911015"/>
  </r>
  <r>
    <x v="1380"/>
    <x v="571"/>
    <x v="1"/>
    <d v="1900-01-10T00:00:00"/>
    <x v="4"/>
    <s v="Indore"/>
    <s v="Manish Tiwari"/>
    <s v="Manish Tiwari"/>
    <x v="0"/>
    <x v="1"/>
    <s v="Washing Machines"/>
    <s v="Whirlpool Semi Auto 7.5Kg"/>
    <x v="0"/>
    <s v="Delivered"/>
    <n v="4"/>
    <n v="14610"/>
    <n v="0"/>
    <n v="10730"/>
    <n v="58440"/>
    <n v="42920"/>
    <n v="15520"/>
    <n v="0.2655715263518138"/>
  </r>
  <r>
    <x v="1381"/>
    <x v="571"/>
    <x v="1"/>
    <d v="1900-01-10T00:00:00"/>
    <x v="0"/>
    <s v="Mumbai"/>
    <s v="Imran Sheikh"/>
    <s v="Imran Sheikh"/>
    <x v="2"/>
    <x v="3"/>
    <s v="Office Chairs"/>
    <s v="Nilkamal Executive Chair"/>
    <x v="2"/>
    <s v="Delivered"/>
    <n v="8"/>
    <n v="6250"/>
    <n v="0.15"/>
    <n v="4770"/>
    <n v="42500"/>
    <n v="38160"/>
    <n v="4340"/>
    <n v="0.10211764705882354"/>
  </r>
  <r>
    <x v="1382"/>
    <x v="572"/>
    <x v="1"/>
    <d v="1900-01-10T00:00:00"/>
    <x v="2"/>
    <s v="Noida"/>
    <s v="Aditya Verma"/>
    <s v="Aditya Verma"/>
    <x v="0"/>
    <x v="2"/>
    <s v="Accessories"/>
    <s v="Wildcraft 35L Backpack"/>
    <x v="1"/>
    <s v="Pending"/>
    <n v="22"/>
    <n v="2040"/>
    <n v="0.05"/>
    <n v="1370"/>
    <n v="42636"/>
    <n v="30140"/>
    <n v="12496"/>
    <n v="0.2930856553147575"/>
  </r>
  <r>
    <x v="1383"/>
    <x v="572"/>
    <x v="1"/>
    <d v="1900-01-10T00:00:00"/>
    <x v="3"/>
    <s v="Hyderabad"/>
    <s v="Anjali Menon"/>
    <s v="Anjali Menon"/>
    <x v="1"/>
    <x v="0"/>
    <s v="Laptops"/>
    <s v="Hp Pavilion 15"/>
    <x v="2"/>
    <s v="Delivered"/>
    <n v="3"/>
    <n v="61010"/>
    <n v="0.1"/>
    <n v="37460"/>
    <n v="164727"/>
    <n v="112380"/>
    <n v="52347"/>
    <n v="0.31778032745087326"/>
  </r>
  <r>
    <x v="1384"/>
    <x v="572"/>
    <x v="1"/>
    <d v="1900-01-10T00:00:00"/>
    <x v="1"/>
    <s v="Ranchi"/>
    <s v="Ritika Ghosh"/>
    <s v="Ritika Ghosh"/>
    <x v="0"/>
    <x v="0"/>
    <s v="Televisions"/>
    <s v="Samsung Crystal 4K 55 Inch"/>
    <x v="1"/>
    <s v="Returned"/>
    <n v="4"/>
    <n v="54010"/>
    <n v="0"/>
    <n v="38530"/>
    <n v="216040"/>
    <n v="154120"/>
    <n v="61920"/>
    <n v="0.28661359007591186"/>
  </r>
  <r>
    <x v="1385"/>
    <x v="572"/>
    <x v="1"/>
    <d v="1900-01-10T00:00:00"/>
    <x v="1"/>
    <s v="Siliguri"/>
    <s v="Sourav Das"/>
    <s v="Sourav Das"/>
    <x v="2"/>
    <x v="0"/>
    <s v="Audio Devices"/>
    <s v="Boat Airdopes 141"/>
    <x v="1"/>
    <s v="Shipped"/>
    <n v="31"/>
    <n v="1890"/>
    <n v="0.1"/>
    <n v="1140"/>
    <n v="52731"/>
    <n v="35340"/>
    <n v="17391"/>
    <n v="0.32980599647266312"/>
  </r>
  <r>
    <x v="1386"/>
    <x v="572"/>
    <x v="1"/>
    <d v="1900-01-10T00:00:00"/>
    <x v="2"/>
    <s v="Lucknow"/>
    <s v="Rohit Malhotra"/>
    <s v="Rohit Malhotra"/>
    <x v="3"/>
    <x v="2"/>
    <s v="Apparel"/>
    <s v="Us Polo T-Shirt"/>
    <x v="1"/>
    <s v="Delivered"/>
    <n v="23"/>
    <n v="1150"/>
    <n v="0.05"/>
    <n v="820"/>
    <n v="25127.5"/>
    <n v="18860"/>
    <n v="6267.5"/>
    <n v="0.2494279176201373"/>
  </r>
  <r>
    <x v="1387"/>
    <x v="573"/>
    <x v="1"/>
    <d v="1900-01-10T00:00:00"/>
    <x v="3"/>
    <s v="Kochi"/>
    <s v="Anjali Menon"/>
    <s v="Anjali Menon"/>
    <x v="0"/>
    <x v="2"/>
    <s v="Apparel"/>
    <s v="Allen Solly Formal Shirt"/>
    <x v="2"/>
    <s v="Shipped"/>
    <n v="22"/>
    <n v="1790"/>
    <n v="0.12"/>
    <n v="1240"/>
    <n v="34654.400000000001"/>
    <n v="27280"/>
    <n v="7374.4000000000015"/>
    <n v="0.21279837480954802"/>
  </r>
  <r>
    <x v="1388"/>
    <x v="573"/>
    <x v="1"/>
    <d v="1900-01-10T00:00:00"/>
    <x v="0"/>
    <s v="Pune"/>
    <s v="Neha Deshpande"/>
    <s v="Neha Deshpande"/>
    <x v="0"/>
    <x v="4"/>
    <s v="Activewear"/>
    <s v="Puma Track Pants"/>
    <x v="0"/>
    <s v="Delivered"/>
    <n v="9"/>
    <n v="1610"/>
    <n v="0"/>
    <n v="1160"/>
    <n v="14490"/>
    <n v="10440"/>
    <n v="4050"/>
    <n v="0.27950310559006208"/>
  </r>
  <r>
    <x v="1389"/>
    <x v="573"/>
    <x v="1"/>
    <d v="1900-01-10T00:00:00"/>
    <x v="4"/>
    <s v="Gwalior"/>
    <s v="Pooja Chouhan"/>
    <s v="Pooja Chouhan"/>
    <x v="0"/>
    <x v="1"/>
    <s v="Washing Machines"/>
    <s v="Whirlpool Semi Auto 7.5Kg"/>
    <x v="1"/>
    <s v="Delivered"/>
    <n v="1"/>
    <n v="13500"/>
    <n v="0.1"/>
    <n v="8350"/>
    <n v="12150"/>
    <n v="8350"/>
    <n v="3800"/>
    <n v="0.31275720164609055"/>
  </r>
  <r>
    <x v="1390"/>
    <x v="574"/>
    <x v="1"/>
    <d v="1900-01-10T00:00:00"/>
    <x v="0"/>
    <s v="Surat"/>
    <s v="Prateek Shah"/>
    <s v="Prateek Shah"/>
    <x v="0"/>
    <x v="0"/>
    <s v="Laptops"/>
    <s v="Hp Pavilion 15"/>
    <x v="0"/>
    <s v="Delivered"/>
    <n v="2"/>
    <n v="59850"/>
    <n v="0"/>
    <n v="37890"/>
    <n v="119700"/>
    <n v="75780"/>
    <n v="43920"/>
    <n v="0.3669172932330827"/>
  </r>
  <r>
    <x v="1391"/>
    <x v="574"/>
    <x v="1"/>
    <d v="1900-01-10T00:00:00"/>
    <x v="2"/>
    <s v="Noida"/>
    <s v="Aditya Verma"/>
    <s v="Aditya Verma"/>
    <x v="2"/>
    <x v="3"/>
    <s v="Tables"/>
    <s v="Study Table Engineered Wood"/>
    <x v="1"/>
    <s v="Pending"/>
    <n v="10"/>
    <n v="9110"/>
    <n v="0.08"/>
    <n v="6060"/>
    <n v="83812"/>
    <n v="60600"/>
    <n v="23212"/>
    <n v="0.27695318092874527"/>
  </r>
  <r>
    <x v="1392"/>
    <x v="575"/>
    <x v="1"/>
    <d v="1900-01-10T00:00:00"/>
    <x v="3"/>
    <s v="Kochi"/>
    <s v="Divya Nair"/>
    <s v="Divya Nair"/>
    <x v="3"/>
    <x v="0"/>
    <s v="Televisions"/>
    <s v="Mi Tv 5X 43 Inch"/>
    <x v="0"/>
    <s v="Delivered"/>
    <n v="3"/>
    <n v="33880"/>
    <n v="0.12"/>
    <n v="26700"/>
    <n v="89443.199999999997"/>
    <n v="80100"/>
    <n v="9343.1999999999971"/>
    <n v="0.10445958999678005"/>
  </r>
  <r>
    <x v="1393"/>
    <x v="575"/>
    <x v="1"/>
    <d v="1900-01-10T00:00:00"/>
    <x v="3"/>
    <s v="Visakhapatnam"/>
    <s v="Anjali Menon"/>
    <s v="Anjali Menon"/>
    <x v="2"/>
    <x v="4"/>
    <s v="Activewear"/>
    <s v="Puma Track Pants"/>
    <x v="1"/>
    <s v="Delivered"/>
    <n v="27"/>
    <n v="1710"/>
    <n v="0.05"/>
    <n v="1190"/>
    <n v="43861.5"/>
    <n v="32130"/>
    <n v="11731.5"/>
    <n v="0.26746691289627578"/>
  </r>
  <r>
    <x v="1394"/>
    <x v="575"/>
    <x v="1"/>
    <d v="1900-01-10T00:00:00"/>
    <x v="2"/>
    <s v="Lucknow"/>
    <s v="Simran Kaur"/>
    <s v="Simran Kaur"/>
    <x v="2"/>
    <x v="0"/>
    <s v="Televisions"/>
    <s v="Samsung Crystal 4K 55 Inch"/>
    <x v="0"/>
    <s v="Delivered"/>
    <n v="2"/>
    <n v="51930"/>
    <n v="0.12"/>
    <n v="38960"/>
    <n v="91396.800000000003"/>
    <n v="77920"/>
    <n v="13476.800000000003"/>
    <n v="0.14745374017471075"/>
  </r>
  <r>
    <x v="1395"/>
    <x v="575"/>
    <x v="1"/>
    <d v="1900-01-10T00:00:00"/>
    <x v="4"/>
    <s v="Raipur"/>
    <s v="Pooja Chouhan"/>
    <s v="Pooja Chouhan"/>
    <x v="1"/>
    <x v="4"/>
    <s v="Activewear"/>
    <s v="Nivia Football Size 5"/>
    <x v="0"/>
    <s v="Delivered"/>
    <n v="11"/>
    <n v="940"/>
    <n v="0.2"/>
    <n v="630"/>
    <n v="8272"/>
    <n v="6930"/>
    <n v="1342"/>
    <n v="0.16223404255319149"/>
  </r>
  <r>
    <x v="1396"/>
    <x v="575"/>
    <x v="1"/>
    <d v="1900-01-10T00:00:00"/>
    <x v="1"/>
    <s v="Guwahati"/>
    <s v="Ritika Ghosh"/>
    <s v="Ritika Ghosh"/>
    <x v="0"/>
    <x v="2"/>
    <s v="Apparel"/>
    <s v="Allen Solly Formal Shirt"/>
    <x v="1"/>
    <s v="Delivered"/>
    <n v="15"/>
    <n v="1830"/>
    <n v="0"/>
    <n v="1300"/>
    <n v="27450"/>
    <n v="19500"/>
    <n v="7950"/>
    <n v="0.2896174863387978"/>
  </r>
  <r>
    <x v="1397"/>
    <x v="575"/>
    <x v="1"/>
    <d v="1900-01-10T00:00:00"/>
    <x v="3"/>
    <s v="Bengaluru"/>
    <s v="Karthik Raman"/>
    <s v="Karthik Raman"/>
    <x v="0"/>
    <x v="2"/>
    <s v="Accessories"/>
    <s v="Wildcraft 35L Backpack"/>
    <x v="0"/>
    <s v="Delivered"/>
    <n v="32"/>
    <n v="1910"/>
    <n v="0.15"/>
    <n v="1080"/>
    <n v="51952"/>
    <n v="34560"/>
    <n v="17392"/>
    <n v="0.33477055743763473"/>
  </r>
  <r>
    <x v="1398"/>
    <x v="575"/>
    <x v="1"/>
    <d v="1900-01-10T00:00:00"/>
    <x v="3"/>
    <s v="Bengaluru"/>
    <s v="Anjali Menon"/>
    <s v="Anjali Menon"/>
    <x v="2"/>
    <x v="2"/>
    <s v="Accessories"/>
    <s v="Wildcraft 35L Backpack"/>
    <x v="0"/>
    <s v="Delivered"/>
    <n v="28"/>
    <n v="1820"/>
    <n v="0.12"/>
    <n v="1260"/>
    <n v="44844.800000000003"/>
    <n v="35280"/>
    <n v="9564.8000000000029"/>
    <n v="0.21328671328671334"/>
  </r>
  <r>
    <x v="1399"/>
    <x v="576"/>
    <x v="1"/>
    <d v="1900-01-10T00:00:00"/>
    <x v="0"/>
    <s v="Pune"/>
    <s v="Imran Sheikh"/>
    <s v="Imran Sheikh"/>
    <x v="3"/>
    <x v="3"/>
    <s v="Office Chairs"/>
    <s v="Nilkamal Executive Chair"/>
    <x v="0"/>
    <s v="Delivered"/>
    <n v="20"/>
    <n v="7020"/>
    <n v="0.08"/>
    <n v="4940"/>
    <n v="129168"/>
    <n v="98800"/>
    <n v="30368"/>
    <n v="0.23510466988727857"/>
  </r>
  <r>
    <x v="1400"/>
    <x v="576"/>
    <x v="1"/>
    <d v="1900-01-10T00:00:00"/>
    <x v="4"/>
    <s v="Gwalior"/>
    <s v="Manish Tiwari"/>
    <s v="Manish Tiwari"/>
    <x v="1"/>
    <x v="0"/>
    <s v="Mobile Phones"/>
    <s v="Redmi Note 14"/>
    <x v="1"/>
    <s v="Delivered"/>
    <n v="11"/>
    <n v="17690"/>
    <n v="0.1"/>
    <n v="12500"/>
    <n v="175131"/>
    <n v="137500"/>
    <n v="37631"/>
    <n v="0.21487343759814082"/>
  </r>
  <r>
    <x v="1401"/>
    <x v="576"/>
    <x v="1"/>
    <d v="1900-01-10T00:00:00"/>
    <x v="2"/>
    <s v="Noida"/>
    <s v="Aditya Verma"/>
    <s v="Aditya Verma"/>
    <x v="3"/>
    <x v="2"/>
    <s v="Footwear"/>
    <s v="Bata Formal Shoes"/>
    <x v="0"/>
    <s v="Delivered"/>
    <n v="13"/>
    <n v="2240"/>
    <n v="0"/>
    <n v="1640"/>
    <n v="29120"/>
    <n v="21320"/>
    <n v="7800"/>
    <n v="0.26785714285714285"/>
  </r>
  <r>
    <x v="1402"/>
    <x v="577"/>
    <x v="1"/>
    <d v="1900-01-10T00:00:00"/>
    <x v="1"/>
    <s v="Patna"/>
    <s v="Ritika Ghosh"/>
    <s v="Ritika Ghosh"/>
    <x v="1"/>
    <x v="2"/>
    <s v="Apparel"/>
    <s v="Us Polo T-Shirt"/>
    <x v="0"/>
    <s v="Delivered"/>
    <n v="48"/>
    <n v="1280"/>
    <n v="0"/>
    <n v="840"/>
    <n v="61440"/>
    <n v="40320"/>
    <n v="21120"/>
    <n v="0.34375"/>
  </r>
  <r>
    <x v="1403"/>
    <x v="577"/>
    <x v="1"/>
    <d v="1900-01-10T00:00:00"/>
    <x v="3"/>
    <s v="Coimbatore"/>
    <s v="Divya Nair"/>
    <s v="Divya Nair"/>
    <x v="1"/>
    <x v="1"/>
    <s v="Washing Machines"/>
    <s v="Whirlpool Semi Auto 7.5Kg"/>
    <x v="2"/>
    <s v="Delivered"/>
    <n v="8"/>
    <n v="14460"/>
    <n v="0.18"/>
    <n v="9570"/>
    <n v="94857.600000000006"/>
    <n v="76560"/>
    <n v="18297.600000000006"/>
    <n v="0.19289545592551366"/>
  </r>
  <r>
    <x v="1404"/>
    <x v="578"/>
    <x v="1"/>
    <d v="1900-01-10T00:00:00"/>
    <x v="1"/>
    <s v="Kolkata"/>
    <s v="Sourav Das"/>
    <s v="Sourav Das"/>
    <x v="0"/>
    <x v="1"/>
    <s v="Refrigerators"/>
    <s v="Lg 260L Double Door"/>
    <x v="0"/>
    <s v="Shipped"/>
    <n v="6"/>
    <n v="28280"/>
    <n v="0.1"/>
    <n v="18760"/>
    <n v="152712"/>
    <n v="112560"/>
    <n v="40152"/>
    <n v="0.26292629262926293"/>
  </r>
  <r>
    <x v="1405"/>
    <x v="578"/>
    <x v="1"/>
    <d v="1900-01-10T00:00:00"/>
    <x v="2"/>
    <s v="Delhi"/>
    <s v="Aditya Verma"/>
    <s v="Aditya Verma"/>
    <x v="0"/>
    <x v="4"/>
    <s v="Fitness Equipment"/>
    <s v="Adjustable Dumbbell Set 10Kg"/>
    <x v="0"/>
    <s v="Delivered"/>
    <n v="17"/>
    <n v="2580"/>
    <n v="0.15"/>
    <n v="1830"/>
    <n v="37281"/>
    <n v="31110"/>
    <n v="6171"/>
    <n v="0.16552667578659372"/>
  </r>
  <r>
    <x v="1406"/>
    <x v="578"/>
    <x v="1"/>
    <d v="1900-01-10T00:00:00"/>
    <x v="3"/>
    <s v="Chennai"/>
    <s v="Karthik Raman"/>
    <s v="Karthik Raman"/>
    <x v="2"/>
    <x v="3"/>
    <s v="Storage"/>
    <s v="Metal Shoe Rack"/>
    <x v="0"/>
    <s v="Returned"/>
    <n v="2"/>
    <n v="3500"/>
    <n v="0"/>
    <n v="2170"/>
    <n v="7000"/>
    <n v="4340"/>
    <n v="2660"/>
    <n v="0.38"/>
  </r>
  <r>
    <x v="1407"/>
    <x v="579"/>
    <x v="1"/>
    <d v="1900-01-10T00:00:00"/>
    <x v="1"/>
    <s v="Kolkata"/>
    <s v="Ritika Ghosh"/>
    <s v="Ritika Ghosh"/>
    <x v="3"/>
    <x v="3"/>
    <s v="Sofas"/>
    <s v="3-Seater Fabric Sofa"/>
    <x v="2"/>
    <s v="Delivered"/>
    <n v="2"/>
    <n v="31140"/>
    <n v="0.18"/>
    <n v="20600"/>
    <n v="51069.600000000006"/>
    <n v="41200"/>
    <n v="9869.6000000000058"/>
    <n v="0.19325782853204262"/>
  </r>
  <r>
    <x v="1408"/>
    <x v="579"/>
    <x v="1"/>
    <d v="1900-01-10T00:00:00"/>
    <x v="3"/>
    <s v="Chennai"/>
    <s v="Anjali Menon"/>
    <s v="Anjali Menon"/>
    <x v="0"/>
    <x v="0"/>
    <s v="Televisions"/>
    <s v="Samsung Crystal 4K 55 Inch"/>
    <x v="0"/>
    <s v="Returned"/>
    <n v="1"/>
    <n v="55020"/>
    <n v="0.15"/>
    <n v="38810"/>
    <n v="46767"/>
    <n v="38810"/>
    <n v="7957"/>
    <n v="0.17014133897833944"/>
  </r>
  <r>
    <x v="1409"/>
    <x v="579"/>
    <x v="1"/>
    <d v="1900-01-10T00:00:00"/>
    <x v="3"/>
    <s v="Visakhapatnam"/>
    <s v="Divya Nair"/>
    <s v="Divya Nair"/>
    <x v="0"/>
    <x v="4"/>
    <s v="Activewear"/>
    <s v="Nivia Football Size 5"/>
    <x v="1"/>
    <s v="Delivered"/>
    <n v="8"/>
    <n v="890"/>
    <n v="0"/>
    <n v="670"/>
    <n v="7120"/>
    <n v="5360"/>
    <n v="1760"/>
    <n v="0.24719101123595505"/>
  </r>
  <r>
    <x v="1410"/>
    <x v="579"/>
    <x v="1"/>
    <d v="1900-01-10T00:00:00"/>
    <x v="3"/>
    <s v="Kochi"/>
    <s v="Divya Nair"/>
    <s v="Divya Nair"/>
    <x v="0"/>
    <x v="0"/>
    <s v="Televisions"/>
    <s v="Samsung Crystal 4K 55 Inch"/>
    <x v="0"/>
    <s v="Shipped"/>
    <n v="4"/>
    <n v="53920"/>
    <n v="0.25"/>
    <n v="37750"/>
    <n v="161760"/>
    <n v="151000"/>
    <n v="10760"/>
    <n v="6.6518298714144414E-2"/>
  </r>
  <r>
    <x v="1411"/>
    <x v="579"/>
    <x v="1"/>
    <d v="1900-01-10T00:00:00"/>
    <x v="2"/>
    <s v="Gurugram"/>
    <s v="Simran Kaur"/>
    <s v="Simran Kaur"/>
    <x v="0"/>
    <x v="0"/>
    <s v="Televisions"/>
    <s v="Samsung Crystal 4K 55 Inch"/>
    <x v="1"/>
    <s v="Delivered"/>
    <n v="1"/>
    <n v="50250"/>
    <n v="0"/>
    <n v="37240"/>
    <n v="50250"/>
    <n v="37240"/>
    <n v="13010"/>
    <n v="0.2589054726368159"/>
  </r>
  <r>
    <x v="1412"/>
    <x v="580"/>
    <x v="1"/>
    <d v="1900-01-10T00:00:00"/>
    <x v="2"/>
    <s v="Delhi"/>
    <s v="Simran Kaur"/>
    <s v="Simran Kaur"/>
    <x v="2"/>
    <x v="0"/>
    <s v="Mobile Phones"/>
    <s v="Redmi Note 14"/>
    <x v="0"/>
    <s v="Delivered"/>
    <n v="1"/>
    <n v="17910"/>
    <n v="0.12"/>
    <n v="13440"/>
    <n v="15760.8"/>
    <n v="13440"/>
    <n v="2320.7999999999993"/>
    <n v="0.14725140855794119"/>
  </r>
  <r>
    <x v="1413"/>
    <x v="580"/>
    <x v="1"/>
    <d v="1900-01-10T00:00:00"/>
    <x v="4"/>
    <s v="Ujjain"/>
    <s v="Manish Tiwari"/>
    <s v="Manish Tiwari"/>
    <x v="0"/>
    <x v="4"/>
    <s v="Fitness Equipment"/>
    <s v="Adjustable Dumbbell Set 10Kg"/>
    <x v="1"/>
    <s v="Delivered"/>
    <n v="20"/>
    <n v="2400"/>
    <n v="0"/>
    <n v="1370"/>
    <n v="48000"/>
    <n v="27400"/>
    <n v="20600"/>
    <n v="0.42916666666666664"/>
  </r>
  <r>
    <x v="1414"/>
    <x v="580"/>
    <x v="1"/>
    <d v="1900-01-10T00:00:00"/>
    <x v="3"/>
    <s v="Coimbatore"/>
    <s v="Divya Nair"/>
    <s v="Divya Nair"/>
    <x v="0"/>
    <x v="0"/>
    <s v="Audio Devices"/>
    <s v="Sony Wh-Ch720N"/>
    <x v="2"/>
    <s v="Delivered"/>
    <n v="14"/>
    <n v="8770"/>
    <n v="0.12"/>
    <n v="5880"/>
    <n v="108046.39999999999"/>
    <n v="82320"/>
    <n v="25726.399999999994"/>
    <n v="0.23810511039701457"/>
  </r>
  <r>
    <x v="1415"/>
    <x v="580"/>
    <x v="1"/>
    <d v="1900-01-10T00:00:00"/>
    <x v="3"/>
    <s v="Kochi"/>
    <s v="Karthik Raman"/>
    <s v="Karthik Raman"/>
    <x v="3"/>
    <x v="4"/>
    <s v="Activewear"/>
    <s v="Puma Track Pants"/>
    <x v="1"/>
    <s v="Delivered"/>
    <n v="23"/>
    <n v="1580"/>
    <n v="0.18"/>
    <n v="940"/>
    <n v="29798.800000000003"/>
    <n v="21620"/>
    <n v="8178.8000000000029"/>
    <n v="0.27446742821858605"/>
  </r>
  <r>
    <x v="1416"/>
    <x v="580"/>
    <x v="1"/>
    <d v="1900-01-10T00:00:00"/>
    <x v="4"/>
    <s v="Indore"/>
    <s v="Pooja Chouhan"/>
    <s v="Pooja Chouhan"/>
    <x v="2"/>
    <x v="1"/>
    <s v="Washing Machines"/>
    <s v="Whirlpool Semi Auto 7.5Kg"/>
    <x v="1"/>
    <s v="Shipped"/>
    <n v="4"/>
    <n v="14590"/>
    <n v="0"/>
    <n v="9710"/>
    <n v="58360"/>
    <n v="38840"/>
    <n v="19520"/>
    <n v="0.33447566826593556"/>
  </r>
  <r>
    <x v="1417"/>
    <x v="581"/>
    <x v="1"/>
    <d v="1900-01-10T00:00:00"/>
    <x v="4"/>
    <s v="Jabalpur"/>
    <s v="Pooja Chouhan"/>
    <s v="Pooja Chouhan"/>
    <x v="0"/>
    <x v="1"/>
    <s v="Washing Machines"/>
    <s v="Whirlpool Semi Auto 7.5Kg"/>
    <x v="1"/>
    <s v="Returned"/>
    <n v="1"/>
    <n v="14060"/>
    <n v="0.15"/>
    <n v="9500"/>
    <n v="11951"/>
    <n v="9500"/>
    <n v="2451"/>
    <n v="0.20508744038155802"/>
  </r>
  <r>
    <x v="1418"/>
    <x v="581"/>
    <x v="1"/>
    <d v="1900-01-10T00:00:00"/>
    <x v="4"/>
    <s v="Bhopal"/>
    <s v="Pooja Chouhan"/>
    <s v="Pooja Chouhan"/>
    <x v="0"/>
    <x v="0"/>
    <s v="Audio Devices"/>
    <s v="Jbl Flip 6"/>
    <x v="0"/>
    <s v="Delivered"/>
    <n v="11"/>
    <n v="9880"/>
    <n v="0.05"/>
    <n v="5850"/>
    <n v="103246"/>
    <n v="64350"/>
    <n v="38896"/>
    <n v="0.37673130193905818"/>
  </r>
  <r>
    <x v="1419"/>
    <x v="582"/>
    <x v="1"/>
    <d v="1900-01-10T00:00:00"/>
    <x v="3"/>
    <s v="Visakhapatnam"/>
    <s v="Anjali Menon"/>
    <s v="Anjali Menon"/>
    <x v="3"/>
    <x v="1"/>
    <s v="Air Conditioners"/>
    <s v="Voltas 1.5T Inverter Ac"/>
    <x v="0"/>
    <s v="Delivered"/>
    <n v="3"/>
    <n v="35430"/>
    <n v="0"/>
    <n v="23350"/>
    <n v="106290"/>
    <n v="70050"/>
    <n v="36240"/>
    <n v="0.34095399379057295"/>
  </r>
  <r>
    <x v="1420"/>
    <x v="582"/>
    <x v="1"/>
    <d v="1900-01-10T00:00:00"/>
    <x v="3"/>
    <s v="Visakhapatnam"/>
    <s v="Anjali Menon"/>
    <s v="Anjali Menon"/>
    <x v="3"/>
    <x v="2"/>
    <s v="Accessories"/>
    <s v="Wildcraft 35L Backpack"/>
    <x v="1"/>
    <s v="Delivered"/>
    <n v="16"/>
    <n v="2000"/>
    <n v="0.1"/>
    <n v="1450"/>
    <n v="28800"/>
    <n v="23200"/>
    <n v="5600"/>
    <n v="0.19444444444444445"/>
  </r>
  <r>
    <x v="1421"/>
    <x v="583"/>
    <x v="1"/>
    <d v="1900-01-10T00:00:00"/>
    <x v="3"/>
    <s v="Bengaluru"/>
    <s v="Anjali Menon"/>
    <s v="Anjali Menon"/>
    <x v="0"/>
    <x v="0"/>
    <s v="Audio Devices"/>
    <s v="Boat Airdopes 141"/>
    <x v="2"/>
    <s v="Delivered"/>
    <n v="12"/>
    <n v="1710"/>
    <n v="0"/>
    <n v="1110"/>
    <n v="20520"/>
    <n v="13320"/>
    <n v="7200"/>
    <n v="0.35087719298245612"/>
  </r>
  <r>
    <x v="1422"/>
    <x v="583"/>
    <x v="1"/>
    <d v="1900-01-10T00:00:00"/>
    <x v="0"/>
    <s v="Nashik"/>
    <s v="Prateek Shah"/>
    <s v="Prateek Shah"/>
    <x v="1"/>
    <x v="2"/>
    <s v="Accessories"/>
    <s v="Wildcraft 35L Backpack"/>
    <x v="1"/>
    <s v="Delivered"/>
    <n v="17"/>
    <n v="2020"/>
    <n v="0"/>
    <n v="1440"/>
    <n v="34340"/>
    <n v="24480"/>
    <n v="9860"/>
    <n v="0.28712871287128711"/>
  </r>
  <r>
    <x v="1423"/>
    <x v="583"/>
    <x v="1"/>
    <d v="1900-01-10T00:00:00"/>
    <x v="3"/>
    <s v="Visakhapatnam"/>
    <s v="Karthik Raman"/>
    <s v="Karthik Raman"/>
    <x v="0"/>
    <x v="0"/>
    <s v="Audio Devices"/>
    <s v="Boat Airdopes 141"/>
    <x v="0"/>
    <s v="Delivered"/>
    <n v="29"/>
    <n v="1940"/>
    <n v="0.25"/>
    <n v="1340"/>
    <n v="42195"/>
    <n v="38860"/>
    <n v="3335"/>
    <n v="7.903780068728522E-2"/>
  </r>
  <r>
    <x v="1424"/>
    <x v="584"/>
    <x v="1"/>
    <d v="1900-01-10T00:00:00"/>
    <x v="3"/>
    <s v="Bengaluru"/>
    <s v="Karthik Raman"/>
    <s v="Karthik Raman"/>
    <x v="0"/>
    <x v="4"/>
    <s v="Fitness Equipment"/>
    <s v="Adjustable Dumbbell Set 10Kg"/>
    <x v="0"/>
    <s v="Delivered"/>
    <n v="34"/>
    <n v="2350"/>
    <n v="0.08"/>
    <n v="1380"/>
    <n v="73508"/>
    <n v="46920"/>
    <n v="26588"/>
    <n v="0.36170212765957449"/>
  </r>
  <r>
    <x v="1425"/>
    <x v="584"/>
    <x v="1"/>
    <d v="1900-01-10T00:00:00"/>
    <x v="3"/>
    <s v="Coimbatore"/>
    <s v="Karthik Raman"/>
    <s v="Karthik Raman"/>
    <x v="2"/>
    <x v="0"/>
    <s v="Laptops"/>
    <s v="Macbook Air M3"/>
    <x v="0"/>
    <s v="Shipped"/>
    <n v="2"/>
    <n v="109980"/>
    <n v="0.12"/>
    <n v="85130"/>
    <n v="193564.79999999999"/>
    <n v="170260"/>
    <n v="23304.799999999988"/>
    <n v="0.1203979235894129"/>
  </r>
  <r>
    <x v="1426"/>
    <x v="584"/>
    <x v="1"/>
    <d v="1900-01-10T00:00:00"/>
    <x v="0"/>
    <s v="Mumbai"/>
    <s v="Prateek Shah"/>
    <s v="Prateek Shah"/>
    <x v="2"/>
    <x v="0"/>
    <s v="Mobile Phones"/>
    <s v="Redmi Note 14"/>
    <x v="0"/>
    <s v="Delivered"/>
    <n v="6"/>
    <n v="17580"/>
    <n v="0.18"/>
    <n v="10930"/>
    <n v="86493.6"/>
    <n v="65580"/>
    <n v="20913.600000000006"/>
    <n v="0.24179361247537395"/>
  </r>
  <r>
    <x v="1427"/>
    <x v="584"/>
    <x v="1"/>
    <d v="1900-01-10T00:00:00"/>
    <x v="2"/>
    <s v="Lucknow"/>
    <s v="Aditya Verma"/>
    <s v="Aditya Verma"/>
    <x v="0"/>
    <x v="0"/>
    <s v="Televisions"/>
    <s v="Mi Tv 5X 43 Inch"/>
    <x v="0"/>
    <s v="Delivered"/>
    <n v="2"/>
    <n v="32800"/>
    <n v="0.08"/>
    <n v="21470"/>
    <n v="60352"/>
    <n v="42940"/>
    <n v="17412"/>
    <n v="0.28850742311770944"/>
  </r>
  <r>
    <x v="1428"/>
    <x v="585"/>
    <x v="1"/>
    <d v="1900-01-10T00:00:00"/>
    <x v="1"/>
    <s v="Patna"/>
    <s v="Sourav Das"/>
    <s v="Sourav Das"/>
    <x v="2"/>
    <x v="0"/>
    <s v="Mobile Phones"/>
    <s v="Redmi Note 14"/>
    <x v="0"/>
    <s v="Delivered"/>
    <n v="8"/>
    <n v="17770"/>
    <n v="0.15"/>
    <n v="10740"/>
    <n v="120836"/>
    <n v="85920"/>
    <n v="34916"/>
    <n v="0.28895362309245587"/>
  </r>
  <r>
    <x v="1429"/>
    <x v="585"/>
    <x v="1"/>
    <d v="1900-01-10T00:00:00"/>
    <x v="2"/>
    <s v="Jaipur"/>
    <s v="Aditya Verma"/>
    <s v="Aditya Verma"/>
    <x v="0"/>
    <x v="2"/>
    <s v="Apparel"/>
    <s v="Allen Solly Formal Shirt"/>
    <x v="0"/>
    <s v="Delivered"/>
    <n v="17"/>
    <n v="1740"/>
    <n v="0.2"/>
    <n v="1140"/>
    <n v="23664"/>
    <n v="19380"/>
    <n v="4284"/>
    <n v="0.18103448275862069"/>
  </r>
  <r>
    <x v="1430"/>
    <x v="586"/>
    <x v="1"/>
    <d v="1900-01-10T00:00:00"/>
    <x v="4"/>
    <s v="Indore"/>
    <s v="Pooja Chouhan"/>
    <s v="Pooja Chouhan"/>
    <x v="0"/>
    <x v="2"/>
    <s v="Footwear"/>
    <s v="Nike Revolution 7"/>
    <x v="1"/>
    <s v="Delivered"/>
    <n v="15"/>
    <n v="4060"/>
    <n v="0.18"/>
    <n v="3160"/>
    <n v="49938.000000000007"/>
    <n v="47400"/>
    <n v="2538.0000000000073"/>
    <n v="5.0823020545476529E-2"/>
  </r>
  <r>
    <x v="1431"/>
    <x v="586"/>
    <x v="1"/>
    <d v="1900-01-10T00:00:00"/>
    <x v="3"/>
    <s v="Hyderabad"/>
    <s v="Karthik Raman"/>
    <s v="Karthik Raman"/>
    <x v="1"/>
    <x v="1"/>
    <s v="Air Conditioners"/>
    <s v="Daikin 1.5T Split Ac"/>
    <x v="2"/>
    <s v="Delivered"/>
    <n v="2"/>
    <n v="40000"/>
    <n v="0.05"/>
    <n v="25430"/>
    <n v="76000"/>
    <n v="50860"/>
    <n v="25140"/>
    <n v="0.33078947368421052"/>
  </r>
  <r>
    <x v="1432"/>
    <x v="586"/>
    <x v="1"/>
    <d v="1900-01-10T00:00:00"/>
    <x v="3"/>
    <s v="Kochi"/>
    <s v="Divya Nair"/>
    <s v="Divya Nair"/>
    <x v="0"/>
    <x v="3"/>
    <s v="Office Chairs"/>
    <s v="Green Soul Ergonomic Chair"/>
    <x v="0"/>
    <s v="Delivered"/>
    <n v="7"/>
    <n v="12420"/>
    <n v="0.18"/>
    <n v="8210"/>
    <n v="71290.8"/>
    <n v="57470"/>
    <n v="13820.800000000003"/>
    <n v="0.19386512705706771"/>
  </r>
  <r>
    <x v="1433"/>
    <x v="587"/>
    <x v="1"/>
    <d v="1900-01-10T00:00:00"/>
    <x v="0"/>
    <s v="Surat"/>
    <s v="Neha Deshpande"/>
    <s v="Neha Deshpande"/>
    <x v="0"/>
    <x v="2"/>
    <s v="Accessories"/>
    <s v="Wildcraft 35L Backpack"/>
    <x v="2"/>
    <s v="Delivered"/>
    <n v="19"/>
    <n v="1850"/>
    <n v="0"/>
    <n v="1370"/>
    <n v="35150"/>
    <n v="26030"/>
    <n v="9120"/>
    <n v="0.25945945945945947"/>
  </r>
  <r>
    <x v="1434"/>
    <x v="587"/>
    <x v="1"/>
    <d v="1900-01-10T00:00:00"/>
    <x v="3"/>
    <s v="Hyderabad"/>
    <s v="Divya Nair"/>
    <s v="Divya Nair"/>
    <x v="3"/>
    <x v="2"/>
    <s v="Accessories"/>
    <s v="Wildcraft 35L Backpack"/>
    <x v="1"/>
    <s v="Delivered"/>
    <n v="24"/>
    <n v="1830"/>
    <n v="0.08"/>
    <n v="1240"/>
    <n v="40406.400000000001"/>
    <n v="29760"/>
    <n v="10646.400000000001"/>
    <n v="0.26348301259206464"/>
  </r>
  <r>
    <x v="1435"/>
    <x v="587"/>
    <x v="1"/>
    <d v="1900-01-10T00:00:00"/>
    <x v="2"/>
    <s v="Jaipur"/>
    <s v="Rohit Malhotra"/>
    <s v="Rohit Malhotra"/>
    <x v="2"/>
    <x v="2"/>
    <s v="Accessories"/>
    <s v="Wildcraft 35L Backpack"/>
    <x v="1"/>
    <s v="Delivered"/>
    <n v="25"/>
    <n v="1870"/>
    <n v="0.15"/>
    <n v="1130"/>
    <n v="39737.5"/>
    <n v="28250"/>
    <n v="11487.5"/>
    <n v="0.28908461780434097"/>
  </r>
  <r>
    <x v="1436"/>
    <x v="588"/>
    <x v="1"/>
    <d v="1900-01-10T00:00:00"/>
    <x v="3"/>
    <s v="Coimbatore"/>
    <s v="Anjali Menon"/>
    <s v="Anjali Menon"/>
    <x v="3"/>
    <x v="3"/>
    <s v="Sofas"/>
    <s v="3-Seater Fabric Sofa"/>
    <x v="0"/>
    <s v="Pending"/>
    <n v="2"/>
    <n v="32870"/>
    <n v="0.08"/>
    <n v="21470"/>
    <n v="60480.800000000003"/>
    <n v="42940"/>
    <n v="17540.800000000003"/>
    <n v="0.29002261874842927"/>
  </r>
  <r>
    <x v="1437"/>
    <x v="589"/>
    <x v="1"/>
    <d v="1900-01-10T00:00:00"/>
    <x v="0"/>
    <s v="Nashik"/>
    <s v="Imran Sheikh"/>
    <s v="Imran Sheikh"/>
    <x v="0"/>
    <x v="3"/>
    <s v="Storage"/>
    <s v="3-Door Wardrobe"/>
    <x v="1"/>
    <s v="Delivered"/>
    <n v="8"/>
    <n v="26730"/>
    <n v="0.12"/>
    <n v="15610"/>
    <n v="188179.20000000001"/>
    <n v="124880"/>
    <n v="63299.200000000012"/>
    <n v="0.3363772404176445"/>
  </r>
  <r>
    <x v="1438"/>
    <x v="589"/>
    <x v="1"/>
    <d v="1900-01-10T00:00:00"/>
    <x v="4"/>
    <s v="Jabalpur"/>
    <s v="Manish Tiwari"/>
    <s v="Manish Tiwari"/>
    <x v="0"/>
    <x v="3"/>
    <s v="Storage"/>
    <s v="3-Door Wardrobe"/>
    <x v="1"/>
    <s v="Delivered"/>
    <n v="6"/>
    <n v="28640"/>
    <n v="0.1"/>
    <n v="19660"/>
    <n v="154656"/>
    <n v="117960"/>
    <n v="36696"/>
    <n v="0.23727498448168841"/>
  </r>
  <r>
    <x v="1439"/>
    <x v="590"/>
    <x v="1"/>
    <d v="1900-01-11T00:00:00"/>
    <x v="0"/>
    <s v="Ahmedabad"/>
    <s v="Neha Deshpande"/>
    <s v="Neha Deshpande"/>
    <x v="3"/>
    <x v="4"/>
    <s v="Sports Gear"/>
    <s v="Sg Cricket Bat English Willow"/>
    <x v="1"/>
    <s v="Delivered"/>
    <n v="10"/>
    <n v="4820"/>
    <n v="0.2"/>
    <n v="3730"/>
    <n v="38560"/>
    <n v="37300"/>
    <n v="1260"/>
    <n v="3.2676348547717844E-2"/>
  </r>
  <r>
    <x v="1440"/>
    <x v="591"/>
    <x v="1"/>
    <d v="1900-01-11T00:00:00"/>
    <x v="4"/>
    <s v="Raipur"/>
    <s v="Manish Tiwari"/>
    <s v="Manish Tiwari"/>
    <x v="0"/>
    <x v="2"/>
    <s v="Accessories"/>
    <s v="Wildcraft 35L Backpack"/>
    <x v="1"/>
    <s v="Delivered"/>
    <n v="16"/>
    <n v="1850"/>
    <n v="0.12"/>
    <n v="1120"/>
    <n v="26048"/>
    <n v="17920"/>
    <n v="8128"/>
    <n v="0.31203931203931207"/>
  </r>
  <r>
    <x v="1441"/>
    <x v="591"/>
    <x v="1"/>
    <d v="1900-01-11T00:00:00"/>
    <x v="4"/>
    <s v="Indore"/>
    <s v="Pooja Chouhan"/>
    <s v="Pooja Chouhan"/>
    <x v="3"/>
    <x v="0"/>
    <s v="Televisions"/>
    <s v="Mi Tv 5X 43 Inch"/>
    <x v="0"/>
    <s v="Delivered"/>
    <n v="6"/>
    <n v="30620"/>
    <n v="0.2"/>
    <n v="18310"/>
    <n v="146976"/>
    <n v="109860"/>
    <n v="37116"/>
    <n v="0.25253102547354672"/>
  </r>
  <r>
    <x v="1442"/>
    <x v="592"/>
    <x v="1"/>
    <d v="1900-01-11T00:00:00"/>
    <x v="0"/>
    <s v="Pune"/>
    <s v="Imran Sheikh"/>
    <s v="Imran Sheikh"/>
    <x v="2"/>
    <x v="2"/>
    <s v="Apparel"/>
    <s v="Levis 511 Jeans"/>
    <x v="1"/>
    <s v="Delivered"/>
    <n v="3"/>
    <n v="2770"/>
    <n v="0.05"/>
    <n v="1780"/>
    <n v="7894.5"/>
    <n v="5340"/>
    <n v="2554.5"/>
    <n v="0.32357970739122172"/>
  </r>
  <r>
    <x v="1443"/>
    <x v="592"/>
    <x v="1"/>
    <d v="1900-01-11T00:00:00"/>
    <x v="3"/>
    <s v="Chennai"/>
    <s v="Karthik Raman"/>
    <s v="Karthik Raman"/>
    <x v="0"/>
    <x v="4"/>
    <s v="Sports Gear"/>
    <s v="Sg Cricket Bat English Willow"/>
    <x v="2"/>
    <s v="Returned"/>
    <n v="8"/>
    <n v="4590"/>
    <n v="0.1"/>
    <n v="3270"/>
    <n v="33048"/>
    <n v="26160"/>
    <n v="6888"/>
    <n v="0.2084241103848947"/>
  </r>
  <r>
    <x v="1444"/>
    <x v="593"/>
    <x v="1"/>
    <d v="1900-01-11T00:00:00"/>
    <x v="0"/>
    <s v="Pune"/>
    <s v="Neha Deshpande"/>
    <s v="Neha Deshpande"/>
    <x v="0"/>
    <x v="0"/>
    <s v="Audio Devices"/>
    <s v="Sony Wh-Ch720N"/>
    <x v="0"/>
    <s v="Delivered"/>
    <n v="2"/>
    <n v="8240"/>
    <n v="0"/>
    <n v="6090"/>
    <n v="16480"/>
    <n v="12180"/>
    <n v="4300"/>
    <n v="0.26092233009708737"/>
  </r>
  <r>
    <x v="1445"/>
    <x v="593"/>
    <x v="1"/>
    <d v="1900-01-11T00:00:00"/>
    <x v="0"/>
    <s v="Nashik"/>
    <s v="Neha Deshpande"/>
    <s v="Neha Deshpande"/>
    <x v="2"/>
    <x v="0"/>
    <s v="Audio Devices"/>
    <s v="Sony Wh-Ch720N"/>
    <x v="0"/>
    <s v="Delivered"/>
    <n v="15"/>
    <n v="8170"/>
    <n v="0.1"/>
    <n v="5250"/>
    <n v="110295"/>
    <n v="78750"/>
    <n v="31545"/>
    <n v="0.28600571195430435"/>
  </r>
  <r>
    <x v="1446"/>
    <x v="594"/>
    <x v="1"/>
    <d v="1900-01-11T00:00:00"/>
    <x v="3"/>
    <s v="Coimbatore"/>
    <s v="Karthik Raman"/>
    <s v="Karthik Raman"/>
    <x v="0"/>
    <x v="0"/>
    <s v="Mobile Phones"/>
    <s v="Iphone 15"/>
    <x v="2"/>
    <s v="Delivered"/>
    <n v="3"/>
    <n v="67040"/>
    <n v="0"/>
    <n v="48410"/>
    <n v="201120"/>
    <n v="145230"/>
    <n v="55890"/>
    <n v="0.27789379474940334"/>
  </r>
  <r>
    <x v="1447"/>
    <x v="594"/>
    <x v="1"/>
    <d v="1900-01-11T00:00:00"/>
    <x v="2"/>
    <s v="Noida"/>
    <s v="Aditya Verma"/>
    <s v="Aditya Verma"/>
    <x v="0"/>
    <x v="2"/>
    <s v="Accessories"/>
    <s v="Wildcraft 35L Backpack"/>
    <x v="1"/>
    <s v="Pending"/>
    <n v="23"/>
    <n v="1820"/>
    <n v="0.18"/>
    <n v="1360"/>
    <n v="34325.200000000004"/>
    <n v="31280"/>
    <n v="3045.2000000000044"/>
    <n v="8.8716161886893713E-2"/>
  </r>
  <r>
    <x v="1448"/>
    <x v="594"/>
    <x v="1"/>
    <d v="1900-01-11T00:00:00"/>
    <x v="0"/>
    <s v="Nashik"/>
    <s v="Neha Deshpande"/>
    <s v="Neha Deshpande"/>
    <x v="2"/>
    <x v="1"/>
    <s v="Washing Machines"/>
    <s v="Whirlpool Semi Auto 7.5Kg"/>
    <x v="0"/>
    <s v="Pending"/>
    <n v="6"/>
    <n v="13440"/>
    <n v="0.1"/>
    <n v="9750"/>
    <n v="72576"/>
    <n v="58500"/>
    <n v="14076"/>
    <n v="0.1939484126984127"/>
  </r>
  <r>
    <x v="1449"/>
    <x v="595"/>
    <x v="1"/>
    <d v="1900-01-11T00:00:00"/>
    <x v="2"/>
    <s v="Delhi"/>
    <s v="Simran Kaur"/>
    <s v="Simran Kaur"/>
    <x v="0"/>
    <x v="0"/>
    <s v="Audio Devices"/>
    <s v="Jbl Flip 6"/>
    <x v="1"/>
    <s v="Delivered"/>
    <n v="14"/>
    <n v="8970"/>
    <n v="0.05"/>
    <n v="5820"/>
    <n v="119301"/>
    <n v="81480"/>
    <n v="37821"/>
    <n v="0.31702165111776098"/>
  </r>
  <r>
    <x v="1450"/>
    <x v="595"/>
    <x v="1"/>
    <d v="1900-01-11T00:00:00"/>
    <x v="3"/>
    <s v="Bengaluru"/>
    <s v="Anjali Menon"/>
    <s v="Anjali Menon"/>
    <x v="1"/>
    <x v="3"/>
    <s v="Office Chairs"/>
    <s v="Nilkamal Executive Chair"/>
    <x v="0"/>
    <s v="Delivered"/>
    <n v="19"/>
    <n v="6500"/>
    <n v="0.1"/>
    <n v="3950"/>
    <n v="111150"/>
    <n v="75050"/>
    <n v="36100"/>
    <n v="0.3247863247863248"/>
  </r>
  <r>
    <x v="1451"/>
    <x v="595"/>
    <x v="1"/>
    <d v="1900-01-11T00:00:00"/>
    <x v="0"/>
    <s v="Ahmedabad"/>
    <s v="Neha Deshpande"/>
    <s v="Neha Deshpande"/>
    <x v="2"/>
    <x v="1"/>
    <s v="Washing Machines"/>
    <s v="Ifb Front Load 7Kg"/>
    <x v="1"/>
    <s v="Pending"/>
    <n v="4"/>
    <n v="33640"/>
    <n v="0.05"/>
    <n v="21380"/>
    <n v="127832"/>
    <n v="85520"/>
    <n v="42312"/>
    <n v="0.33099693347518616"/>
  </r>
  <r>
    <x v="1452"/>
    <x v="595"/>
    <x v="1"/>
    <d v="1900-01-11T00:00:00"/>
    <x v="1"/>
    <s v="Kolkata"/>
    <s v="Sourav Das"/>
    <s v="Sourav Das"/>
    <x v="1"/>
    <x v="3"/>
    <s v="Storage"/>
    <s v="3-Door Wardrobe"/>
    <x v="1"/>
    <s v="Delivered"/>
    <n v="9"/>
    <n v="29110"/>
    <n v="0.2"/>
    <n v="20170"/>
    <n v="209592"/>
    <n v="181530"/>
    <n v="28062"/>
    <n v="0.13388869804191"/>
  </r>
  <r>
    <x v="1453"/>
    <x v="596"/>
    <x v="1"/>
    <d v="1900-01-11T00:00:00"/>
    <x v="3"/>
    <s v="Kochi"/>
    <s v="Divya Nair"/>
    <s v="Divya Nair"/>
    <x v="2"/>
    <x v="0"/>
    <s v="Televisions"/>
    <s v="Mi Tv 5X 43 Inch"/>
    <x v="2"/>
    <s v="Shipped"/>
    <n v="1"/>
    <n v="32060"/>
    <n v="0"/>
    <n v="22710"/>
    <n v="32060"/>
    <n v="22710"/>
    <n v="9350"/>
    <n v="0.29164067373674363"/>
  </r>
  <r>
    <x v="1454"/>
    <x v="596"/>
    <x v="1"/>
    <d v="1900-01-11T00:00:00"/>
    <x v="0"/>
    <s v="Nashik"/>
    <s v="Imran Sheikh"/>
    <s v="Imran Sheikh"/>
    <x v="0"/>
    <x v="4"/>
    <s v="Fitness Equipment"/>
    <s v="Home Foldable Treadmill"/>
    <x v="0"/>
    <s v="Delivered"/>
    <n v="4"/>
    <n v="43410"/>
    <n v="0.18"/>
    <n v="28600"/>
    <n v="142384.80000000002"/>
    <n v="114400"/>
    <n v="27984.800000000017"/>
    <n v="0.19654345126727021"/>
  </r>
  <r>
    <x v="1455"/>
    <x v="596"/>
    <x v="1"/>
    <d v="1900-01-11T00:00:00"/>
    <x v="3"/>
    <s v="Bengaluru"/>
    <s v="Karthik Raman"/>
    <s v="Karthik Raman"/>
    <x v="3"/>
    <x v="4"/>
    <s v="Fitness Equipment"/>
    <s v="Adjustable Dumbbell Set 10Kg"/>
    <x v="1"/>
    <s v="Pending"/>
    <n v="11"/>
    <n v="2430"/>
    <n v="0.05"/>
    <n v="1760"/>
    <n v="25393.5"/>
    <n v="19360"/>
    <n v="6033.5"/>
    <n v="0.2376001732726879"/>
  </r>
  <r>
    <x v="1456"/>
    <x v="597"/>
    <x v="1"/>
    <d v="1900-01-11T00:00:00"/>
    <x v="2"/>
    <s v="Delhi"/>
    <s v="Aditya Verma"/>
    <s v="Aditya Verma"/>
    <x v="0"/>
    <x v="4"/>
    <s v="Fitness Equipment"/>
    <s v="Adjustable Dumbbell Set 10Kg"/>
    <x v="0"/>
    <s v="Delivered"/>
    <n v="20"/>
    <n v="2490"/>
    <n v="0.2"/>
    <n v="1580"/>
    <n v="39840"/>
    <n v="31600"/>
    <n v="8240"/>
    <n v="0.20682730923694778"/>
  </r>
  <r>
    <x v="1457"/>
    <x v="598"/>
    <x v="1"/>
    <d v="1900-01-11T00:00:00"/>
    <x v="0"/>
    <s v="Mumbai"/>
    <s v="Neha Deshpande"/>
    <s v="Neha Deshpande"/>
    <x v="2"/>
    <x v="0"/>
    <s v="Laptops"/>
    <s v="Hp Pavilion 15"/>
    <x v="1"/>
    <s v="Delivered"/>
    <n v="3"/>
    <n v="65050"/>
    <n v="0.08"/>
    <n v="42580"/>
    <n v="179538"/>
    <n v="127740"/>
    <n v="51798"/>
    <n v="0.28850716839889051"/>
  </r>
  <r>
    <x v="1458"/>
    <x v="598"/>
    <x v="1"/>
    <d v="1900-01-11T00:00:00"/>
    <x v="2"/>
    <s v="Chandigarh"/>
    <s v="Rohit Malhotra"/>
    <s v="Rohit Malhotra"/>
    <x v="0"/>
    <x v="0"/>
    <s v="Audio Devices"/>
    <s v="Boat Airdopes 141"/>
    <x v="2"/>
    <s v="Returned"/>
    <n v="17"/>
    <n v="1730"/>
    <n v="0.12"/>
    <n v="1250"/>
    <n v="25880.799999999999"/>
    <n v="21250"/>
    <n v="4630.7999999999993"/>
    <n v="0.17892800840777717"/>
  </r>
  <r>
    <x v="1459"/>
    <x v="599"/>
    <x v="1"/>
    <d v="1900-01-11T00:00:00"/>
    <x v="0"/>
    <s v="Mumbai"/>
    <s v="Imran Sheikh"/>
    <s v="Imran Sheikh"/>
    <x v="0"/>
    <x v="4"/>
    <s v="Activewear"/>
    <s v="Nivia Football Size 5"/>
    <x v="1"/>
    <s v="Delivered"/>
    <n v="6"/>
    <n v="940"/>
    <n v="0.12"/>
    <n v="730"/>
    <n v="4963.2"/>
    <n v="4380"/>
    <n v="583.19999999999982"/>
    <n v="0.11750483558994194"/>
  </r>
  <r>
    <x v="1460"/>
    <x v="599"/>
    <x v="1"/>
    <d v="1900-01-11T00:00:00"/>
    <x v="1"/>
    <s v="Ranchi"/>
    <s v="Sourav Das"/>
    <s v="Sourav Das"/>
    <x v="0"/>
    <x v="1"/>
    <s v="Air Conditioners"/>
    <s v="Daikin 1.5T Split Ac"/>
    <x v="2"/>
    <s v="Delivered"/>
    <n v="2"/>
    <n v="42690"/>
    <n v="0.12"/>
    <n v="33550"/>
    <n v="75134.399999999994"/>
    <n v="67100"/>
    <n v="8034.3999999999942"/>
    <n v="0.10693370812836724"/>
  </r>
  <r>
    <x v="1461"/>
    <x v="599"/>
    <x v="1"/>
    <d v="1900-01-11T00:00:00"/>
    <x v="2"/>
    <s v="Noida"/>
    <s v="Rohit Malhotra"/>
    <s v="Rohit Malhotra"/>
    <x v="2"/>
    <x v="1"/>
    <s v="Refrigerators"/>
    <s v="Samsung 192L Single Door"/>
    <x v="2"/>
    <s v="Delivered"/>
    <n v="1"/>
    <n v="15910"/>
    <n v="0.18"/>
    <n v="10840"/>
    <n v="13046.2"/>
    <n v="10840"/>
    <n v="2206.2000000000007"/>
    <n v="0.16910671306587363"/>
  </r>
  <r>
    <x v="1462"/>
    <x v="600"/>
    <x v="1"/>
    <d v="1900-01-11T00:00:00"/>
    <x v="1"/>
    <s v="Guwahati"/>
    <s v="Sourav Das"/>
    <s v="Sourav Das"/>
    <x v="0"/>
    <x v="0"/>
    <s v="Televisions"/>
    <s v="Samsung Crystal 4K 55 Inch"/>
    <x v="0"/>
    <s v="Delivered"/>
    <n v="4"/>
    <n v="51690"/>
    <n v="0.15"/>
    <n v="40520"/>
    <n v="175746"/>
    <n v="162080"/>
    <n v="13666"/>
    <n v="7.7759949017331825E-2"/>
  </r>
  <r>
    <x v="1463"/>
    <x v="601"/>
    <x v="1"/>
    <d v="1900-01-11T00:00:00"/>
    <x v="0"/>
    <s v="Pune"/>
    <s v="Imran Sheikh"/>
    <s v="Imran Sheikh"/>
    <x v="0"/>
    <x v="4"/>
    <s v="Fitness Equipment"/>
    <s v="Adjustable Dumbbell Set 10Kg"/>
    <x v="1"/>
    <s v="Pending"/>
    <n v="20"/>
    <n v="2340"/>
    <n v="0.08"/>
    <n v="1330"/>
    <n v="43056"/>
    <n v="26600"/>
    <n v="16456"/>
    <n v="0.38219992567818656"/>
  </r>
  <r>
    <x v="1464"/>
    <x v="602"/>
    <x v="1"/>
    <d v="1900-01-11T00:00:00"/>
    <x v="0"/>
    <s v="Nashik"/>
    <s v="Neha Deshpande"/>
    <s v="Neha Deshpande"/>
    <x v="0"/>
    <x v="4"/>
    <s v="Sports Gear"/>
    <s v="Sg Cricket Bat English Willow"/>
    <x v="1"/>
    <s v="Delivered"/>
    <n v="15"/>
    <n v="4690"/>
    <n v="0.12"/>
    <n v="3600"/>
    <n v="61908"/>
    <n v="54000"/>
    <n v="7908"/>
    <n v="0.12773793370808295"/>
  </r>
  <r>
    <x v="1465"/>
    <x v="602"/>
    <x v="1"/>
    <d v="1900-01-11T00:00:00"/>
    <x v="3"/>
    <s v="Visakhapatnam"/>
    <s v="Divya Nair"/>
    <s v="Divya Nair"/>
    <x v="0"/>
    <x v="4"/>
    <s v="Activewear"/>
    <s v="Puma Track Pants"/>
    <x v="0"/>
    <s v="Shipped"/>
    <n v="6"/>
    <n v="1650"/>
    <n v="0"/>
    <n v="1170"/>
    <n v="9900"/>
    <n v="7020"/>
    <n v="2880"/>
    <n v="0.29090909090909089"/>
  </r>
  <r>
    <x v="1466"/>
    <x v="602"/>
    <x v="1"/>
    <d v="1900-01-11T00:00:00"/>
    <x v="2"/>
    <s v="Noida"/>
    <s v="Simran Kaur"/>
    <s v="Simran Kaur"/>
    <x v="3"/>
    <x v="4"/>
    <s v="Fitness Equipment"/>
    <s v="Adjustable Dumbbell Set 10Kg"/>
    <x v="1"/>
    <s v="Delivered"/>
    <n v="61"/>
    <n v="2410"/>
    <n v="0.1"/>
    <n v="1870"/>
    <n v="132309"/>
    <n v="114070"/>
    <n v="18239"/>
    <n v="0.13785154449054865"/>
  </r>
  <r>
    <x v="1467"/>
    <x v="602"/>
    <x v="1"/>
    <d v="1900-01-11T00:00:00"/>
    <x v="0"/>
    <s v="Mumbai"/>
    <s v="Imran Sheikh"/>
    <s v="Imran Sheikh"/>
    <x v="3"/>
    <x v="1"/>
    <s v="Refrigerators"/>
    <s v="Samsung 192L Single Door"/>
    <x v="0"/>
    <s v="Delivered"/>
    <n v="4"/>
    <n v="17120"/>
    <n v="0.1"/>
    <n v="11740"/>
    <n v="61632"/>
    <n v="46960"/>
    <n v="14672"/>
    <n v="0.23805815160955349"/>
  </r>
  <r>
    <x v="1468"/>
    <x v="603"/>
    <x v="1"/>
    <d v="1900-01-11T00:00:00"/>
    <x v="4"/>
    <s v="Jabalpur"/>
    <s v="Pooja Chouhan"/>
    <s v="Pooja Chouhan"/>
    <x v="1"/>
    <x v="2"/>
    <s v="Footwear"/>
    <s v="Nike Revolution 7"/>
    <x v="0"/>
    <s v="Delivered"/>
    <n v="8"/>
    <n v="3950"/>
    <n v="0.08"/>
    <n v="2640"/>
    <n v="29072"/>
    <n v="21120"/>
    <n v="7952"/>
    <n v="0.27352779306549257"/>
  </r>
  <r>
    <x v="1469"/>
    <x v="604"/>
    <x v="1"/>
    <d v="1900-01-11T00:00:00"/>
    <x v="0"/>
    <s v="Surat"/>
    <s v="Prateek Shah"/>
    <s v="Prateek Shah"/>
    <x v="2"/>
    <x v="3"/>
    <s v="Storage"/>
    <s v="Metal Shoe Rack"/>
    <x v="1"/>
    <s v="Returned"/>
    <n v="9"/>
    <n v="3750"/>
    <n v="0.15"/>
    <n v="2480"/>
    <n v="28687.5"/>
    <n v="22320"/>
    <n v="6367.5"/>
    <n v="0.22196078431372548"/>
  </r>
  <r>
    <x v="1470"/>
    <x v="604"/>
    <x v="1"/>
    <d v="1900-01-11T00:00:00"/>
    <x v="0"/>
    <s v="Ahmedabad"/>
    <s v="Neha Deshpande"/>
    <s v="Neha Deshpande"/>
    <x v="0"/>
    <x v="3"/>
    <s v="Sofas"/>
    <s v="Single Seater Recliner"/>
    <x v="0"/>
    <s v="Delivered"/>
    <n v="3"/>
    <n v="47200"/>
    <n v="0"/>
    <n v="32350"/>
    <n v="141600"/>
    <n v="97050"/>
    <n v="44550"/>
    <n v="0.3146186440677966"/>
  </r>
  <r>
    <x v="1471"/>
    <x v="605"/>
    <x v="1"/>
    <d v="1900-01-11T00:00:00"/>
    <x v="2"/>
    <s v="Jaipur"/>
    <s v="Aditya Verma"/>
    <s v="Aditya Verma"/>
    <x v="3"/>
    <x v="3"/>
    <s v="Sofas"/>
    <s v="3-Seater Fabric Sofa"/>
    <x v="2"/>
    <s v="Delivered"/>
    <n v="6"/>
    <n v="33120"/>
    <n v="0.05"/>
    <n v="18910"/>
    <n v="188784"/>
    <n v="113460"/>
    <n v="75324"/>
    <n v="0.39899567759979659"/>
  </r>
  <r>
    <x v="1472"/>
    <x v="606"/>
    <x v="1"/>
    <d v="1900-01-11T00:00:00"/>
    <x v="2"/>
    <s v="Noida"/>
    <s v="Rohit Malhotra"/>
    <s v="Rohit Malhotra"/>
    <x v="0"/>
    <x v="1"/>
    <s v="Kitchen Appliances"/>
    <s v="Pigeon Induction Cooktop"/>
    <x v="0"/>
    <s v="Delivered"/>
    <n v="35"/>
    <n v="2600"/>
    <n v="0.25"/>
    <n v="1530"/>
    <n v="68250"/>
    <n v="53550"/>
    <n v="14700"/>
    <n v="0.2153846153846154"/>
  </r>
  <r>
    <x v="1473"/>
    <x v="606"/>
    <x v="1"/>
    <d v="1900-01-11T00:00:00"/>
    <x v="2"/>
    <s v="Jaipur"/>
    <s v="Rohit Malhotra"/>
    <s v="Rohit Malhotra"/>
    <x v="3"/>
    <x v="1"/>
    <s v="Air Conditioners"/>
    <s v="Daikin 1.5T Split Ac"/>
    <x v="1"/>
    <s v="Pending"/>
    <n v="1"/>
    <n v="41730"/>
    <n v="0.15"/>
    <n v="31200"/>
    <n v="35470.5"/>
    <n v="31200"/>
    <n v="4270.5"/>
    <n v="0.12039582188015394"/>
  </r>
  <r>
    <x v="1474"/>
    <x v="606"/>
    <x v="1"/>
    <d v="1900-01-11T00:00:00"/>
    <x v="4"/>
    <s v="Ujjain"/>
    <s v="Manish Tiwari"/>
    <s v="Manish Tiwari"/>
    <x v="0"/>
    <x v="3"/>
    <s v="Storage"/>
    <s v="Metal Shoe Rack"/>
    <x v="1"/>
    <s v="Delivered"/>
    <n v="3"/>
    <n v="3420"/>
    <n v="0.1"/>
    <n v="2140"/>
    <n v="9234"/>
    <n v="6420"/>
    <n v="2814"/>
    <n v="0.30474333983105911"/>
  </r>
  <r>
    <x v="1475"/>
    <x v="606"/>
    <x v="1"/>
    <d v="1900-01-11T00:00:00"/>
    <x v="3"/>
    <s v="Coimbatore"/>
    <s v="Anjali Menon"/>
    <s v="Anjali Menon"/>
    <x v="2"/>
    <x v="2"/>
    <s v="Apparel"/>
    <s v="Allen Solly Formal Shirt"/>
    <x v="2"/>
    <s v="Returned"/>
    <n v="33"/>
    <n v="1920"/>
    <n v="0"/>
    <n v="1490"/>
    <n v="63360"/>
    <n v="49170"/>
    <n v="14190"/>
    <n v="0.22395833333333334"/>
  </r>
  <r>
    <x v="1476"/>
    <x v="607"/>
    <x v="1"/>
    <d v="1900-01-11T00:00:00"/>
    <x v="2"/>
    <s v="Lucknow"/>
    <s v="Simran Kaur"/>
    <s v="Simran Kaur"/>
    <x v="0"/>
    <x v="1"/>
    <s v="Kitchen Appliances"/>
    <s v="Prestige Mixer Grinder"/>
    <x v="1"/>
    <s v="Delivered"/>
    <n v="9"/>
    <n v="4410"/>
    <n v="0"/>
    <n v="3460"/>
    <n v="39690"/>
    <n v="31140"/>
    <n v="8550"/>
    <n v="0.21541950113378686"/>
  </r>
  <r>
    <x v="1477"/>
    <x v="607"/>
    <x v="1"/>
    <d v="1900-01-11T00:00:00"/>
    <x v="1"/>
    <s v="Patna"/>
    <s v="Sourav Das"/>
    <s v="Sourav Das"/>
    <x v="0"/>
    <x v="3"/>
    <s v="Storage"/>
    <s v="3-Door Wardrobe"/>
    <x v="0"/>
    <s v="Delivered"/>
    <n v="4"/>
    <n v="27490"/>
    <n v="0.1"/>
    <n v="21450"/>
    <n v="98964"/>
    <n v="85800"/>
    <n v="13164"/>
    <n v="0.13301806717594278"/>
  </r>
  <r>
    <x v="1478"/>
    <x v="607"/>
    <x v="1"/>
    <d v="1900-01-11T00:00:00"/>
    <x v="3"/>
    <s v="Coimbatore"/>
    <s v="Divya Nair"/>
    <s v="Divya Nair"/>
    <x v="0"/>
    <x v="0"/>
    <s v="Televisions"/>
    <s v="Mi Tv 5X 43 Inch"/>
    <x v="2"/>
    <s v="Pending"/>
    <n v="3"/>
    <n v="33740"/>
    <n v="0.12"/>
    <n v="25150"/>
    <n v="89073.600000000006"/>
    <n v="75450"/>
    <n v="13623.600000000006"/>
    <n v="0.15294767473190715"/>
  </r>
  <r>
    <x v="1479"/>
    <x v="607"/>
    <x v="1"/>
    <d v="1900-01-11T00:00:00"/>
    <x v="1"/>
    <s v="Bhubaneswar"/>
    <s v="Sourav Das"/>
    <s v="Sourav Das"/>
    <x v="0"/>
    <x v="2"/>
    <s v="Footwear"/>
    <s v="Campus Running Shoes"/>
    <x v="0"/>
    <s v="Delivered"/>
    <n v="16"/>
    <n v="1580"/>
    <n v="0"/>
    <n v="1200"/>
    <n v="25280"/>
    <n v="19200"/>
    <n v="6080"/>
    <n v="0.24050632911392406"/>
  </r>
  <r>
    <x v="1480"/>
    <x v="608"/>
    <x v="1"/>
    <d v="1900-01-11T00:00:00"/>
    <x v="3"/>
    <s v="Visakhapatnam"/>
    <s v="Anjali Menon"/>
    <s v="Anjali Menon"/>
    <x v="3"/>
    <x v="3"/>
    <s v="Sofas"/>
    <s v="3-Seater Fabric Sofa"/>
    <x v="0"/>
    <s v="Delivered"/>
    <n v="7"/>
    <n v="31450"/>
    <n v="0.15"/>
    <n v="23450"/>
    <n v="187127.5"/>
    <n v="164150"/>
    <n v="22977.5"/>
    <n v="0.12279061067988403"/>
  </r>
  <r>
    <x v="1481"/>
    <x v="608"/>
    <x v="1"/>
    <d v="1900-01-11T00:00:00"/>
    <x v="1"/>
    <s v="Ranchi"/>
    <s v="Ritika Ghosh"/>
    <s v="Ritika Ghosh"/>
    <x v="0"/>
    <x v="0"/>
    <s v="Laptops"/>
    <s v="Macbook Air M3"/>
    <x v="2"/>
    <s v="Delivered"/>
    <n v="3"/>
    <n v="102410"/>
    <n v="0.15"/>
    <n v="70200"/>
    <n v="261145.5"/>
    <n v="210600"/>
    <n v="50545.5"/>
    <n v="0.19355301929384194"/>
  </r>
  <r>
    <x v="1482"/>
    <x v="608"/>
    <x v="1"/>
    <d v="1900-01-11T00:00:00"/>
    <x v="0"/>
    <s v="Surat"/>
    <s v="Neha Deshpande"/>
    <s v="Neha Deshpande"/>
    <x v="3"/>
    <x v="1"/>
    <s v="Air Conditioners"/>
    <s v="Voltas 1.5T Inverter Ac"/>
    <x v="0"/>
    <s v="Delivered"/>
    <n v="6"/>
    <n v="35740"/>
    <n v="0.05"/>
    <n v="20730"/>
    <n v="203718"/>
    <n v="124380"/>
    <n v="79338"/>
    <n v="0.38945012222778547"/>
  </r>
  <r>
    <x v="1483"/>
    <x v="608"/>
    <x v="1"/>
    <d v="1900-01-11T00:00:00"/>
    <x v="2"/>
    <s v="Delhi"/>
    <s v="Rohit Malhotra"/>
    <s v="Rohit Malhotra"/>
    <x v="0"/>
    <x v="4"/>
    <s v="Activewear"/>
    <s v="Puma Track Pants"/>
    <x v="1"/>
    <s v="Delivered"/>
    <n v="37"/>
    <n v="1650"/>
    <n v="0.05"/>
    <n v="960"/>
    <n v="57997.5"/>
    <n v="35520"/>
    <n v="22477.5"/>
    <n v="0.38755980861244022"/>
  </r>
  <r>
    <x v="1484"/>
    <x v="609"/>
    <x v="1"/>
    <d v="1900-01-11T00:00:00"/>
    <x v="3"/>
    <s v="Chennai"/>
    <s v="Karthik Raman"/>
    <s v="Karthik Raman"/>
    <x v="0"/>
    <x v="2"/>
    <s v="Footwear"/>
    <s v="Nike Revolution 7"/>
    <x v="2"/>
    <s v="Delivered"/>
    <n v="8"/>
    <n v="4080"/>
    <n v="0.18"/>
    <n v="3040"/>
    <n v="26764.800000000003"/>
    <n v="24320"/>
    <n v="2444.8000000000029"/>
    <n v="9.1343854615016831E-2"/>
  </r>
  <r>
    <x v="1485"/>
    <x v="609"/>
    <x v="1"/>
    <d v="1900-01-11T00:00:00"/>
    <x v="3"/>
    <s v="Coimbatore"/>
    <s v="Anjali Menon"/>
    <s v="Anjali Menon"/>
    <x v="3"/>
    <x v="4"/>
    <s v="Activewear"/>
    <s v="Nivia Football Size 5"/>
    <x v="0"/>
    <s v="Pending"/>
    <n v="45"/>
    <n v="920"/>
    <n v="0.12"/>
    <n v="550"/>
    <n v="36432"/>
    <n v="24750"/>
    <n v="11682"/>
    <n v="0.32065217391304346"/>
  </r>
  <r>
    <x v="1486"/>
    <x v="609"/>
    <x v="1"/>
    <d v="1900-01-11T00:00:00"/>
    <x v="0"/>
    <s v="Pune"/>
    <s v="Neha Deshpande"/>
    <s v="Neha Deshpande"/>
    <x v="0"/>
    <x v="0"/>
    <s v="Televisions"/>
    <s v="Mi Tv 5X 43 Inch"/>
    <x v="2"/>
    <s v="Shipped"/>
    <n v="3"/>
    <n v="32100"/>
    <n v="0.05"/>
    <n v="20900"/>
    <n v="91485"/>
    <n v="62700"/>
    <n v="28785"/>
    <n v="0.31464174454828658"/>
  </r>
  <r>
    <x v="1487"/>
    <x v="609"/>
    <x v="1"/>
    <d v="1900-01-11T00:00:00"/>
    <x v="4"/>
    <s v="Bhopal"/>
    <s v="Pooja Chouhan"/>
    <s v="Pooja Chouhan"/>
    <x v="3"/>
    <x v="1"/>
    <s v="Washing Machines"/>
    <s v="Whirlpool Semi Auto 7.5Kg"/>
    <x v="1"/>
    <s v="Delivered"/>
    <n v="9"/>
    <n v="15030"/>
    <n v="0.1"/>
    <n v="9950"/>
    <n v="121743"/>
    <n v="89550"/>
    <n v="32193"/>
    <n v="0.26443409477341612"/>
  </r>
  <r>
    <x v="1488"/>
    <x v="610"/>
    <x v="1"/>
    <d v="1900-01-11T00:00:00"/>
    <x v="1"/>
    <s v="Siliguri"/>
    <s v="Ritika Ghosh"/>
    <s v="Ritika Ghosh"/>
    <x v="3"/>
    <x v="2"/>
    <s v="Footwear"/>
    <s v="Nike Revolution 7"/>
    <x v="0"/>
    <s v="Delivered"/>
    <n v="5"/>
    <n v="3620"/>
    <n v="0"/>
    <n v="2480"/>
    <n v="18100"/>
    <n v="12400"/>
    <n v="5700"/>
    <n v="0.31491712707182318"/>
  </r>
  <r>
    <x v="1489"/>
    <x v="611"/>
    <x v="1"/>
    <d v="1900-01-11T00:00:00"/>
    <x v="1"/>
    <s v="Siliguri"/>
    <s v="Sourav Das"/>
    <s v="Sourav Das"/>
    <x v="0"/>
    <x v="3"/>
    <s v="Storage"/>
    <s v="3-Door Wardrobe"/>
    <x v="1"/>
    <s v="Shipped"/>
    <n v="3"/>
    <n v="28570"/>
    <n v="0.1"/>
    <n v="21100"/>
    <n v="77139"/>
    <n v="63300"/>
    <n v="13839"/>
    <n v="0.1794034146151752"/>
  </r>
  <r>
    <x v="1490"/>
    <x v="611"/>
    <x v="1"/>
    <d v="1900-01-11T00:00:00"/>
    <x v="1"/>
    <s v="Bhubaneswar"/>
    <s v="Sourav Das"/>
    <s v="Sourav Das"/>
    <x v="1"/>
    <x v="0"/>
    <s v="Laptops"/>
    <s v="Hp Pavilion 15"/>
    <x v="0"/>
    <s v="Delivered"/>
    <n v="7"/>
    <n v="63640"/>
    <n v="0.08"/>
    <n v="46400"/>
    <n v="409841.60000000003"/>
    <n v="324800"/>
    <n v="85041.600000000035"/>
    <n v="0.20749870193752909"/>
  </r>
  <r>
    <x v="1491"/>
    <x v="611"/>
    <x v="1"/>
    <d v="1900-01-11T00:00:00"/>
    <x v="1"/>
    <s v="Siliguri"/>
    <s v="Sourav Das"/>
    <s v="Sourav Das"/>
    <x v="3"/>
    <x v="4"/>
    <s v="Sports Gear"/>
    <s v="Yonex Badminton Racket"/>
    <x v="0"/>
    <s v="Delivered"/>
    <n v="5"/>
    <n v="3340"/>
    <n v="0.2"/>
    <n v="2610"/>
    <n v="13360"/>
    <n v="13050"/>
    <n v="310"/>
    <n v="2.3203592814371257E-2"/>
  </r>
  <r>
    <x v="1492"/>
    <x v="611"/>
    <x v="1"/>
    <d v="1900-01-11T00:00:00"/>
    <x v="3"/>
    <s v="Chennai"/>
    <s v="Divya Nair"/>
    <s v="Divya Nair"/>
    <x v="3"/>
    <x v="1"/>
    <s v="Air Conditioners"/>
    <s v="Voltas 1.5T Inverter Ac"/>
    <x v="0"/>
    <s v="Delivered"/>
    <n v="2"/>
    <n v="36080"/>
    <n v="0"/>
    <n v="26620"/>
    <n v="72160"/>
    <n v="53240"/>
    <n v="18920"/>
    <n v="0.26219512195121952"/>
  </r>
  <r>
    <x v="1493"/>
    <x v="611"/>
    <x v="1"/>
    <d v="1900-01-11T00:00:00"/>
    <x v="4"/>
    <s v="Bhopal"/>
    <s v="Manish             Tiwari"/>
    <s v="Manish Tiwari"/>
    <x v="0"/>
    <x v="0"/>
    <s v="Audio Devices"/>
    <s v="Jbl Flip 6"/>
    <x v="1"/>
    <s v="Delivered"/>
    <n v="4"/>
    <n v="8960"/>
    <n v="0.18"/>
    <n v="6080"/>
    <n v="29388.800000000003"/>
    <n v="24320"/>
    <n v="5068.8000000000029"/>
    <n v="0.1724738675958189"/>
  </r>
  <r>
    <x v="1494"/>
    <x v="611"/>
    <x v="1"/>
    <d v="1900-01-11T00:00:00"/>
    <x v="0"/>
    <s v="Pune"/>
    <s v="Prateek Shah"/>
    <s v="Prateek Shah"/>
    <x v="0"/>
    <x v="4"/>
    <s v="Sports Gear"/>
    <s v="Yonex Badminton Racket"/>
    <x v="0"/>
    <s v="Delivered"/>
    <n v="6"/>
    <n v="3260"/>
    <n v="0.08"/>
    <n v="2350"/>
    <n v="17995.2"/>
    <n v="14100"/>
    <n v="3895.2000000000007"/>
    <n v="0.21645772205921582"/>
  </r>
  <r>
    <x v="1495"/>
    <x v="611"/>
    <x v="1"/>
    <d v="1900-01-11T00:00:00"/>
    <x v="1"/>
    <s v="Patna"/>
    <s v="Sourav Das"/>
    <s v="Sourav Das"/>
    <x v="2"/>
    <x v="3"/>
    <s v="Office Chairs"/>
    <s v="Green Soul Ergonomic Chair"/>
    <x v="0"/>
    <s v="Pending"/>
    <n v="8"/>
    <n v="11830"/>
    <n v="0.12"/>
    <n v="9220"/>
    <n v="83283.199999999997"/>
    <n v="73760"/>
    <n v="9523.1999999999971"/>
    <n v="0.11434719127026816"/>
  </r>
  <r>
    <x v="1496"/>
    <x v="612"/>
    <x v="1"/>
    <d v="1900-01-11T00:00:00"/>
    <x v="1"/>
    <s v="Guwahati"/>
    <s v="Ritika Ghosh"/>
    <s v="Ritika Ghosh"/>
    <x v="0"/>
    <x v="4"/>
    <s v="Sports Gear"/>
    <s v="Yonex Badminton Racket"/>
    <x v="0"/>
    <s v="Delivered"/>
    <n v="8"/>
    <n v="3310"/>
    <n v="0.15"/>
    <n v="2030"/>
    <n v="22508"/>
    <n v="16240"/>
    <n v="6268"/>
    <n v="0.27847876310645103"/>
  </r>
  <r>
    <x v="1497"/>
    <x v="612"/>
    <x v="1"/>
    <d v="1900-01-11T00:00:00"/>
    <x v="0"/>
    <s v="Mumbai"/>
    <s v="Imran Sheikh"/>
    <s v="Imran Sheikh"/>
    <x v="0"/>
    <x v="0"/>
    <s v="Laptops"/>
    <s v="Dell Inspiron 3520"/>
    <x v="0"/>
    <s v="Pending"/>
    <n v="2"/>
    <n v="55880"/>
    <n v="0.15"/>
    <n v="34570"/>
    <n v="94996"/>
    <n v="69140"/>
    <n v="25856"/>
    <n v="0.27217988125815823"/>
  </r>
  <r>
    <x v="1498"/>
    <x v="613"/>
    <x v="1"/>
    <d v="1900-01-11T00:00:00"/>
    <x v="1"/>
    <s v="Ranchi"/>
    <s v="Ritika Ghosh"/>
    <s v="Ritika Ghosh"/>
    <x v="3"/>
    <x v="0"/>
    <s v="Laptops"/>
    <s v="Dell Inspiron 3520"/>
    <x v="1"/>
    <s v="Delivered"/>
    <n v="5"/>
    <n v="56820"/>
    <n v="0.1"/>
    <n v="40360"/>
    <n v="255690"/>
    <n v="201800"/>
    <n v="53890"/>
    <n v="0.21076303336071023"/>
  </r>
  <r>
    <x v="1499"/>
    <x v="613"/>
    <x v="1"/>
    <d v="1900-01-11T00:00:00"/>
    <x v="4"/>
    <s v="Ujjain"/>
    <s v="Pooja Chouhan"/>
    <s v="Pooja Chouhan"/>
    <x v="0"/>
    <x v="1"/>
    <s v="Refrigerators"/>
    <s v="Samsung 192L Single Door"/>
    <x v="0"/>
    <s v="Returned"/>
    <n v="1"/>
    <n v="16940"/>
    <n v="0.05"/>
    <n v="11380"/>
    <n v="16093"/>
    <n v="11380"/>
    <n v="4713"/>
    <n v="0.29286024979804887"/>
  </r>
  <r>
    <x v="1500"/>
    <x v="613"/>
    <x v="1"/>
    <d v="1900-01-11T00:00:00"/>
    <x v="3"/>
    <s v="Hyderabad"/>
    <s v="Anjali Menon"/>
    <s v="Anjali Menon"/>
    <x v="0"/>
    <x v="1"/>
    <s v="Kitchen Appliances"/>
    <s v="Prestige Mixer Grinder"/>
    <x v="2"/>
    <s v="Pending"/>
    <n v="8"/>
    <n v="4820"/>
    <n v="0.1"/>
    <n v="3240"/>
    <n v="34704"/>
    <n v="25920"/>
    <n v="8784"/>
    <n v="0.25311203319502074"/>
  </r>
  <r>
    <x v="1501"/>
    <x v="614"/>
    <x v="1"/>
    <d v="1900-01-11T00:00:00"/>
    <x v="0"/>
    <s v="Mumbai"/>
    <s v="Neha Deshpande"/>
    <s v="Neha Deshpande"/>
    <x v="3"/>
    <x v="4"/>
    <s v="Sports Gear"/>
    <s v="Sg Cricket Bat English Willow"/>
    <x v="2"/>
    <s v="Delivered"/>
    <n v="26"/>
    <n v="4280"/>
    <n v="0.1"/>
    <n v="3100"/>
    <n v="100152"/>
    <n v="80600"/>
    <n v="19552"/>
    <n v="0.19522326064382139"/>
  </r>
  <r>
    <x v="1502"/>
    <x v="614"/>
    <x v="1"/>
    <d v="1900-01-11T00:00:00"/>
    <x v="1"/>
    <s v="Guwahati"/>
    <s v="Sourav Das"/>
    <s v="Sourav Das"/>
    <x v="0"/>
    <x v="1"/>
    <s v="Refrigerators"/>
    <s v="Samsung 192L Single Door"/>
    <x v="2"/>
    <s v="Delivered"/>
    <n v="3"/>
    <n v="17130"/>
    <n v="0.1"/>
    <n v="13510"/>
    <n v="46251"/>
    <n v="40530"/>
    <n v="5721"/>
    <n v="0.12369462281896608"/>
  </r>
  <r>
    <x v="1503"/>
    <x v="614"/>
    <x v="1"/>
    <d v="1900-01-11T00:00:00"/>
    <x v="2"/>
    <s v="Jaipur"/>
    <s v="Rohit Malhotra"/>
    <s v="Rohit Malhotra"/>
    <x v="3"/>
    <x v="1"/>
    <s v="Refrigerators"/>
    <s v="Lg 260L Double Door"/>
    <x v="1"/>
    <s v="Shipped"/>
    <n v="3"/>
    <n v="29220"/>
    <n v="0"/>
    <n v="20190"/>
    <n v="87660"/>
    <n v="60570"/>
    <n v="27090"/>
    <n v="0.30903490759753593"/>
  </r>
  <r>
    <x v="1504"/>
    <x v="614"/>
    <x v="1"/>
    <d v="1900-01-11T00:00:00"/>
    <x v="4"/>
    <s v="Bhopal"/>
    <s v="Manish Tiwari"/>
    <s v="Manish Tiwari"/>
    <x v="2"/>
    <x v="0"/>
    <s v="Laptops"/>
    <s v="Dell Inspiron 3520"/>
    <x v="0"/>
    <s v="Delivered"/>
    <n v="1"/>
    <n v="54610"/>
    <n v="0.12"/>
    <n v="35930"/>
    <n v="48056.800000000003"/>
    <n v="35930"/>
    <n v="12126.800000000003"/>
    <n v="0.25234306071149143"/>
  </r>
  <r>
    <x v="1505"/>
    <x v="615"/>
    <x v="1"/>
    <d v="1900-01-11T00:00:00"/>
    <x v="1"/>
    <s v="Patna"/>
    <s v="Sourav Das"/>
    <s v="Sourav Das"/>
    <x v="0"/>
    <x v="3"/>
    <s v="Sofas"/>
    <s v="Single Seater Recliner"/>
    <x v="1"/>
    <s v="Delivered"/>
    <n v="4"/>
    <n v="44060"/>
    <n v="0.1"/>
    <n v="33020"/>
    <n v="158616"/>
    <n v="132080"/>
    <n v="26536"/>
    <n v="0.16729712008876785"/>
  </r>
  <r>
    <x v="1506"/>
    <x v="616"/>
    <x v="1"/>
    <d v="1900-01-11T00:00:00"/>
    <x v="0"/>
    <s v="Nagpur"/>
    <s v="Prateek Shah"/>
    <s v="Prateek Shah"/>
    <x v="0"/>
    <x v="3"/>
    <s v="Storage"/>
    <s v="Metal Shoe Rack"/>
    <x v="1"/>
    <s v="Delivered"/>
    <n v="4"/>
    <n v="3440"/>
    <n v="0.18"/>
    <n v="2660"/>
    <n v="11283.2"/>
    <n v="10640"/>
    <n v="643.20000000000073"/>
    <n v="5.7005104934770338E-2"/>
  </r>
  <r>
    <x v="1507"/>
    <x v="616"/>
    <x v="1"/>
    <d v="1900-01-11T00:00:00"/>
    <x v="3"/>
    <s v="Coimbatore"/>
    <s v="Divya Nair"/>
    <s v="Divya Nair"/>
    <x v="2"/>
    <x v="2"/>
    <s v="Apparel"/>
    <s v="Us Polo T-Shirt"/>
    <x v="2"/>
    <s v="Delivered"/>
    <n v="35"/>
    <n v="1180"/>
    <n v="0.18"/>
    <n v="750"/>
    <n v="33866"/>
    <n v="26250"/>
    <n v="7616"/>
    <n v="0.22488631665977676"/>
  </r>
  <r>
    <x v="1508"/>
    <x v="616"/>
    <x v="1"/>
    <d v="1900-01-11T00:00:00"/>
    <x v="0"/>
    <s v="Nashik"/>
    <s v="Imran Sheikh"/>
    <s v="Imran Sheikh"/>
    <x v="2"/>
    <x v="0"/>
    <s v="Audio Devices"/>
    <s v="Sony Wh-Ch720N"/>
    <x v="1"/>
    <s v="Delivered"/>
    <n v="5"/>
    <n v="8660"/>
    <n v="0.12"/>
    <n v="5940"/>
    <n v="38104"/>
    <n v="29700"/>
    <n v="8404"/>
    <n v="0.22055427251732102"/>
  </r>
  <r>
    <x v="1509"/>
    <x v="617"/>
    <x v="1"/>
    <d v="1900-01-11T00:00:00"/>
    <x v="2"/>
    <s v="Lucknow"/>
    <s v="Rohit Malhotra"/>
    <s v="Rohit Malhotra"/>
    <x v="0"/>
    <x v="3"/>
    <s v="Sofas"/>
    <s v="3-Seater Fabric Sofa"/>
    <x v="0"/>
    <s v="Delivered"/>
    <n v="4"/>
    <n v="34480"/>
    <n v="0.15"/>
    <n v="23320"/>
    <n v="117232"/>
    <n v="93280"/>
    <n v="23952"/>
    <n v="0.20431281561348438"/>
  </r>
  <r>
    <x v="1510"/>
    <x v="617"/>
    <x v="1"/>
    <d v="1900-01-11T00:00:00"/>
    <x v="2"/>
    <s v="Lucknow"/>
    <s v="Simran Kaur"/>
    <s v="Simran Kaur"/>
    <x v="0"/>
    <x v="0"/>
    <s v="Mobile Phones"/>
    <s v="Iphone 15"/>
    <x v="2"/>
    <s v="Delivered"/>
    <n v="1"/>
    <n v="69810"/>
    <n v="0.05"/>
    <n v="43300"/>
    <n v="66319.5"/>
    <n v="43300"/>
    <n v="23019.5"/>
    <n v="0.34710002337170814"/>
  </r>
  <r>
    <x v="1511"/>
    <x v="618"/>
    <x v="1"/>
    <d v="1900-01-11T00:00:00"/>
    <x v="2"/>
    <s v="Jaipur"/>
    <s v="Simran             Kaur"/>
    <s v="Simran Kaur"/>
    <x v="2"/>
    <x v="2"/>
    <s v="Apparel"/>
    <s v="Levis 511 Jeans"/>
    <x v="0"/>
    <s v="Returned"/>
    <n v="21"/>
    <n v="2780"/>
    <n v="0.2"/>
    <n v="2060"/>
    <n v="46704"/>
    <n v="43260"/>
    <n v="3444"/>
    <n v="7.3741007194244604E-2"/>
  </r>
  <r>
    <x v="1512"/>
    <x v="618"/>
    <x v="1"/>
    <d v="1900-01-11T00:00:00"/>
    <x v="0"/>
    <s v="Ahmedabad"/>
    <s v="Prateek Shah"/>
    <s v="Prateek Shah"/>
    <x v="2"/>
    <x v="1"/>
    <s v="Air Conditioners"/>
    <s v="Daikin 1.5T Split Ac"/>
    <x v="2"/>
    <s v="Shipped"/>
    <n v="4"/>
    <n v="45050"/>
    <n v="0"/>
    <n v="33090"/>
    <n v="180200"/>
    <n v="132360"/>
    <n v="47840"/>
    <n v="0.26548279689234183"/>
  </r>
  <r>
    <x v="1513"/>
    <x v="618"/>
    <x v="1"/>
    <d v="1900-01-11T00:00:00"/>
    <x v="3"/>
    <s v="Kochi"/>
    <s v="Divya Nair"/>
    <s v="Divya Nair"/>
    <x v="3"/>
    <x v="4"/>
    <s v="Fitness Equipment"/>
    <s v="Home Foldable Treadmill"/>
    <x v="1"/>
    <s v="Delivered"/>
    <n v="2"/>
    <n v="41330"/>
    <n v="0.05"/>
    <n v="24180"/>
    <n v="78527"/>
    <n v="48360"/>
    <n v="30167"/>
    <n v="0.38416086186916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1BA37-55E8-458A-B09A-BB0F990FA6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0:G16" firstHeaderRow="1" firstDataRow="1" firstDataCol="1"/>
  <pivotFields count="25">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numFmtId="166" showAll="0"/>
    <pivotField showAll="0">
      <items count="6">
        <item x="4"/>
        <item x="1"/>
        <item x="2"/>
        <item x="3"/>
        <item x="0"/>
        <item t="default"/>
      </items>
    </pivotField>
    <pivotField showAll="0"/>
    <pivotField showAll="0"/>
    <pivotField showAll="0"/>
    <pivotField showAll="0">
      <items count="5">
        <item x="3"/>
        <item x="1"/>
        <item x="2"/>
        <item x="0"/>
        <item t="default"/>
      </items>
    </pivotField>
    <pivotField axis="axisRow"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numFmtId="165"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6">
    <i>
      <x/>
    </i>
    <i>
      <x v="1"/>
    </i>
    <i>
      <x v="2"/>
    </i>
    <i>
      <x v="3"/>
    </i>
    <i>
      <x v="4"/>
    </i>
    <i t="grand">
      <x/>
    </i>
  </rowItems>
  <colItems count="1">
    <i/>
  </colItems>
  <dataFields count="1">
    <dataField name="Sum of Calculated sales" fld="18" baseField="0" baseItem="0" numFmtId="164"/>
  </dataFields>
  <formats count="18">
    <format dxfId="18">
      <pivotArea type="all" dataOnly="0" outline="0" fieldPosition="0"/>
    </format>
    <format dxfId="17">
      <pivotArea outline="0" collapsedLevelsAreSubtotals="1" fieldPosition="0"/>
    </format>
    <format dxfId="16">
      <pivotArea type="origin" dataOnly="0" labelOnly="1" outline="0" fieldPosition="0"/>
    </format>
    <format dxfId="15">
      <pivotArea field="2" type="button" dataOnly="0" labelOnly="1" outline="0"/>
    </format>
    <format dxfId="14">
      <pivotArea type="topRight" dataOnly="0" labelOnly="1" outline="0" fieldPosition="0"/>
    </format>
    <format dxfId="13">
      <pivotArea field="22" type="button" dataOnly="0" labelOnly="1" outline="0"/>
    </format>
    <format dxfId="12">
      <pivotArea dataOnly="0" labelOnly="1" grandRow="1" outline="0" fieldPosition="0"/>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2" type="button" dataOnly="0" labelOnly="1" outline="0"/>
    </format>
    <format dxfId="6">
      <pivotArea type="topRight" dataOnly="0" labelOnly="1" outline="0" fieldPosition="0"/>
    </format>
    <format dxfId="5">
      <pivotArea field="22" type="button" dataOnly="0" labelOnly="1" outline="0"/>
    </format>
    <format dxfId="4">
      <pivotArea dataOnly="0" labelOnly="1" grandRow="1" outline="0" fieldPosition="0"/>
    </format>
    <format dxfId="3">
      <pivotArea dataOnly="0" labelOnly="1" grandCol="1" outline="0" fieldPosition="0"/>
    </format>
    <format dxfId="2">
      <pivotArea collapsedLevelsAreSubtotals="1" fieldPosition="0">
        <references count="1">
          <reference field="9" count="0"/>
        </references>
      </pivotArea>
    </format>
    <format dxfId="1">
      <pivotArea dataOnly="0" labelOnly="1" fieldPosition="0">
        <references count="1">
          <reference field="9" count="0"/>
        </references>
      </pivotArea>
    </format>
  </formats>
  <chartFormats count="2">
    <chartFormat chart="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71967-996D-4520-8544-DE2658AB49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1:C27" firstHeaderRow="1" firstDataRow="1" firstDataCol="1"/>
  <pivotFields count="25">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numFmtId="166" showAll="0"/>
    <pivotField axis="axisRow" showAll="0">
      <items count="6">
        <item x="4"/>
        <item x="1"/>
        <item x="2"/>
        <item x="3"/>
        <item x="0"/>
        <item t="default"/>
      </items>
    </pivotField>
    <pivotField showAll="0"/>
    <pivotField showAll="0"/>
    <pivotField showAll="0"/>
    <pivotField showAll="0">
      <items count="5">
        <item x="3"/>
        <item x="1"/>
        <item x="2"/>
        <item x="0"/>
        <item t="default"/>
      </items>
    </pivotField>
    <pivotField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numFmtId="165"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i>
    <i>
      <x v="1"/>
    </i>
    <i>
      <x v="2"/>
    </i>
    <i>
      <x v="3"/>
    </i>
    <i>
      <x v="4"/>
    </i>
    <i t="grand">
      <x/>
    </i>
  </rowItems>
  <colItems count="1">
    <i/>
  </colItems>
  <dataFields count="1">
    <dataField name="Sum of Calculated sales" fld="18" baseField="0" baseItem="0" numFmtId="164"/>
  </dataFields>
  <formats count="19">
    <format dxfId="37">
      <pivotArea type="all" dataOnly="0" outline="0" fieldPosition="0"/>
    </format>
    <format dxfId="36">
      <pivotArea outline="0" collapsedLevelsAreSubtotals="1" fieldPosition="0"/>
    </format>
    <format dxfId="35">
      <pivotArea type="origin" dataOnly="0" labelOnly="1" outline="0" fieldPosition="0"/>
    </format>
    <format dxfId="34">
      <pivotArea field="2" type="button" dataOnly="0" labelOnly="1" outline="0"/>
    </format>
    <format dxfId="33">
      <pivotArea type="topRight" dataOnly="0" labelOnly="1" outline="0" fieldPosition="0"/>
    </format>
    <format dxfId="32">
      <pivotArea field="22" type="button" dataOnly="0" labelOnly="1" outline="0"/>
    </format>
    <format dxfId="31">
      <pivotArea dataOnly="0" labelOnly="1" grandRow="1" outline="0" fieldPosition="0"/>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 type="button" dataOnly="0" labelOnly="1" outline="0"/>
    </format>
    <format dxfId="25">
      <pivotArea type="topRight" dataOnly="0" labelOnly="1" outline="0" fieldPosition="0"/>
    </format>
    <format dxfId="24">
      <pivotArea field="22" type="button" dataOnly="0" labelOnly="1" outline="0"/>
    </format>
    <format dxfId="23">
      <pivotArea dataOnly="0" labelOnly="1" grandRow="1" outline="0" fieldPosition="0"/>
    </format>
    <format dxfId="22">
      <pivotArea dataOnly="0" labelOnly="1" grandCol="1" outline="0" fieldPosition="0"/>
    </format>
    <format dxfId="21">
      <pivotArea outline="0" collapsedLevelsAreSubtotals="1" fieldPosition="0"/>
    </format>
    <format dxfId="20">
      <pivotArea dataOnly="0" labelOnly="1" fieldPosition="0">
        <references count="1">
          <reference field="4" count="0"/>
        </references>
      </pivotArea>
    </format>
    <format dxfId="19">
      <pivotArea dataOnly="0" labelOnly="1" grandRow="1" outline="0"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614741-3B11-4B1B-B46D-7AE30F05A9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E19" firstHeaderRow="1" firstDataRow="2" firstDataCol="1"/>
  <pivotFields count="25">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axis="axisCol" showAll="0">
      <items count="3">
        <item x="0"/>
        <item x="1"/>
        <item t="default"/>
      </items>
    </pivotField>
    <pivotField numFmtId="166" showAll="0"/>
    <pivotField showAll="0"/>
    <pivotField showAll="0"/>
    <pivotField showAll="0"/>
    <pivotField showAll="0"/>
    <pivotField showAll="0">
      <items count="5">
        <item x="3"/>
        <item x="1"/>
        <item x="2"/>
        <item x="0"/>
        <item t="default"/>
      </items>
    </pivotField>
    <pivotField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numFmtId="165" showAll="0"/>
    <pivotField numFmtId="164" showAll="0"/>
    <pivotField dataField="1" numFmtId="164"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Calculated sales" fld="18" baseField="0" baseItem="0" numFmtId="164"/>
  </dataFields>
  <formats count="22">
    <format dxfId="59">
      <pivotArea type="all" dataOnly="0" outline="0" fieldPosition="0"/>
    </format>
    <format dxfId="58">
      <pivotArea outline="0" collapsedLevelsAreSubtotals="1" fieldPosition="0"/>
    </format>
    <format dxfId="57">
      <pivotArea type="origin" dataOnly="0" labelOnly="1" outline="0" fieldPosition="0"/>
    </format>
    <format dxfId="56">
      <pivotArea field="2" type="button" dataOnly="0" labelOnly="1" outline="0" axis="axisCol" fieldPosition="0"/>
    </format>
    <format dxfId="55">
      <pivotArea type="topRight" dataOnly="0" labelOnly="1" outline="0" fieldPosition="0"/>
    </format>
    <format dxfId="54">
      <pivotArea field="22" type="button" dataOnly="0" labelOnly="1" outline="0" axis="axisRow" fieldPosition="0"/>
    </format>
    <format dxfId="53">
      <pivotArea dataOnly="0" labelOnly="1" fieldPosition="0">
        <references count="1">
          <reference field="22" count="12">
            <x v="1"/>
            <x v="2"/>
            <x v="3"/>
            <x v="4"/>
            <x v="5"/>
            <x v="6"/>
            <x v="7"/>
            <x v="8"/>
            <x v="9"/>
            <x v="10"/>
            <x v="11"/>
            <x v="12"/>
          </reference>
        </references>
      </pivotArea>
    </format>
    <format dxfId="52">
      <pivotArea dataOnly="0" labelOnly="1" grandRow="1" outline="0" fieldPosition="0"/>
    </format>
    <format dxfId="51">
      <pivotArea dataOnly="0" labelOnly="1" fieldPosition="0">
        <references count="1">
          <reference field="2"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2" type="button" dataOnly="0" labelOnly="1" outline="0" axis="axisCol" fieldPosition="0"/>
    </format>
    <format dxfId="45">
      <pivotArea type="topRight" dataOnly="0" labelOnly="1" outline="0" fieldPosition="0"/>
    </format>
    <format dxfId="44">
      <pivotArea field="22" type="button" dataOnly="0" labelOnly="1" outline="0" axis="axisRow" fieldPosition="0"/>
    </format>
    <format dxfId="43">
      <pivotArea dataOnly="0" labelOnly="1" fieldPosition="0">
        <references count="1">
          <reference field="22" count="12">
            <x v="1"/>
            <x v="2"/>
            <x v="3"/>
            <x v="4"/>
            <x v="5"/>
            <x v="6"/>
            <x v="7"/>
            <x v="8"/>
            <x v="9"/>
            <x v="10"/>
            <x v="11"/>
            <x v="12"/>
          </reference>
        </references>
      </pivotArea>
    </format>
    <format dxfId="42">
      <pivotArea dataOnly="0" labelOnly="1" grandRow="1" outline="0" fieldPosition="0"/>
    </format>
    <format dxfId="41">
      <pivotArea dataOnly="0" labelOnly="1" fieldPosition="0">
        <references count="1">
          <reference field="2" count="0"/>
        </references>
      </pivotArea>
    </format>
    <format dxfId="40">
      <pivotArea dataOnly="0" labelOnly="1" grandCol="1" outline="0" fieldPosition="0"/>
    </format>
    <format dxfId="39">
      <pivotArea collapsedLevelsAreSubtotals="1" fieldPosition="0">
        <references count="1">
          <reference field="22" count="12">
            <x v="1"/>
            <x v="2"/>
            <x v="3"/>
            <x v="4"/>
            <x v="5"/>
            <x v="6"/>
            <x v="7"/>
            <x v="8"/>
            <x v="9"/>
            <x v="10"/>
            <x v="11"/>
            <x v="12"/>
          </reference>
        </references>
      </pivotArea>
    </format>
    <format dxfId="38">
      <pivotArea dataOnly="0" labelOnly="1" fieldPosition="0">
        <references count="1">
          <reference field="22" count="12">
            <x v="1"/>
            <x v="2"/>
            <x v="3"/>
            <x v="4"/>
            <x v="5"/>
            <x v="6"/>
            <x v="7"/>
            <x v="8"/>
            <x v="9"/>
            <x v="10"/>
            <x v="11"/>
            <x v="12"/>
          </reference>
        </references>
      </pivotArea>
    </format>
  </formats>
  <chartFormats count="2">
    <chartFormat chart="13" format="9" series="1">
      <pivotArea type="data" outline="0" fieldPosition="0">
        <references count="2">
          <reference field="4294967294" count="1" selected="0">
            <x v="0"/>
          </reference>
          <reference field="2" count="1" selected="0">
            <x v="0"/>
          </reference>
        </references>
      </pivotArea>
    </chartFormat>
    <chartFormat chart="13" format="10"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8840B-6219-4808-AB7B-E8599EDCD5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25">
    <pivotField dataField="1" showAll="0">
      <items count="15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t="default"/>
      </items>
    </pivotField>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numFmtId="166" showAll="0"/>
    <pivotField showAll="0"/>
    <pivotField showAll="0"/>
    <pivotField showAll="0"/>
    <pivotField showAll="0"/>
    <pivotField showAll="0">
      <items count="5">
        <item x="3"/>
        <item x="1"/>
        <item x="2"/>
        <item x="0"/>
        <item t="default"/>
      </items>
    </pivotField>
    <pivotField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numFmtId="165" showAll="0"/>
    <pivotField numFmtId="164" showAll="0"/>
    <pivotField dataField="1" numFmtId="164" showAll="0"/>
    <pivotField numFmtId="164"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Calculated sales" fld="18" baseField="0" baseItem="0" numFmtId="164"/>
    <dataField name="Sum of Profit/Loss" fld="20" baseField="0" baseItem="0" numFmtId="164"/>
    <dataField name="Total Orders" fld="0" subtotal="count" baseField="0" baseItem="2"/>
  </dataFields>
  <formats count="12">
    <format dxfId="71">
      <pivotArea type="all" dataOnly="0" outline="0" fieldPosition="0"/>
    </format>
    <format dxfId="70">
      <pivotArea outline="0" collapsedLevelsAreSubtotals="1" fieldPosition="0"/>
    </format>
    <format dxfId="69">
      <pivotArea dataOnly="0" labelOnly="1" outline="0" fieldPosition="0">
        <references count="1">
          <reference field="4294967294" count="3">
            <x v="0"/>
            <x v="1"/>
            <x v="2"/>
          </reference>
        </references>
      </pivotArea>
    </format>
    <format dxfId="68">
      <pivotArea type="all" dataOnly="0" outline="0" fieldPosition="0"/>
    </format>
    <format dxfId="67">
      <pivotArea outline="0" collapsedLevelsAreSubtotals="1" fieldPosition="0"/>
    </format>
    <format dxfId="66">
      <pivotArea dataOnly="0" labelOnly="1" outline="0" fieldPosition="0">
        <references count="1">
          <reference field="4294967294" count="3">
            <x v="0"/>
            <x v="1"/>
            <x v="2"/>
          </reference>
        </references>
      </pivotArea>
    </format>
    <format dxfId="65">
      <pivotArea type="all" dataOnly="0" outline="0" fieldPosition="0"/>
    </format>
    <format dxfId="64">
      <pivotArea outline="0" collapsedLevelsAreSubtotals="1" fieldPosition="0"/>
    </format>
    <format dxfId="63">
      <pivotArea dataOnly="0" labelOnly="1" outline="0" fieldPosition="0">
        <references count="1">
          <reference field="4294967294" count="3">
            <x v="0"/>
            <x v="1"/>
            <x v="2"/>
          </reference>
        </references>
      </pivotArea>
    </format>
    <format dxfId="62">
      <pivotArea type="all" dataOnly="0" outline="0" fieldPosition="0"/>
    </format>
    <format dxfId="61">
      <pivotArea outline="0" collapsedLevelsAreSubtotals="1" fieldPosition="0"/>
    </format>
    <format dxfId="6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CD8647-CD83-4095-8A14-79960ABDF1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2:G8" firstHeaderRow="1" firstDataRow="1" firstDataCol="1"/>
  <pivotFields count="25">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numFmtId="166" showAll="0"/>
    <pivotField showAll="0">
      <items count="6">
        <item x="4"/>
        <item x="1"/>
        <item x="2"/>
        <item x="3"/>
        <item x="0"/>
        <item t="default"/>
      </items>
    </pivotField>
    <pivotField showAll="0"/>
    <pivotField showAll="0"/>
    <pivotField showAll="0"/>
    <pivotField showAll="0">
      <items count="5">
        <item x="3"/>
        <item x="1"/>
        <item x="2"/>
        <item x="0"/>
        <item t="default"/>
      </items>
    </pivotField>
    <pivotField axis="axisRow"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numFmtId="165" showAll="0"/>
    <pivotField numFmtId="164" showAll="0"/>
    <pivotField numFmtId="164" showAll="0"/>
    <pivotField numFmtId="164"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6">
    <i>
      <x/>
    </i>
    <i>
      <x v="1"/>
    </i>
    <i>
      <x v="2"/>
    </i>
    <i>
      <x v="3"/>
    </i>
    <i>
      <x v="4"/>
    </i>
    <i t="grand">
      <x/>
    </i>
  </rowItems>
  <colItems count="1">
    <i/>
  </colItems>
  <dataFields count="1">
    <dataField name="Sum of Profit/Loss" fld="20" baseField="0" baseItem="0" numFmtId="164"/>
  </dataFields>
  <formats count="18">
    <format dxfId="89">
      <pivotArea type="all" dataOnly="0" outline="0" fieldPosition="0"/>
    </format>
    <format dxfId="88">
      <pivotArea outline="0" collapsedLevelsAreSubtotals="1" fieldPosition="0"/>
    </format>
    <format dxfId="87">
      <pivotArea type="origin" dataOnly="0" labelOnly="1" outline="0" fieldPosition="0"/>
    </format>
    <format dxfId="86">
      <pivotArea field="2" type="button" dataOnly="0" labelOnly="1" outline="0"/>
    </format>
    <format dxfId="85">
      <pivotArea type="topRight" dataOnly="0" labelOnly="1" outline="0" fieldPosition="0"/>
    </format>
    <format dxfId="84">
      <pivotArea field="22" type="button" dataOnly="0" labelOnly="1" outline="0"/>
    </format>
    <format dxfId="83">
      <pivotArea dataOnly="0" labelOnly="1" grandRow="1" outline="0" fieldPosition="0"/>
    </format>
    <format dxfId="82">
      <pivotArea dataOnly="0" labelOnly="1" grandCol="1" outline="0"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2" type="button" dataOnly="0" labelOnly="1" outline="0"/>
    </format>
    <format dxfId="77">
      <pivotArea type="topRight" dataOnly="0" labelOnly="1" outline="0" fieldPosition="0"/>
    </format>
    <format dxfId="76">
      <pivotArea field="22" type="button" dataOnly="0" labelOnly="1" outline="0"/>
    </format>
    <format dxfId="75">
      <pivotArea dataOnly="0" labelOnly="1" grandRow="1" outline="0" fieldPosition="0"/>
    </format>
    <format dxfId="74">
      <pivotArea dataOnly="0" labelOnly="1" grandCol="1" outline="0" fieldPosition="0"/>
    </format>
    <format dxfId="73">
      <pivotArea collapsedLevelsAreSubtotals="1" fieldPosition="0">
        <references count="1">
          <reference field="9" count="0"/>
        </references>
      </pivotArea>
    </format>
    <format dxfId="72">
      <pivotArea dataOnly="0" labelOnly="1" fieldPosition="0">
        <references count="1">
          <reference field="9" count="0"/>
        </references>
      </pivotArea>
    </format>
  </formats>
  <chartFormats count="6">
    <chartFormat chart="20" format="24" series="1">
      <pivotArea type="data" outline="0" fieldPosition="0">
        <references count="1">
          <reference field="4294967294" count="1" selected="0">
            <x v="0"/>
          </reference>
        </references>
      </pivotArea>
    </chartFormat>
    <chartFormat chart="20" format="25">
      <pivotArea type="data" outline="0" fieldPosition="0">
        <references count="2">
          <reference field="4294967294" count="1" selected="0">
            <x v="0"/>
          </reference>
          <reference field="9" count="1" selected="0">
            <x v="0"/>
          </reference>
        </references>
      </pivotArea>
    </chartFormat>
    <chartFormat chart="20" format="26">
      <pivotArea type="data" outline="0" fieldPosition="0">
        <references count="2">
          <reference field="4294967294" count="1" selected="0">
            <x v="0"/>
          </reference>
          <reference field="9" count="1" selected="0">
            <x v="1"/>
          </reference>
        </references>
      </pivotArea>
    </chartFormat>
    <chartFormat chart="20" format="27">
      <pivotArea type="data" outline="0" fieldPosition="0">
        <references count="2">
          <reference field="4294967294" count="1" selected="0">
            <x v="0"/>
          </reference>
          <reference field="9" count="1" selected="0">
            <x v="2"/>
          </reference>
        </references>
      </pivotArea>
    </chartFormat>
    <chartFormat chart="20" format="28">
      <pivotArea type="data" outline="0" fieldPosition="0">
        <references count="2">
          <reference field="4294967294" count="1" selected="0">
            <x v="0"/>
          </reference>
          <reference field="9" count="1" selected="0">
            <x v="3"/>
          </reference>
        </references>
      </pivotArea>
    </chartFormat>
    <chartFormat chart="20" format="2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F5001D-9635-4155-930E-9C722324DFD8}" autoFormatId="16" applyNumberFormats="0" applyBorderFormats="0" applyFontFormats="0" applyPatternFormats="0" applyAlignmentFormats="0" applyWidthHeightFormats="0">
  <queryTableRefresh nextId="23" unboundColumnsRight="4">
    <queryTableFields count="22">
      <queryTableField id="1" name="Order ID" tableColumnId="1"/>
      <queryTableField id="2" name="Order Dates" tableColumnId="2"/>
      <queryTableField id="18" dataBound="0" tableColumnId="18"/>
      <queryTableField id="19" dataBound="0" tableColumnId="19"/>
      <queryTableField id="3" name="Region" tableColumnId="3"/>
      <queryTableField id="4" name="City" tableColumnId="4"/>
      <queryTableField id="5" name="Salesperson" tableColumnId="5"/>
      <queryTableField id="16" dataBound="0" tableColumnId="16"/>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 tableColumnId="14"/>
      <queryTableField id="15" name="Unit Cost" tableColumnId="15"/>
      <queryTableField id="17" dataBound="0" tableColumnId="17"/>
      <queryTableField id="20" dataBound="0"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456D5EF-1071-4682-800B-30C74F287FFC}" sourceName="Years">
  <pivotTables>
    <pivotTable tabId="3" name="PivotTable2"/>
    <pivotTable tabId="3" name="PivotTable1"/>
    <pivotTable tabId="3" name="PivotTable3"/>
    <pivotTable tabId="3" name="PivotTable4"/>
    <pivotTable tabId="3" name="PivotTable5"/>
  </pivotTables>
  <data>
    <tabular pivotCacheId="158236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49374A7-824E-4B60-AF3E-110A1A93E608}" sourceName="Customer Segment">
  <pivotTables>
    <pivotTable tabId="3" name="PivotTable2"/>
    <pivotTable tabId="3" name="PivotTable1"/>
    <pivotTable tabId="3" name="PivotTable3"/>
    <pivotTable tabId="3" name="PivotTable4"/>
    <pivotTable tabId="3" name="PivotTable5"/>
  </pivotTables>
  <data>
    <tabular pivotCacheId="15823679">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EFB114A-68EF-4826-9906-F0B340FC8751}" sourceName="Channel">
  <pivotTables>
    <pivotTable tabId="3" name="PivotTable2"/>
    <pivotTable tabId="3" name="PivotTable1"/>
    <pivotTable tabId="3" name="PivotTable3"/>
    <pivotTable tabId="3" name="PivotTable4"/>
    <pivotTable tabId="3" name="PivotTable5"/>
  </pivotTables>
  <data>
    <tabular pivotCacheId="158236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0764A9E8-BD95-4CB4-80E6-EDAE2FC8765E}" cache="Slicer_Years" caption="Years" style="SlicerStyleOther2" rowHeight="257175"/>
  <slicer name="Customer Segment 2" xr10:uid="{8C38C821-A7C3-4D48-96DB-188E374524C0}" cache="Slicer_Customer_Segment" caption="Customer Segment" style="SlicerStyleOther2" rowHeight="257175"/>
  <slicer name="Channel 2" xr10:uid="{6B056F3E-450C-41E0-98AD-5DE23683B7B6}" cache="Slicer_Channel" caption="Channel" style="SlicerStyleOther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775FC-3D98-4784-BD12-F9D8268D2DBF}" name="Table1" displayName="Table1" ref="A1:O1515" totalsRowShown="0">
  <autoFilter ref="A1:O1515" xr:uid="{277775FC-3D98-4784-BD12-F9D8268D2DBF}"/>
  <tableColumns count="15">
    <tableColumn id="1" xr3:uid="{B1C294CB-6035-4161-83A5-CE7CC09BBF46}" name="Order ID"/>
    <tableColumn id="2" xr3:uid="{1D855889-E58B-4731-AB88-2A6BD48C5B17}" name="Order Dates"/>
    <tableColumn id="3" xr3:uid="{F37EA34A-E8D2-4964-ABE7-C827ACDE0DEB}" name="Region"/>
    <tableColumn id="4" xr3:uid="{3634801C-4913-4818-B177-43308048BE91}" name="City"/>
    <tableColumn id="5" xr3:uid="{81C42850-0ED7-4CE4-9E70-019D4A518712}" name="Salesperson"/>
    <tableColumn id="6" xr3:uid="{6BDDCE07-628E-4ED8-B2CC-1476F6250411}" name="Customer Segment"/>
    <tableColumn id="7" xr3:uid="{4858ACAD-E55E-4B74-A992-BD12344A3DD7}" name="Category"/>
    <tableColumn id="8" xr3:uid="{D491FC9C-35DC-415C-9AAD-2574838A38CA}" name="Sub-Category"/>
    <tableColumn id="9" xr3:uid="{1B261A4C-0670-4A20-9A72-98264F1E12EE}" name="Product"/>
    <tableColumn id="10" xr3:uid="{6F2E9B75-0F12-4B84-8D21-51031C19D205}" name="Channel"/>
    <tableColumn id="11" xr3:uid="{D6085648-3489-4ABD-BFB2-0F02EDB83751}" name="Order Status"/>
    <tableColumn id="12" xr3:uid="{C968452B-A4C7-4882-8818-514BF03E38EA}" name="Units Sold"/>
    <tableColumn id="13" xr3:uid="{F4B5E48B-FA1E-4D3B-ABAC-4785C71D526C}" name="Unit Price"/>
    <tableColumn id="14" xr3:uid="{A32AA18C-143B-4AD6-8E28-105A36907423}" name="Discount %"/>
    <tableColumn id="15" xr3:uid="{39D1567C-4B93-4AD8-817B-A2FB7C51CED3}" name="Unit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4AA2EE-C3FA-4447-A074-E1415594BE47}" name="Table1_1" displayName="Table1_1" ref="A1:V1515" tableType="queryTable" totalsRowShown="0" dataDxfId="112">
  <autoFilter ref="A1:V1515" xr:uid="{B04AA2EE-C3FA-4447-A074-E1415594BE47}"/>
  <tableColumns count="22">
    <tableColumn id="1" xr3:uid="{1F085376-0C0B-481B-B77A-9CEB8D3B2D20}" uniqueName="1" name="Order ID" queryTableFieldId="1" dataDxfId="111"/>
    <tableColumn id="2" xr3:uid="{3B5F1A9B-4328-4501-BF24-DEEE0572882D}" uniqueName="2" name="Order Dates" queryTableFieldId="2" dataDxfId="110"/>
    <tableColumn id="18" xr3:uid="{7914CBE7-D0DF-4126-9381-1A2D64F837CF}" uniqueName="18" name="Years" queryTableFieldId="18" dataDxfId="109">
      <calculatedColumnFormula>YEAR(Table1_1[[#This Row],[Order Dates]])</calculatedColumnFormula>
    </tableColumn>
    <tableColumn id="19" xr3:uid="{A73A98EF-3C59-4E19-86DC-D133E97CCAA0}" uniqueName="19" name="Month" queryTableFieldId="19" dataDxfId="108">
      <calculatedColumnFormula>MONTH(Table1_1[[#This Row],[Order Dates]])</calculatedColumnFormula>
    </tableColumn>
    <tableColumn id="3" xr3:uid="{06C245C8-94BE-4460-BCDE-44BA98FD05DC}" uniqueName="3" name="Region" queryTableFieldId="3" dataDxfId="107"/>
    <tableColumn id="4" xr3:uid="{32C0AA04-90ED-47D0-8125-EB131BB46E21}" uniqueName="4" name="City" queryTableFieldId="4" dataDxfId="106"/>
    <tableColumn id="5" xr3:uid="{BEE052AE-5AA5-4958-97D2-E370CA2C912F}" uniqueName="5" name="Salesperson" queryTableFieldId="5" dataDxfId="105"/>
    <tableColumn id="16" xr3:uid="{C8516DBC-2EE4-4595-A26A-5E76AEB09D2C}" uniqueName="16" name="Clean Sales Person" queryTableFieldId="16" dataDxfId="104">
      <calculatedColumnFormula>TRIM(CLEAN(SUBSTITUTE(Table1_1[[#This Row],[Salesperson]],"   "," ")))</calculatedColumnFormula>
    </tableColumn>
    <tableColumn id="6" xr3:uid="{00D71395-BA45-4482-8F99-C4A325D75644}" uniqueName="6" name="Customer Segment" queryTableFieldId="6" dataDxfId="103"/>
    <tableColumn id="7" xr3:uid="{73F1049F-4513-4D97-81B9-7131412E8CD5}" uniqueName="7" name="Category" queryTableFieldId="7" dataDxfId="102"/>
    <tableColumn id="8" xr3:uid="{2CEF853E-9A1F-4C36-B958-2260A9F9E936}" uniqueName="8" name="Sub-Category" queryTableFieldId="8" dataDxfId="101"/>
    <tableColumn id="9" xr3:uid="{7EEA5D42-E2AE-47C7-A3AC-CD59A1FFB67A}" uniqueName="9" name="Product" queryTableFieldId="9" dataDxfId="100"/>
    <tableColumn id="10" xr3:uid="{C9E2F909-EF35-4CC8-9713-3B5E808BB20E}" uniqueName="10" name="Channel" queryTableFieldId="10" dataDxfId="99"/>
    <tableColumn id="11" xr3:uid="{14035EEA-A939-4B93-A1CA-B7DDBE0CAA13}" uniqueName="11" name="Order Status" queryTableFieldId="11" dataDxfId="98"/>
    <tableColumn id="12" xr3:uid="{7F893B57-323B-46CC-B296-0EAAE772A2E7}" uniqueName="12" name="Units Sold" queryTableFieldId="12" dataDxfId="97"/>
    <tableColumn id="13" xr3:uid="{6373FFBE-2553-49B9-AAB6-CFC7467B34F4}" uniqueName="13" name="Unit Price" queryTableFieldId="13" dataDxfId="96"/>
    <tableColumn id="14" xr3:uid="{5147D31B-651F-4667-9DF4-D34A1849C8EC}" uniqueName="14" name="Discount %" queryTableFieldId="14" dataDxfId="95"/>
    <tableColumn id="15" xr3:uid="{CF234555-CD64-40CD-97DF-AB40FA4FD92F}" uniqueName="15" name="Unit Cost" queryTableFieldId="15" dataDxfId="94"/>
    <tableColumn id="17" xr3:uid="{94CCC44E-DC44-4D44-8B22-0EEC954A8E7F}" uniqueName="17" name="Calculated sales" queryTableFieldId="17" dataDxfId="93">
      <calculatedColumnFormula>Table1_1[[#This Row],[Units Sold]]*Table1_1[[#This Row],[Unit Price]]*(1-Table1_1[[#This Row],[Discount %]])</calculatedColumnFormula>
    </tableColumn>
    <tableColumn id="20" xr3:uid="{EC858667-5E08-4FA6-A788-DE556D880B1B}" uniqueName="20" name="Total cost" queryTableFieldId="20" dataDxfId="92">
      <calculatedColumnFormula>Table1_1[[#This Row],[Units Sold]]*Table1_1[[#This Row],[Unit Cost]]</calculatedColumnFormula>
    </tableColumn>
    <tableColumn id="21" xr3:uid="{C8D5E0F0-EE7E-47A5-9260-903062E5CD9D}" uniqueName="21" name="Profit/Loss" queryTableFieldId="21" dataDxfId="91">
      <calculatedColumnFormula>Table1_1[[#This Row],[Calculated sales]]-Table1_1[[#This Row],[Total cost]]</calculatedColumnFormula>
    </tableColumn>
    <tableColumn id="22" xr3:uid="{83E25A4F-D918-408C-8F70-1A9F30138DD0}" uniqueName="22" name="Profit Margin" queryTableFieldId="22" dataDxfId="90">
      <calculatedColumnFormula>IFERROR(Table1_1[[#This Row],[Profit/Loss]]/Table1_1[[#This Row],[Calculated sales]],0)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A57-F3F3-4689-A726-E0713EDD5905}">
  <dimension ref="A1:O1515"/>
  <sheetViews>
    <sheetView workbookViewId="0">
      <selection activeCell="E18" sqref="E18"/>
    </sheetView>
  </sheetViews>
  <sheetFormatPr defaultRowHeight="15" x14ac:dyDescent="0.25"/>
  <cols>
    <col min="1" max="1" width="10.7109375" customWidth="1"/>
    <col min="2" max="2" width="14" customWidth="1"/>
    <col min="3" max="3" width="9.42578125" customWidth="1"/>
    <col min="4" max="4" width="15.140625" bestFit="1" customWidth="1"/>
    <col min="5" max="5" width="22.140625" bestFit="1" customWidth="1"/>
    <col min="6" max="6" width="20.5703125" customWidth="1"/>
    <col min="7" max="7" width="16.5703125" bestFit="1" customWidth="1"/>
    <col min="8" max="8" width="18.140625" bestFit="1" customWidth="1"/>
    <col min="9" max="9" width="27.42578125" bestFit="1" customWidth="1"/>
    <col min="10" max="10" width="10.7109375" customWidth="1"/>
    <col min="11" max="11" width="14.42578125" customWidth="1"/>
    <col min="12" max="12" width="12.28515625" customWidth="1"/>
    <col min="13" max="13" width="11.85546875" customWidth="1"/>
    <col min="14" max="14" width="13.28515625" customWidth="1"/>
    <col min="15" max="15" width="11.5703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v>45292</v>
      </c>
      <c r="C2" t="s">
        <v>16</v>
      </c>
      <c r="D2" t="s">
        <v>17</v>
      </c>
      <c r="E2" t="s">
        <v>18</v>
      </c>
      <c r="F2" t="s">
        <v>19</v>
      </c>
      <c r="G2" t="s">
        <v>20</v>
      </c>
      <c r="H2" t="s">
        <v>21</v>
      </c>
      <c r="I2" t="s">
        <v>22</v>
      </c>
      <c r="J2" t="s">
        <v>23</v>
      </c>
      <c r="K2" t="s">
        <v>24</v>
      </c>
      <c r="L2">
        <v>13</v>
      </c>
      <c r="M2">
        <v>1930</v>
      </c>
      <c r="N2">
        <v>0.1</v>
      </c>
      <c r="O2">
        <v>1120</v>
      </c>
    </row>
    <row r="3" spans="1:15" x14ac:dyDescent="0.25">
      <c r="A3" t="s">
        <v>25</v>
      </c>
      <c r="B3">
        <v>45292</v>
      </c>
      <c r="C3" t="s">
        <v>16</v>
      </c>
      <c r="D3" t="s">
        <v>17</v>
      </c>
      <c r="E3" t="s">
        <v>26</v>
      </c>
      <c r="F3" t="s">
        <v>19</v>
      </c>
      <c r="G3" t="s">
        <v>27</v>
      </c>
      <c r="H3" t="s">
        <v>28</v>
      </c>
      <c r="I3" t="s">
        <v>29</v>
      </c>
      <c r="J3" t="s">
        <v>23</v>
      </c>
      <c r="K3" t="s">
        <v>24</v>
      </c>
      <c r="L3">
        <v>7</v>
      </c>
      <c r="M3">
        <v>29010</v>
      </c>
      <c r="N3">
        <v>0.12</v>
      </c>
      <c r="O3">
        <v>19150</v>
      </c>
    </row>
    <row r="4" spans="1:15" x14ac:dyDescent="0.25">
      <c r="A4" t="s">
        <v>30</v>
      </c>
      <c r="B4">
        <v>45292</v>
      </c>
      <c r="C4" t="s">
        <v>16</v>
      </c>
      <c r="D4" t="s">
        <v>31</v>
      </c>
      <c r="E4" t="s">
        <v>32</v>
      </c>
      <c r="F4" t="s">
        <v>19</v>
      </c>
      <c r="G4" t="s">
        <v>20</v>
      </c>
      <c r="H4" t="s">
        <v>33</v>
      </c>
      <c r="I4" t="s">
        <v>34</v>
      </c>
      <c r="J4" t="s">
        <v>23</v>
      </c>
      <c r="K4" t="s">
        <v>35</v>
      </c>
      <c r="L4">
        <v>3</v>
      </c>
      <c r="M4">
        <v>55230</v>
      </c>
      <c r="N4">
        <v>0.1</v>
      </c>
      <c r="O4">
        <v>33180</v>
      </c>
    </row>
    <row r="5" spans="1:15" x14ac:dyDescent="0.25">
      <c r="A5" t="s">
        <v>36</v>
      </c>
      <c r="B5">
        <v>45292</v>
      </c>
      <c r="C5" t="s">
        <v>37</v>
      </c>
      <c r="D5" t="s">
        <v>38</v>
      </c>
      <c r="E5" t="s">
        <v>39</v>
      </c>
      <c r="F5" t="s">
        <v>19</v>
      </c>
      <c r="G5" t="s">
        <v>20</v>
      </c>
      <c r="H5" t="s">
        <v>21</v>
      </c>
      <c r="I5" t="s">
        <v>22</v>
      </c>
      <c r="J5" t="s">
        <v>40</v>
      </c>
      <c r="K5" t="s">
        <v>24</v>
      </c>
      <c r="L5">
        <v>21</v>
      </c>
      <c r="M5">
        <v>1810</v>
      </c>
      <c r="N5">
        <v>0.05</v>
      </c>
      <c r="O5">
        <v>1230</v>
      </c>
    </row>
    <row r="6" spans="1:15" x14ac:dyDescent="0.25">
      <c r="A6" t="s">
        <v>41</v>
      </c>
      <c r="B6">
        <v>45293</v>
      </c>
      <c r="C6" t="s">
        <v>42</v>
      </c>
      <c r="D6" t="s">
        <v>43</v>
      </c>
      <c r="E6" t="s">
        <v>44</v>
      </c>
      <c r="F6" t="s">
        <v>45</v>
      </c>
      <c r="G6" t="s">
        <v>46</v>
      </c>
      <c r="H6" t="s">
        <v>47</v>
      </c>
      <c r="I6" t="s">
        <v>48</v>
      </c>
      <c r="J6" t="s">
        <v>49</v>
      </c>
      <c r="K6" t="s">
        <v>24</v>
      </c>
      <c r="L6">
        <v>10</v>
      </c>
      <c r="M6">
        <v>1840</v>
      </c>
      <c r="N6">
        <v>0.12</v>
      </c>
      <c r="O6">
        <v>1030</v>
      </c>
    </row>
    <row r="7" spans="1:15" x14ac:dyDescent="0.25">
      <c r="A7" t="s">
        <v>50</v>
      </c>
      <c r="B7">
        <v>45294</v>
      </c>
      <c r="C7" t="s">
        <v>16</v>
      </c>
      <c r="D7" t="s">
        <v>51</v>
      </c>
      <c r="E7" t="s">
        <v>32</v>
      </c>
      <c r="F7" t="s">
        <v>52</v>
      </c>
      <c r="G7" t="s">
        <v>27</v>
      </c>
      <c r="H7" t="s">
        <v>53</v>
      </c>
      <c r="I7" t="s">
        <v>54</v>
      </c>
      <c r="J7" t="s">
        <v>40</v>
      </c>
      <c r="K7" t="s">
        <v>24</v>
      </c>
      <c r="L7">
        <v>2</v>
      </c>
      <c r="M7">
        <v>44080</v>
      </c>
      <c r="N7">
        <v>0.08</v>
      </c>
      <c r="O7">
        <v>31330</v>
      </c>
    </row>
    <row r="8" spans="1:15" x14ac:dyDescent="0.25">
      <c r="A8" t="s">
        <v>55</v>
      </c>
      <c r="B8">
        <v>45294</v>
      </c>
      <c r="C8" t="s">
        <v>56</v>
      </c>
      <c r="D8" t="s">
        <v>57</v>
      </c>
      <c r="E8" t="s">
        <v>58</v>
      </c>
      <c r="F8" t="s">
        <v>19</v>
      </c>
      <c r="G8" t="s">
        <v>59</v>
      </c>
      <c r="H8" t="s">
        <v>60</v>
      </c>
      <c r="I8" t="s">
        <v>61</v>
      </c>
      <c r="J8" t="s">
        <v>40</v>
      </c>
      <c r="K8" t="s">
        <v>24</v>
      </c>
      <c r="L8">
        <v>6</v>
      </c>
      <c r="M8">
        <v>25110</v>
      </c>
      <c r="N8">
        <v>0.1</v>
      </c>
      <c r="O8">
        <v>16730</v>
      </c>
    </row>
    <row r="9" spans="1:15" x14ac:dyDescent="0.25">
      <c r="A9" t="s">
        <v>62</v>
      </c>
      <c r="B9">
        <v>45294</v>
      </c>
      <c r="C9" t="s">
        <v>42</v>
      </c>
      <c r="D9" t="s">
        <v>43</v>
      </c>
      <c r="E9" t="s">
        <v>44</v>
      </c>
      <c r="F9" t="s">
        <v>19</v>
      </c>
      <c r="G9" t="s">
        <v>46</v>
      </c>
      <c r="H9" t="s">
        <v>47</v>
      </c>
      <c r="I9" t="s">
        <v>48</v>
      </c>
      <c r="J9" t="s">
        <v>40</v>
      </c>
      <c r="K9" t="s">
        <v>24</v>
      </c>
      <c r="L9">
        <v>39</v>
      </c>
      <c r="M9">
        <v>1840</v>
      </c>
      <c r="N9">
        <v>0.12</v>
      </c>
      <c r="O9">
        <v>1370</v>
      </c>
    </row>
    <row r="10" spans="1:15" x14ac:dyDescent="0.25">
      <c r="A10" t="s">
        <v>63</v>
      </c>
      <c r="B10">
        <v>45297</v>
      </c>
      <c r="C10" t="s">
        <v>42</v>
      </c>
      <c r="D10" t="s">
        <v>43</v>
      </c>
      <c r="E10" t="s">
        <v>64</v>
      </c>
      <c r="F10" t="s">
        <v>45</v>
      </c>
      <c r="G10" t="s">
        <v>20</v>
      </c>
      <c r="H10" t="s">
        <v>21</v>
      </c>
      <c r="I10" t="s">
        <v>65</v>
      </c>
      <c r="J10" t="s">
        <v>23</v>
      </c>
      <c r="K10" t="s">
        <v>24</v>
      </c>
      <c r="L10">
        <v>4</v>
      </c>
      <c r="M10">
        <v>9170</v>
      </c>
      <c r="N10">
        <v>0.08</v>
      </c>
      <c r="O10">
        <v>7100</v>
      </c>
    </row>
    <row r="11" spans="1:15" x14ac:dyDescent="0.25">
      <c r="A11" t="s">
        <v>66</v>
      </c>
      <c r="B11">
        <v>45298</v>
      </c>
      <c r="C11" t="s">
        <v>37</v>
      </c>
      <c r="D11" t="s">
        <v>67</v>
      </c>
      <c r="E11" t="s">
        <v>68</v>
      </c>
      <c r="F11" t="s">
        <v>19</v>
      </c>
      <c r="G11" t="s">
        <v>59</v>
      </c>
      <c r="H11" t="s">
        <v>69</v>
      </c>
      <c r="I11" t="s">
        <v>70</v>
      </c>
      <c r="J11" t="s">
        <v>23</v>
      </c>
      <c r="K11" t="s">
        <v>24</v>
      </c>
      <c r="L11">
        <v>8</v>
      </c>
      <c r="M11">
        <v>28800</v>
      </c>
      <c r="N11">
        <v>0</v>
      </c>
      <c r="O11">
        <v>20520</v>
      </c>
    </row>
    <row r="12" spans="1:15" x14ac:dyDescent="0.25">
      <c r="A12" t="s">
        <v>71</v>
      </c>
      <c r="B12">
        <v>45300</v>
      </c>
      <c r="C12" t="s">
        <v>56</v>
      </c>
      <c r="D12" t="s">
        <v>72</v>
      </c>
      <c r="E12" t="s">
        <v>58</v>
      </c>
      <c r="F12" t="s">
        <v>19</v>
      </c>
      <c r="G12" t="s">
        <v>59</v>
      </c>
      <c r="H12" t="s">
        <v>73</v>
      </c>
      <c r="I12" t="s">
        <v>74</v>
      </c>
      <c r="J12" t="s">
        <v>23</v>
      </c>
      <c r="K12" t="s">
        <v>24</v>
      </c>
      <c r="L12">
        <v>2</v>
      </c>
      <c r="M12">
        <v>43500</v>
      </c>
      <c r="N12">
        <v>0.05</v>
      </c>
      <c r="O12">
        <v>29520</v>
      </c>
    </row>
    <row r="13" spans="1:15" x14ac:dyDescent="0.25">
      <c r="A13" t="s">
        <v>75</v>
      </c>
      <c r="B13">
        <v>45301</v>
      </c>
      <c r="C13" t="s">
        <v>76</v>
      </c>
      <c r="D13" t="s">
        <v>77</v>
      </c>
      <c r="E13" t="s">
        <v>78</v>
      </c>
      <c r="F13" t="s">
        <v>52</v>
      </c>
      <c r="G13" t="s">
        <v>27</v>
      </c>
      <c r="H13" t="s">
        <v>79</v>
      </c>
      <c r="I13" t="s">
        <v>80</v>
      </c>
      <c r="J13" t="s">
        <v>23</v>
      </c>
      <c r="K13" t="s">
        <v>24</v>
      </c>
      <c r="L13">
        <v>7</v>
      </c>
      <c r="M13">
        <v>4680</v>
      </c>
      <c r="N13">
        <v>0.1</v>
      </c>
      <c r="O13">
        <v>3250</v>
      </c>
    </row>
    <row r="14" spans="1:15" x14ac:dyDescent="0.25">
      <c r="A14" t="s">
        <v>81</v>
      </c>
      <c r="B14">
        <v>45301</v>
      </c>
      <c r="C14" t="s">
        <v>16</v>
      </c>
      <c r="D14" t="s">
        <v>82</v>
      </c>
      <c r="E14" t="s">
        <v>18</v>
      </c>
      <c r="F14" t="s">
        <v>19</v>
      </c>
      <c r="G14" t="s">
        <v>83</v>
      </c>
      <c r="H14" t="s">
        <v>84</v>
      </c>
      <c r="I14" t="s">
        <v>85</v>
      </c>
      <c r="J14" t="s">
        <v>23</v>
      </c>
      <c r="K14" t="s">
        <v>24</v>
      </c>
      <c r="L14">
        <v>32</v>
      </c>
      <c r="M14">
        <v>2390</v>
      </c>
      <c r="N14">
        <v>0.15</v>
      </c>
      <c r="O14">
        <v>1600</v>
      </c>
    </row>
    <row r="15" spans="1:15" x14ac:dyDescent="0.25">
      <c r="A15" t="s">
        <v>86</v>
      </c>
      <c r="B15">
        <v>45303</v>
      </c>
      <c r="C15" t="s">
        <v>16</v>
      </c>
      <c r="D15" t="s">
        <v>51</v>
      </c>
      <c r="E15" t="s">
        <v>26</v>
      </c>
      <c r="F15" t="s">
        <v>19</v>
      </c>
      <c r="G15" t="s">
        <v>20</v>
      </c>
      <c r="H15" t="s">
        <v>87</v>
      </c>
      <c r="I15" t="s">
        <v>88</v>
      </c>
      <c r="J15" t="s">
        <v>40</v>
      </c>
      <c r="K15" t="s">
        <v>24</v>
      </c>
      <c r="L15">
        <v>1</v>
      </c>
      <c r="M15">
        <v>33550</v>
      </c>
      <c r="N15">
        <v>0.12</v>
      </c>
      <c r="O15">
        <v>20980</v>
      </c>
    </row>
    <row r="16" spans="1:15" x14ac:dyDescent="0.25">
      <c r="A16" t="s">
        <v>89</v>
      </c>
      <c r="B16">
        <v>45303</v>
      </c>
      <c r="C16" t="s">
        <v>16</v>
      </c>
      <c r="D16" t="s">
        <v>51</v>
      </c>
      <c r="E16" t="s">
        <v>32</v>
      </c>
      <c r="F16" t="s">
        <v>45</v>
      </c>
      <c r="G16" t="s">
        <v>27</v>
      </c>
      <c r="H16" t="s">
        <v>28</v>
      </c>
      <c r="I16" t="s">
        <v>29</v>
      </c>
      <c r="J16" t="s">
        <v>40</v>
      </c>
      <c r="K16" t="s">
        <v>24</v>
      </c>
      <c r="L16">
        <v>11</v>
      </c>
      <c r="M16">
        <v>27950</v>
      </c>
      <c r="N16">
        <v>0.05</v>
      </c>
      <c r="O16">
        <v>21870</v>
      </c>
    </row>
    <row r="17" spans="1:15" x14ac:dyDescent="0.25">
      <c r="A17" t="s">
        <v>90</v>
      </c>
      <c r="B17">
        <v>45304</v>
      </c>
      <c r="C17" t="s">
        <v>56</v>
      </c>
      <c r="D17" t="s">
        <v>72</v>
      </c>
      <c r="E17" t="s">
        <v>91</v>
      </c>
      <c r="F17" t="s">
        <v>92</v>
      </c>
      <c r="G17" t="s">
        <v>46</v>
      </c>
      <c r="H17" t="s">
        <v>47</v>
      </c>
      <c r="I17" t="s">
        <v>93</v>
      </c>
      <c r="J17" t="s">
        <v>49</v>
      </c>
      <c r="K17" t="s">
        <v>94</v>
      </c>
      <c r="L17">
        <v>73</v>
      </c>
      <c r="M17">
        <v>1250</v>
      </c>
      <c r="N17">
        <v>0.2</v>
      </c>
      <c r="O17">
        <v>960</v>
      </c>
    </row>
    <row r="18" spans="1:15" x14ac:dyDescent="0.25">
      <c r="A18" t="s">
        <v>95</v>
      </c>
      <c r="B18">
        <v>45304</v>
      </c>
      <c r="C18" t="s">
        <v>42</v>
      </c>
      <c r="D18" t="s">
        <v>96</v>
      </c>
      <c r="E18" t="s">
        <v>97</v>
      </c>
      <c r="F18" t="s">
        <v>19</v>
      </c>
      <c r="G18" t="s">
        <v>27</v>
      </c>
      <c r="H18" t="s">
        <v>28</v>
      </c>
      <c r="I18" t="s">
        <v>29</v>
      </c>
      <c r="J18" t="s">
        <v>40</v>
      </c>
      <c r="K18" t="s">
        <v>24</v>
      </c>
      <c r="L18">
        <v>5</v>
      </c>
      <c r="M18">
        <v>28660</v>
      </c>
      <c r="N18">
        <v>0.18</v>
      </c>
      <c r="O18">
        <v>19420</v>
      </c>
    </row>
    <row r="19" spans="1:15" x14ac:dyDescent="0.25">
      <c r="A19" t="s">
        <v>98</v>
      </c>
      <c r="B19">
        <v>45304</v>
      </c>
      <c r="C19" t="s">
        <v>76</v>
      </c>
      <c r="D19" t="s">
        <v>99</v>
      </c>
      <c r="E19" t="s">
        <v>78</v>
      </c>
      <c r="F19" t="s">
        <v>19</v>
      </c>
      <c r="G19" t="s">
        <v>46</v>
      </c>
      <c r="H19" t="s">
        <v>100</v>
      </c>
      <c r="I19" t="s">
        <v>101</v>
      </c>
      <c r="J19" t="s">
        <v>40</v>
      </c>
      <c r="K19" t="s">
        <v>24</v>
      </c>
      <c r="L19">
        <v>5</v>
      </c>
      <c r="M19">
        <v>1850</v>
      </c>
      <c r="N19">
        <v>0.18</v>
      </c>
      <c r="O19">
        <v>1390</v>
      </c>
    </row>
    <row r="20" spans="1:15" x14ac:dyDescent="0.25">
      <c r="A20" t="s">
        <v>102</v>
      </c>
      <c r="B20">
        <v>45304</v>
      </c>
      <c r="C20" t="s">
        <v>56</v>
      </c>
      <c r="D20" t="s">
        <v>103</v>
      </c>
      <c r="E20" t="s">
        <v>91</v>
      </c>
      <c r="F20" t="s">
        <v>19</v>
      </c>
      <c r="G20" t="s">
        <v>46</v>
      </c>
      <c r="H20" t="s">
        <v>47</v>
      </c>
      <c r="I20" t="s">
        <v>48</v>
      </c>
      <c r="J20" t="s">
        <v>23</v>
      </c>
      <c r="K20" t="s">
        <v>94</v>
      </c>
      <c r="L20">
        <v>22</v>
      </c>
      <c r="M20">
        <v>1850</v>
      </c>
      <c r="N20">
        <v>0.05</v>
      </c>
      <c r="O20">
        <v>1080</v>
      </c>
    </row>
    <row r="21" spans="1:15" x14ac:dyDescent="0.25">
      <c r="A21" t="s">
        <v>104</v>
      </c>
      <c r="B21">
        <v>45306</v>
      </c>
      <c r="C21" t="s">
        <v>76</v>
      </c>
      <c r="D21" t="s">
        <v>77</v>
      </c>
      <c r="E21" t="s">
        <v>78</v>
      </c>
      <c r="F21" t="s">
        <v>19</v>
      </c>
      <c r="G21" t="s">
        <v>20</v>
      </c>
      <c r="H21" t="s">
        <v>87</v>
      </c>
      <c r="I21" t="s">
        <v>105</v>
      </c>
      <c r="J21" t="s">
        <v>23</v>
      </c>
      <c r="K21" t="s">
        <v>24</v>
      </c>
      <c r="L21">
        <v>3</v>
      </c>
      <c r="M21">
        <v>50210</v>
      </c>
      <c r="N21">
        <v>0.2</v>
      </c>
      <c r="O21">
        <v>38930</v>
      </c>
    </row>
    <row r="22" spans="1:15" x14ac:dyDescent="0.25">
      <c r="A22" t="s">
        <v>106</v>
      </c>
      <c r="B22">
        <v>45306</v>
      </c>
      <c r="C22" t="s">
        <v>16</v>
      </c>
      <c r="D22" t="s">
        <v>17</v>
      </c>
      <c r="E22" t="s">
        <v>18</v>
      </c>
      <c r="F22" t="s">
        <v>19</v>
      </c>
      <c r="G22" t="s">
        <v>20</v>
      </c>
      <c r="H22" t="s">
        <v>33</v>
      </c>
      <c r="I22" t="s">
        <v>34</v>
      </c>
      <c r="J22" t="s">
        <v>23</v>
      </c>
      <c r="K22" t="s">
        <v>24</v>
      </c>
      <c r="L22">
        <v>4</v>
      </c>
      <c r="M22">
        <v>56010</v>
      </c>
      <c r="N22">
        <v>0.05</v>
      </c>
      <c r="O22">
        <v>43350</v>
      </c>
    </row>
    <row r="23" spans="1:15" x14ac:dyDescent="0.25">
      <c r="A23" t="s">
        <v>107</v>
      </c>
      <c r="B23">
        <v>45307</v>
      </c>
      <c r="C23" t="s">
        <v>76</v>
      </c>
      <c r="D23" t="s">
        <v>99</v>
      </c>
      <c r="E23" t="s">
        <v>78</v>
      </c>
      <c r="F23" t="s">
        <v>19</v>
      </c>
      <c r="G23" t="s">
        <v>59</v>
      </c>
      <c r="H23" t="s">
        <v>73</v>
      </c>
      <c r="I23" t="s">
        <v>74</v>
      </c>
      <c r="J23" t="s">
        <v>49</v>
      </c>
      <c r="K23" t="s">
        <v>24</v>
      </c>
      <c r="L23">
        <v>1</v>
      </c>
      <c r="M23">
        <v>47150</v>
      </c>
      <c r="N23">
        <v>0.05</v>
      </c>
      <c r="O23">
        <v>28860</v>
      </c>
    </row>
    <row r="24" spans="1:15" x14ac:dyDescent="0.25">
      <c r="A24" t="s">
        <v>108</v>
      </c>
      <c r="B24">
        <v>45307</v>
      </c>
      <c r="C24" t="s">
        <v>56</v>
      </c>
      <c r="D24" t="s">
        <v>57</v>
      </c>
      <c r="E24" t="s">
        <v>91</v>
      </c>
      <c r="F24" t="s">
        <v>52</v>
      </c>
      <c r="G24" t="s">
        <v>20</v>
      </c>
      <c r="H24" t="s">
        <v>109</v>
      </c>
      <c r="I24" t="s">
        <v>110</v>
      </c>
      <c r="J24" t="s">
        <v>40</v>
      </c>
      <c r="K24" t="s">
        <v>24</v>
      </c>
      <c r="L24">
        <v>1</v>
      </c>
      <c r="M24">
        <v>65720</v>
      </c>
      <c r="N24">
        <v>0</v>
      </c>
      <c r="O24">
        <v>44870</v>
      </c>
    </row>
    <row r="25" spans="1:15" x14ac:dyDescent="0.25">
      <c r="A25" t="s">
        <v>111</v>
      </c>
      <c r="B25">
        <v>45307</v>
      </c>
      <c r="C25" t="s">
        <v>76</v>
      </c>
      <c r="D25" t="s">
        <v>112</v>
      </c>
      <c r="E25" t="s">
        <v>78</v>
      </c>
      <c r="F25" t="s">
        <v>52</v>
      </c>
      <c r="G25" t="s">
        <v>59</v>
      </c>
      <c r="H25" t="s">
        <v>73</v>
      </c>
      <c r="I25" t="s">
        <v>113</v>
      </c>
      <c r="J25" t="s">
        <v>23</v>
      </c>
      <c r="K25" t="s">
        <v>24</v>
      </c>
      <c r="L25">
        <v>4</v>
      </c>
      <c r="M25">
        <v>34510</v>
      </c>
      <c r="N25">
        <v>0.05</v>
      </c>
      <c r="O25">
        <v>23410</v>
      </c>
    </row>
    <row r="26" spans="1:15" x14ac:dyDescent="0.25">
      <c r="A26" t="s">
        <v>114</v>
      </c>
      <c r="B26">
        <v>45308</v>
      </c>
      <c r="C26" t="s">
        <v>37</v>
      </c>
      <c r="D26" t="s">
        <v>115</v>
      </c>
      <c r="E26" t="s">
        <v>39</v>
      </c>
      <c r="F26" t="s">
        <v>19</v>
      </c>
      <c r="G26" t="s">
        <v>59</v>
      </c>
      <c r="H26" t="s">
        <v>73</v>
      </c>
      <c r="I26" t="s">
        <v>74</v>
      </c>
      <c r="J26" t="s">
        <v>49</v>
      </c>
      <c r="K26" t="s">
        <v>24</v>
      </c>
      <c r="L26">
        <v>1</v>
      </c>
      <c r="M26">
        <v>46610</v>
      </c>
      <c r="N26">
        <v>0.15</v>
      </c>
      <c r="O26">
        <v>27550</v>
      </c>
    </row>
    <row r="27" spans="1:15" x14ac:dyDescent="0.25">
      <c r="A27" t="s">
        <v>116</v>
      </c>
      <c r="B27">
        <v>45308</v>
      </c>
      <c r="C27" t="s">
        <v>42</v>
      </c>
      <c r="D27" t="s">
        <v>43</v>
      </c>
      <c r="E27" t="s">
        <v>97</v>
      </c>
      <c r="F27" t="s">
        <v>19</v>
      </c>
      <c r="G27" t="s">
        <v>59</v>
      </c>
      <c r="H27" t="s">
        <v>60</v>
      </c>
      <c r="I27" t="s">
        <v>61</v>
      </c>
      <c r="J27" t="s">
        <v>40</v>
      </c>
      <c r="K27" t="s">
        <v>24</v>
      </c>
      <c r="L27">
        <v>7</v>
      </c>
      <c r="M27">
        <v>25110</v>
      </c>
      <c r="N27">
        <v>0.15</v>
      </c>
      <c r="O27">
        <v>14930</v>
      </c>
    </row>
    <row r="28" spans="1:15" x14ac:dyDescent="0.25">
      <c r="A28" t="s">
        <v>117</v>
      </c>
      <c r="B28">
        <v>45308</v>
      </c>
      <c r="C28" t="s">
        <v>56</v>
      </c>
      <c r="D28" t="s">
        <v>103</v>
      </c>
      <c r="E28" t="s">
        <v>58</v>
      </c>
      <c r="F28" t="s">
        <v>19</v>
      </c>
      <c r="G28" t="s">
        <v>27</v>
      </c>
      <c r="H28" t="s">
        <v>53</v>
      </c>
      <c r="I28" t="s">
        <v>54</v>
      </c>
      <c r="J28" t="s">
        <v>23</v>
      </c>
      <c r="K28" t="s">
        <v>24</v>
      </c>
      <c r="L28">
        <v>4</v>
      </c>
      <c r="M28">
        <v>43380</v>
      </c>
      <c r="N28">
        <v>0.25</v>
      </c>
      <c r="O28">
        <v>29810</v>
      </c>
    </row>
    <row r="29" spans="1:15" x14ac:dyDescent="0.25">
      <c r="A29" t="s">
        <v>118</v>
      </c>
      <c r="B29">
        <v>45309</v>
      </c>
      <c r="C29" t="s">
        <v>56</v>
      </c>
      <c r="D29" t="s">
        <v>103</v>
      </c>
      <c r="E29" t="s">
        <v>91</v>
      </c>
      <c r="F29" t="s">
        <v>19</v>
      </c>
      <c r="G29" t="s">
        <v>20</v>
      </c>
      <c r="H29" t="s">
        <v>87</v>
      </c>
      <c r="I29" t="s">
        <v>105</v>
      </c>
      <c r="J29" t="s">
        <v>23</v>
      </c>
      <c r="K29" t="s">
        <v>119</v>
      </c>
      <c r="L29">
        <v>4</v>
      </c>
      <c r="M29">
        <v>54530</v>
      </c>
      <c r="N29">
        <v>0.08</v>
      </c>
      <c r="O29">
        <v>31080</v>
      </c>
    </row>
    <row r="30" spans="1:15" x14ac:dyDescent="0.25">
      <c r="A30" t="s">
        <v>120</v>
      </c>
      <c r="B30">
        <v>45310</v>
      </c>
      <c r="C30" t="s">
        <v>42</v>
      </c>
      <c r="D30" t="s">
        <v>43</v>
      </c>
      <c r="E30" t="s">
        <v>44</v>
      </c>
      <c r="F30" t="s">
        <v>52</v>
      </c>
      <c r="G30" t="s">
        <v>59</v>
      </c>
      <c r="H30" t="s">
        <v>69</v>
      </c>
      <c r="I30" t="s">
        <v>121</v>
      </c>
      <c r="J30" t="s">
        <v>40</v>
      </c>
      <c r="K30" t="s">
        <v>35</v>
      </c>
      <c r="L30">
        <v>9</v>
      </c>
      <c r="M30">
        <v>3550</v>
      </c>
      <c r="N30">
        <v>0.05</v>
      </c>
      <c r="O30">
        <v>2760</v>
      </c>
    </row>
    <row r="31" spans="1:15" x14ac:dyDescent="0.25">
      <c r="A31" t="s">
        <v>122</v>
      </c>
      <c r="B31">
        <v>45311</v>
      </c>
      <c r="C31" t="s">
        <v>42</v>
      </c>
      <c r="D31" t="s">
        <v>123</v>
      </c>
      <c r="E31" t="s">
        <v>44</v>
      </c>
      <c r="F31" t="s">
        <v>19</v>
      </c>
      <c r="G31" t="s">
        <v>46</v>
      </c>
      <c r="H31" t="s">
        <v>47</v>
      </c>
      <c r="I31" t="s">
        <v>48</v>
      </c>
      <c r="J31" t="s">
        <v>23</v>
      </c>
      <c r="K31" t="s">
        <v>24</v>
      </c>
      <c r="L31">
        <v>20</v>
      </c>
      <c r="M31">
        <v>1840</v>
      </c>
      <c r="N31">
        <v>0.1</v>
      </c>
      <c r="O31">
        <v>1320</v>
      </c>
    </row>
    <row r="32" spans="1:15" x14ac:dyDescent="0.25">
      <c r="A32" t="s">
        <v>124</v>
      </c>
      <c r="B32">
        <v>45314</v>
      </c>
      <c r="C32" t="s">
        <v>76</v>
      </c>
      <c r="D32" t="s">
        <v>125</v>
      </c>
      <c r="E32" t="s">
        <v>78</v>
      </c>
      <c r="F32" t="s">
        <v>92</v>
      </c>
      <c r="G32" t="s">
        <v>20</v>
      </c>
      <c r="H32" t="s">
        <v>21</v>
      </c>
      <c r="I32" t="s">
        <v>65</v>
      </c>
      <c r="J32" t="s">
        <v>23</v>
      </c>
      <c r="K32" t="s">
        <v>24</v>
      </c>
      <c r="L32">
        <v>22</v>
      </c>
      <c r="M32">
        <v>8470</v>
      </c>
      <c r="N32">
        <v>0.2</v>
      </c>
      <c r="O32">
        <v>6470</v>
      </c>
    </row>
    <row r="33" spans="1:15" x14ac:dyDescent="0.25">
      <c r="A33" t="s">
        <v>126</v>
      </c>
      <c r="B33">
        <v>45314</v>
      </c>
      <c r="C33" t="s">
        <v>56</v>
      </c>
      <c r="D33" t="s">
        <v>127</v>
      </c>
      <c r="E33" t="s">
        <v>91</v>
      </c>
      <c r="F33" t="s">
        <v>52</v>
      </c>
      <c r="G33" t="s">
        <v>46</v>
      </c>
      <c r="H33" t="s">
        <v>47</v>
      </c>
      <c r="I33" t="s">
        <v>48</v>
      </c>
      <c r="J33" t="s">
        <v>23</v>
      </c>
      <c r="K33" t="s">
        <v>35</v>
      </c>
      <c r="L33">
        <v>15</v>
      </c>
      <c r="M33">
        <v>1730</v>
      </c>
      <c r="N33">
        <v>0.12</v>
      </c>
      <c r="O33">
        <v>1130</v>
      </c>
    </row>
    <row r="34" spans="1:15" x14ac:dyDescent="0.25">
      <c r="A34" t="s">
        <v>128</v>
      </c>
      <c r="B34">
        <v>45315</v>
      </c>
      <c r="C34" t="s">
        <v>42</v>
      </c>
      <c r="D34" t="s">
        <v>43</v>
      </c>
      <c r="E34" t="s">
        <v>64</v>
      </c>
      <c r="F34" t="s">
        <v>19</v>
      </c>
      <c r="G34" t="s">
        <v>46</v>
      </c>
      <c r="H34" t="s">
        <v>47</v>
      </c>
      <c r="I34" t="s">
        <v>93</v>
      </c>
      <c r="J34" t="s">
        <v>23</v>
      </c>
      <c r="K34" t="s">
        <v>35</v>
      </c>
      <c r="L34">
        <v>27</v>
      </c>
      <c r="M34">
        <v>1260</v>
      </c>
      <c r="N34">
        <v>0.18</v>
      </c>
      <c r="O34">
        <v>770</v>
      </c>
    </row>
    <row r="35" spans="1:15" x14ac:dyDescent="0.25">
      <c r="A35" t="s">
        <v>129</v>
      </c>
      <c r="B35">
        <v>45315</v>
      </c>
      <c r="C35" t="s">
        <v>42</v>
      </c>
      <c r="D35" t="s">
        <v>130</v>
      </c>
      <c r="E35" t="s">
        <v>97</v>
      </c>
      <c r="F35" t="s">
        <v>19</v>
      </c>
      <c r="G35" t="s">
        <v>27</v>
      </c>
      <c r="H35" t="s">
        <v>53</v>
      </c>
      <c r="I35" t="s">
        <v>131</v>
      </c>
      <c r="J35" t="s">
        <v>23</v>
      </c>
      <c r="K35" t="s">
        <v>24</v>
      </c>
      <c r="L35">
        <v>2</v>
      </c>
      <c r="M35">
        <v>36120</v>
      </c>
      <c r="N35">
        <v>0.18</v>
      </c>
      <c r="O35">
        <v>27540</v>
      </c>
    </row>
    <row r="36" spans="1:15" x14ac:dyDescent="0.25">
      <c r="A36" t="s">
        <v>132</v>
      </c>
      <c r="B36">
        <v>45315</v>
      </c>
      <c r="C36" t="s">
        <v>56</v>
      </c>
      <c r="D36" t="s">
        <v>133</v>
      </c>
      <c r="E36" t="s">
        <v>134</v>
      </c>
      <c r="F36" t="s">
        <v>92</v>
      </c>
      <c r="G36" t="s">
        <v>46</v>
      </c>
      <c r="H36" t="s">
        <v>47</v>
      </c>
      <c r="I36" t="s">
        <v>93</v>
      </c>
      <c r="J36" t="s">
        <v>23</v>
      </c>
      <c r="K36" t="s">
        <v>35</v>
      </c>
      <c r="L36">
        <v>14</v>
      </c>
      <c r="M36">
        <v>1220</v>
      </c>
      <c r="N36">
        <v>0.05</v>
      </c>
      <c r="O36">
        <v>930</v>
      </c>
    </row>
    <row r="37" spans="1:15" x14ac:dyDescent="0.25">
      <c r="A37" t="s">
        <v>135</v>
      </c>
      <c r="B37">
        <v>45315</v>
      </c>
      <c r="C37" t="s">
        <v>16</v>
      </c>
      <c r="D37" t="s">
        <v>17</v>
      </c>
      <c r="E37" t="s">
        <v>26</v>
      </c>
      <c r="F37" t="s">
        <v>19</v>
      </c>
      <c r="G37" t="s">
        <v>83</v>
      </c>
      <c r="H37" t="s">
        <v>136</v>
      </c>
      <c r="I37" t="s">
        <v>137</v>
      </c>
      <c r="J37" t="s">
        <v>49</v>
      </c>
      <c r="K37" t="s">
        <v>24</v>
      </c>
      <c r="L37">
        <v>23</v>
      </c>
      <c r="M37">
        <v>1670</v>
      </c>
      <c r="N37">
        <v>0.15</v>
      </c>
      <c r="O37">
        <v>1260</v>
      </c>
    </row>
    <row r="38" spans="1:15" x14ac:dyDescent="0.25">
      <c r="A38" t="s">
        <v>138</v>
      </c>
      <c r="B38">
        <v>45316</v>
      </c>
      <c r="C38" t="s">
        <v>16</v>
      </c>
      <c r="D38" t="s">
        <v>31</v>
      </c>
      <c r="E38" t="s">
        <v>18</v>
      </c>
      <c r="F38" t="s">
        <v>19</v>
      </c>
      <c r="G38" t="s">
        <v>20</v>
      </c>
      <c r="H38" t="s">
        <v>33</v>
      </c>
      <c r="I38" t="s">
        <v>139</v>
      </c>
      <c r="J38" t="s">
        <v>49</v>
      </c>
      <c r="K38" t="s">
        <v>119</v>
      </c>
      <c r="L38">
        <v>4</v>
      </c>
      <c r="M38">
        <v>65160</v>
      </c>
      <c r="N38">
        <v>0</v>
      </c>
      <c r="O38">
        <v>51390</v>
      </c>
    </row>
    <row r="39" spans="1:15" x14ac:dyDescent="0.25">
      <c r="A39" t="s">
        <v>140</v>
      </c>
      <c r="B39">
        <v>45316</v>
      </c>
      <c r="C39" t="s">
        <v>16</v>
      </c>
      <c r="D39" t="s">
        <v>31</v>
      </c>
      <c r="E39" t="s">
        <v>18</v>
      </c>
      <c r="F39" t="s">
        <v>19</v>
      </c>
      <c r="G39" t="s">
        <v>27</v>
      </c>
      <c r="H39" t="s">
        <v>28</v>
      </c>
      <c r="I39" t="s">
        <v>141</v>
      </c>
      <c r="J39" t="s">
        <v>40</v>
      </c>
      <c r="K39" t="s">
        <v>24</v>
      </c>
      <c r="L39">
        <v>1</v>
      </c>
      <c r="M39">
        <v>15200</v>
      </c>
      <c r="N39">
        <v>0</v>
      </c>
      <c r="O39">
        <v>11670</v>
      </c>
    </row>
    <row r="40" spans="1:15" x14ac:dyDescent="0.25">
      <c r="A40" t="s">
        <v>142</v>
      </c>
      <c r="B40">
        <v>45316</v>
      </c>
      <c r="C40" t="s">
        <v>56</v>
      </c>
      <c r="D40" t="s">
        <v>143</v>
      </c>
      <c r="E40" t="s">
        <v>134</v>
      </c>
      <c r="F40" t="s">
        <v>19</v>
      </c>
      <c r="G40" t="s">
        <v>20</v>
      </c>
      <c r="H40" t="s">
        <v>87</v>
      </c>
      <c r="I40" t="s">
        <v>88</v>
      </c>
      <c r="J40" t="s">
        <v>40</v>
      </c>
      <c r="K40" t="s">
        <v>94</v>
      </c>
      <c r="L40">
        <v>4</v>
      </c>
      <c r="M40">
        <v>34040</v>
      </c>
      <c r="N40">
        <v>0.1</v>
      </c>
      <c r="O40">
        <v>22450</v>
      </c>
    </row>
    <row r="41" spans="1:15" x14ac:dyDescent="0.25">
      <c r="A41" t="s">
        <v>144</v>
      </c>
      <c r="B41">
        <v>45316</v>
      </c>
      <c r="C41" t="s">
        <v>37</v>
      </c>
      <c r="D41" t="s">
        <v>115</v>
      </c>
      <c r="E41" t="s">
        <v>39</v>
      </c>
      <c r="F41" t="s">
        <v>19</v>
      </c>
      <c r="G41" t="s">
        <v>83</v>
      </c>
      <c r="H41" t="s">
        <v>84</v>
      </c>
      <c r="I41" t="s">
        <v>85</v>
      </c>
      <c r="J41" t="s">
        <v>23</v>
      </c>
      <c r="K41" t="s">
        <v>35</v>
      </c>
      <c r="L41">
        <v>29</v>
      </c>
      <c r="M41">
        <v>2440</v>
      </c>
      <c r="N41">
        <v>0.08</v>
      </c>
      <c r="O41">
        <v>1790</v>
      </c>
    </row>
    <row r="42" spans="1:15" x14ac:dyDescent="0.25">
      <c r="A42" t="s">
        <v>145</v>
      </c>
      <c r="B42">
        <v>45317</v>
      </c>
      <c r="C42" t="s">
        <v>42</v>
      </c>
      <c r="D42" t="s">
        <v>146</v>
      </c>
      <c r="E42" t="s">
        <v>147</v>
      </c>
      <c r="F42" t="s">
        <v>45</v>
      </c>
      <c r="G42" t="s">
        <v>27</v>
      </c>
      <c r="H42" t="s">
        <v>53</v>
      </c>
      <c r="I42" t="s">
        <v>54</v>
      </c>
      <c r="J42" t="s">
        <v>40</v>
      </c>
      <c r="K42" t="s">
        <v>24</v>
      </c>
      <c r="L42">
        <v>8</v>
      </c>
      <c r="M42">
        <v>40410</v>
      </c>
      <c r="N42">
        <v>0.08</v>
      </c>
      <c r="O42">
        <v>24830</v>
      </c>
    </row>
    <row r="43" spans="1:15" x14ac:dyDescent="0.25">
      <c r="A43" t="s">
        <v>148</v>
      </c>
      <c r="B43">
        <v>45317</v>
      </c>
      <c r="C43" t="s">
        <v>42</v>
      </c>
      <c r="D43" t="s">
        <v>146</v>
      </c>
      <c r="E43" t="s">
        <v>64</v>
      </c>
      <c r="F43" t="s">
        <v>52</v>
      </c>
      <c r="G43" t="s">
        <v>46</v>
      </c>
      <c r="H43" t="s">
        <v>100</v>
      </c>
      <c r="I43" t="s">
        <v>101</v>
      </c>
      <c r="J43" t="s">
        <v>23</v>
      </c>
      <c r="K43" t="s">
        <v>24</v>
      </c>
      <c r="L43">
        <v>14</v>
      </c>
      <c r="M43">
        <v>1850</v>
      </c>
      <c r="N43">
        <v>0.18</v>
      </c>
      <c r="O43">
        <v>1450</v>
      </c>
    </row>
    <row r="44" spans="1:15" x14ac:dyDescent="0.25">
      <c r="A44" t="s">
        <v>149</v>
      </c>
      <c r="B44">
        <v>45318</v>
      </c>
      <c r="C44" t="s">
        <v>76</v>
      </c>
      <c r="D44" t="s">
        <v>150</v>
      </c>
      <c r="E44" t="s">
        <v>151</v>
      </c>
      <c r="F44" t="s">
        <v>92</v>
      </c>
      <c r="G44" t="s">
        <v>20</v>
      </c>
      <c r="H44" t="s">
        <v>21</v>
      </c>
      <c r="I44" t="s">
        <v>65</v>
      </c>
      <c r="J44" t="s">
        <v>40</v>
      </c>
      <c r="K44" t="s">
        <v>24</v>
      </c>
      <c r="L44">
        <v>20</v>
      </c>
      <c r="M44">
        <v>8300</v>
      </c>
      <c r="N44">
        <v>0.12</v>
      </c>
      <c r="O44">
        <v>5350</v>
      </c>
    </row>
    <row r="45" spans="1:15" x14ac:dyDescent="0.25">
      <c r="A45" t="s">
        <v>152</v>
      </c>
      <c r="B45">
        <v>45320</v>
      </c>
      <c r="C45" t="s">
        <v>16</v>
      </c>
      <c r="D45" t="s">
        <v>153</v>
      </c>
      <c r="E45" t="s">
        <v>26</v>
      </c>
      <c r="F45" t="s">
        <v>19</v>
      </c>
      <c r="G45" t="s">
        <v>59</v>
      </c>
      <c r="H45" t="s">
        <v>154</v>
      </c>
      <c r="I45" t="s">
        <v>155</v>
      </c>
      <c r="J45" t="s">
        <v>23</v>
      </c>
      <c r="K45" t="s">
        <v>24</v>
      </c>
      <c r="L45">
        <v>4</v>
      </c>
      <c r="M45">
        <v>12180</v>
      </c>
      <c r="N45">
        <v>0.15</v>
      </c>
      <c r="O45">
        <v>8650</v>
      </c>
    </row>
    <row r="46" spans="1:15" x14ac:dyDescent="0.25">
      <c r="A46" t="s">
        <v>156</v>
      </c>
      <c r="B46">
        <v>45320</v>
      </c>
      <c r="C46" t="s">
        <v>56</v>
      </c>
      <c r="D46" t="s">
        <v>133</v>
      </c>
      <c r="E46" t="s">
        <v>58</v>
      </c>
      <c r="F46" t="s">
        <v>92</v>
      </c>
      <c r="G46" t="s">
        <v>20</v>
      </c>
      <c r="H46" t="s">
        <v>33</v>
      </c>
      <c r="I46" t="s">
        <v>139</v>
      </c>
      <c r="J46" t="s">
        <v>23</v>
      </c>
      <c r="K46" t="s">
        <v>24</v>
      </c>
      <c r="L46">
        <v>2</v>
      </c>
      <c r="M46">
        <v>61050</v>
      </c>
      <c r="N46">
        <v>0</v>
      </c>
      <c r="O46">
        <v>45280</v>
      </c>
    </row>
    <row r="47" spans="1:15" x14ac:dyDescent="0.25">
      <c r="A47" t="s">
        <v>157</v>
      </c>
      <c r="B47">
        <v>45322</v>
      </c>
      <c r="C47" t="s">
        <v>56</v>
      </c>
      <c r="D47" t="s">
        <v>57</v>
      </c>
      <c r="E47" t="s">
        <v>134</v>
      </c>
      <c r="F47" t="s">
        <v>19</v>
      </c>
      <c r="G47" t="s">
        <v>46</v>
      </c>
      <c r="H47" t="s">
        <v>47</v>
      </c>
      <c r="I47" t="s">
        <v>93</v>
      </c>
      <c r="J47" t="s">
        <v>40</v>
      </c>
      <c r="K47" t="s">
        <v>24</v>
      </c>
      <c r="L47">
        <v>35</v>
      </c>
      <c r="M47">
        <v>1290</v>
      </c>
      <c r="N47">
        <v>0.1</v>
      </c>
      <c r="O47">
        <v>750</v>
      </c>
    </row>
    <row r="48" spans="1:15" x14ac:dyDescent="0.25">
      <c r="A48" t="s">
        <v>158</v>
      </c>
      <c r="B48">
        <v>45324</v>
      </c>
      <c r="C48" t="s">
        <v>56</v>
      </c>
      <c r="D48" t="s">
        <v>133</v>
      </c>
      <c r="E48" t="s">
        <v>134</v>
      </c>
      <c r="F48" t="s">
        <v>52</v>
      </c>
      <c r="G48" t="s">
        <v>20</v>
      </c>
      <c r="H48" t="s">
        <v>109</v>
      </c>
      <c r="I48" t="s">
        <v>159</v>
      </c>
      <c r="J48" t="s">
        <v>23</v>
      </c>
      <c r="K48" t="s">
        <v>24</v>
      </c>
      <c r="L48">
        <v>6</v>
      </c>
      <c r="M48">
        <v>18340</v>
      </c>
      <c r="N48">
        <v>0</v>
      </c>
      <c r="O48">
        <v>10960</v>
      </c>
    </row>
    <row r="49" spans="1:15" x14ac:dyDescent="0.25">
      <c r="A49" t="s">
        <v>160</v>
      </c>
      <c r="B49">
        <v>45324</v>
      </c>
      <c r="C49" t="s">
        <v>37</v>
      </c>
      <c r="D49" t="s">
        <v>161</v>
      </c>
      <c r="E49" t="s">
        <v>39</v>
      </c>
      <c r="F49" t="s">
        <v>92</v>
      </c>
      <c r="G49" t="s">
        <v>27</v>
      </c>
      <c r="H49" t="s">
        <v>53</v>
      </c>
      <c r="I49" t="s">
        <v>131</v>
      </c>
      <c r="J49" t="s">
        <v>23</v>
      </c>
      <c r="K49" t="s">
        <v>35</v>
      </c>
      <c r="L49">
        <v>7</v>
      </c>
      <c r="M49">
        <v>35270</v>
      </c>
      <c r="N49">
        <v>0.15</v>
      </c>
      <c r="O49">
        <v>20800</v>
      </c>
    </row>
    <row r="50" spans="1:15" x14ac:dyDescent="0.25">
      <c r="A50" t="s">
        <v>162</v>
      </c>
      <c r="B50">
        <v>45324</v>
      </c>
      <c r="C50" t="s">
        <v>56</v>
      </c>
      <c r="D50" t="s">
        <v>72</v>
      </c>
      <c r="E50" t="s">
        <v>91</v>
      </c>
      <c r="F50" t="s">
        <v>19</v>
      </c>
      <c r="G50" t="s">
        <v>20</v>
      </c>
      <c r="H50" t="s">
        <v>21</v>
      </c>
      <c r="I50" t="s">
        <v>22</v>
      </c>
      <c r="J50" t="s">
        <v>49</v>
      </c>
      <c r="K50" t="s">
        <v>24</v>
      </c>
      <c r="L50">
        <v>35</v>
      </c>
      <c r="M50">
        <v>1720</v>
      </c>
      <c r="N50">
        <v>0.12</v>
      </c>
      <c r="O50">
        <v>1200</v>
      </c>
    </row>
    <row r="51" spans="1:15" x14ac:dyDescent="0.25">
      <c r="A51" t="s">
        <v>163</v>
      </c>
      <c r="B51">
        <v>45325</v>
      </c>
      <c r="C51" t="s">
        <v>56</v>
      </c>
      <c r="D51" t="s">
        <v>57</v>
      </c>
      <c r="E51" t="s">
        <v>91</v>
      </c>
      <c r="F51" t="s">
        <v>19</v>
      </c>
      <c r="G51" t="s">
        <v>20</v>
      </c>
      <c r="H51" t="s">
        <v>33</v>
      </c>
      <c r="I51" t="s">
        <v>34</v>
      </c>
      <c r="J51" t="s">
        <v>49</v>
      </c>
      <c r="K51" t="s">
        <v>24</v>
      </c>
      <c r="L51">
        <v>4</v>
      </c>
      <c r="M51">
        <v>55710</v>
      </c>
      <c r="N51">
        <v>0.18</v>
      </c>
      <c r="O51">
        <v>32900</v>
      </c>
    </row>
    <row r="52" spans="1:15" x14ac:dyDescent="0.25">
      <c r="A52" t="s">
        <v>164</v>
      </c>
      <c r="B52">
        <v>45325</v>
      </c>
      <c r="C52" t="s">
        <v>16</v>
      </c>
      <c r="D52" t="s">
        <v>51</v>
      </c>
      <c r="E52" t="s">
        <v>32</v>
      </c>
      <c r="F52" t="s">
        <v>19</v>
      </c>
      <c r="G52" t="s">
        <v>27</v>
      </c>
      <c r="H52" t="s">
        <v>28</v>
      </c>
      <c r="I52" t="s">
        <v>29</v>
      </c>
      <c r="J52" t="s">
        <v>49</v>
      </c>
      <c r="K52" t="s">
        <v>35</v>
      </c>
      <c r="L52">
        <v>6</v>
      </c>
      <c r="M52">
        <v>27990</v>
      </c>
      <c r="N52">
        <v>0</v>
      </c>
      <c r="O52">
        <v>18930</v>
      </c>
    </row>
    <row r="53" spans="1:15" x14ac:dyDescent="0.25">
      <c r="A53" t="s">
        <v>165</v>
      </c>
      <c r="B53">
        <v>45325</v>
      </c>
      <c r="C53" t="s">
        <v>37</v>
      </c>
      <c r="D53" t="s">
        <v>166</v>
      </c>
      <c r="E53" t="s">
        <v>68</v>
      </c>
      <c r="F53" t="s">
        <v>92</v>
      </c>
      <c r="G53" t="s">
        <v>59</v>
      </c>
      <c r="H53" t="s">
        <v>69</v>
      </c>
      <c r="I53" t="s">
        <v>121</v>
      </c>
      <c r="J53" t="s">
        <v>49</v>
      </c>
      <c r="K53" t="s">
        <v>94</v>
      </c>
      <c r="L53">
        <v>18</v>
      </c>
      <c r="M53">
        <v>3650</v>
      </c>
      <c r="N53">
        <v>0.15</v>
      </c>
      <c r="O53">
        <v>2720</v>
      </c>
    </row>
    <row r="54" spans="1:15" x14ac:dyDescent="0.25">
      <c r="A54" t="s">
        <v>167</v>
      </c>
      <c r="B54">
        <v>45326</v>
      </c>
      <c r="C54" t="s">
        <v>16</v>
      </c>
      <c r="D54" t="s">
        <v>31</v>
      </c>
      <c r="E54" t="s">
        <v>18</v>
      </c>
      <c r="F54" t="s">
        <v>19</v>
      </c>
      <c r="G54" t="s">
        <v>27</v>
      </c>
      <c r="H54" t="s">
        <v>79</v>
      </c>
      <c r="I54" t="s">
        <v>168</v>
      </c>
      <c r="J54" t="s">
        <v>49</v>
      </c>
      <c r="K54" t="s">
        <v>24</v>
      </c>
      <c r="L54">
        <v>14</v>
      </c>
      <c r="M54">
        <v>9750</v>
      </c>
      <c r="N54">
        <v>0.08</v>
      </c>
      <c r="O54">
        <v>6790</v>
      </c>
    </row>
    <row r="55" spans="1:15" x14ac:dyDescent="0.25">
      <c r="A55" t="s">
        <v>169</v>
      </c>
      <c r="B55">
        <v>45327</v>
      </c>
      <c r="C55" t="s">
        <v>76</v>
      </c>
      <c r="D55" t="s">
        <v>99</v>
      </c>
      <c r="E55" t="s">
        <v>170</v>
      </c>
      <c r="F55" t="s">
        <v>19</v>
      </c>
      <c r="G55" t="s">
        <v>20</v>
      </c>
      <c r="H55" t="s">
        <v>109</v>
      </c>
      <c r="I55" t="s">
        <v>171</v>
      </c>
      <c r="J55" t="s">
        <v>40</v>
      </c>
      <c r="K55" t="s">
        <v>35</v>
      </c>
      <c r="L55">
        <v>7</v>
      </c>
      <c r="M55">
        <v>21360</v>
      </c>
      <c r="N55">
        <v>0</v>
      </c>
      <c r="O55">
        <v>14570</v>
      </c>
    </row>
    <row r="56" spans="1:15" x14ac:dyDescent="0.25">
      <c r="A56" t="s">
        <v>172</v>
      </c>
      <c r="B56">
        <v>45329</v>
      </c>
      <c r="C56" t="s">
        <v>56</v>
      </c>
      <c r="D56" t="s">
        <v>57</v>
      </c>
      <c r="E56" t="s">
        <v>91</v>
      </c>
      <c r="F56" t="s">
        <v>92</v>
      </c>
      <c r="G56" t="s">
        <v>20</v>
      </c>
      <c r="H56" t="s">
        <v>21</v>
      </c>
      <c r="I56" t="s">
        <v>65</v>
      </c>
      <c r="J56" t="s">
        <v>40</v>
      </c>
      <c r="K56" t="s">
        <v>94</v>
      </c>
      <c r="L56">
        <v>17</v>
      </c>
      <c r="M56">
        <v>8910</v>
      </c>
      <c r="N56">
        <v>0.05</v>
      </c>
      <c r="O56">
        <v>6350</v>
      </c>
    </row>
    <row r="57" spans="1:15" x14ac:dyDescent="0.25">
      <c r="A57" t="s">
        <v>173</v>
      </c>
      <c r="B57">
        <v>45329</v>
      </c>
      <c r="C57" t="s">
        <v>16</v>
      </c>
      <c r="D57" t="s">
        <v>17</v>
      </c>
      <c r="E57" t="s">
        <v>32</v>
      </c>
      <c r="F57" t="s">
        <v>92</v>
      </c>
      <c r="G57" t="s">
        <v>46</v>
      </c>
      <c r="H57" t="s">
        <v>100</v>
      </c>
      <c r="I57" t="s">
        <v>101</v>
      </c>
      <c r="J57" t="s">
        <v>40</v>
      </c>
      <c r="K57" t="s">
        <v>35</v>
      </c>
      <c r="L57">
        <v>26</v>
      </c>
      <c r="M57">
        <v>1950</v>
      </c>
      <c r="N57">
        <v>0.05</v>
      </c>
      <c r="O57">
        <v>1430</v>
      </c>
    </row>
    <row r="58" spans="1:15" x14ac:dyDescent="0.25">
      <c r="A58" t="s">
        <v>174</v>
      </c>
      <c r="B58">
        <v>45330</v>
      </c>
      <c r="C58" t="s">
        <v>56</v>
      </c>
      <c r="D58" t="s">
        <v>72</v>
      </c>
      <c r="E58" t="s">
        <v>134</v>
      </c>
      <c r="F58" t="s">
        <v>19</v>
      </c>
      <c r="G58" t="s">
        <v>59</v>
      </c>
      <c r="H58" t="s">
        <v>73</v>
      </c>
      <c r="I58" t="s">
        <v>74</v>
      </c>
      <c r="J58" t="s">
        <v>49</v>
      </c>
      <c r="K58" t="s">
        <v>24</v>
      </c>
      <c r="L58">
        <v>3</v>
      </c>
      <c r="M58">
        <v>48550</v>
      </c>
      <c r="N58">
        <v>0</v>
      </c>
      <c r="O58">
        <v>34160</v>
      </c>
    </row>
    <row r="59" spans="1:15" x14ac:dyDescent="0.25">
      <c r="A59" t="s">
        <v>175</v>
      </c>
      <c r="B59">
        <v>45334</v>
      </c>
      <c r="C59" t="s">
        <v>42</v>
      </c>
      <c r="D59" t="s">
        <v>96</v>
      </c>
      <c r="E59" t="s">
        <v>176</v>
      </c>
      <c r="F59" t="s">
        <v>52</v>
      </c>
      <c r="G59" t="s">
        <v>46</v>
      </c>
      <c r="H59" t="s">
        <v>100</v>
      </c>
      <c r="I59" t="s">
        <v>177</v>
      </c>
      <c r="J59" t="s">
        <v>23</v>
      </c>
      <c r="K59" t="s">
        <v>24</v>
      </c>
      <c r="L59">
        <v>27</v>
      </c>
      <c r="M59">
        <v>2470</v>
      </c>
      <c r="N59">
        <v>0.15</v>
      </c>
      <c r="O59">
        <v>1660</v>
      </c>
    </row>
    <row r="60" spans="1:15" x14ac:dyDescent="0.25">
      <c r="A60" t="s">
        <v>178</v>
      </c>
      <c r="B60">
        <v>45334</v>
      </c>
      <c r="C60" t="s">
        <v>16</v>
      </c>
      <c r="D60" t="s">
        <v>51</v>
      </c>
      <c r="E60" t="s">
        <v>26</v>
      </c>
      <c r="F60" t="s">
        <v>45</v>
      </c>
      <c r="G60" t="s">
        <v>46</v>
      </c>
      <c r="H60" t="s">
        <v>179</v>
      </c>
      <c r="I60" t="s">
        <v>180</v>
      </c>
      <c r="J60" t="s">
        <v>23</v>
      </c>
      <c r="K60" t="s">
        <v>24</v>
      </c>
      <c r="L60">
        <v>9</v>
      </c>
      <c r="M60">
        <v>3960</v>
      </c>
      <c r="N60">
        <v>0.05</v>
      </c>
      <c r="O60">
        <v>2580</v>
      </c>
    </row>
    <row r="61" spans="1:15" x14ac:dyDescent="0.25">
      <c r="A61" t="s">
        <v>181</v>
      </c>
      <c r="B61">
        <v>45335</v>
      </c>
      <c r="C61" t="s">
        <v>16</v>
      </c>
      <c r="D61" t="s">
        <v>31</v>
      </c>
      <c r="E61" t="s">
        <v>26</v>
      </c>
      <c r="F61" t="s">
        <v>19</v>
      </c>
      <c r="G61" t="s">
        <v>20</v>
      </c>
      <c r="H61" t="s">
        <v>33</v>
      </c>
      <c r="I61" t="s">
        <v>182</v>
      </c>
      <c r="J61" t="s">
        <v>40</v>
      </c>
      <c r="K61" t="s">
        <v>24</v>
      </c>
      <c r="L61">
        <v>2</v>
      </c>
      <c r="M61">
        <v>101570</v>
      </c>
      <c r="N61">
        <v>0.08</v>
      </c>
      <c r="O61">
        <v>72550</v>
      </c>
    </row>
    <row r="62" spans="1:15" x14ac:dyDescent="0.25">
      <c r="A62" t="s">
        <v>183</v>
      </c>
      <c r="B62">
        <v>45336</v>
      </c>
      <c r="C62" t="s">
        <v>37</v>
      </c>
      <c r="D62" t="s">
        <v>67</v>
      </c>
      <c r="E62" t="s">
        <v>39</v>
      </c>
      <c r="F62" t="s">
        <v>19</v>
      </c>
      <c r="G62" t="s">
        <v>83</v>
      </c>
      <c r="H62" t="s">
        <v>184</v>
      </c>
      <c r="I62" t="s">
        <v>185</v>
      </c>
      <c r="J62" t="s">
        <v>49</v>
      </c>
      <c r="K62" t="s">
        <v>35</v>
      </c>
      <c r="L62">
        <v>13</v>
      </c>
      <c r="M62">
        <v>4570</v>
      </c>
      <c r="N62">
        <v>0.2</v>
      </c>
      <c r="O62">
        <v>3570</v>
      </c>
    </row>
    <row r="63" spans="1:15" x14ac:dyDescent="0.25">
      <c r="A63" t="s">
        <v>186</v>
      </c>
      <c r="B63">
        <v>45337</v>
      </c>
      <c r="C63" t="s">
        <v>16</v>
      </c>
      <c r="D63" t="s">
        <v>31</v>
      </c>
      <c r="E63" t="s">
        <v>32</v>
      </c>
      <c r="F63" t="s">
        <v>52</v>
      </c>
      <c r="G63" t="s">
        <v>20</v>
      </c>
      <c r="H63" t="s">
        <v>21</v>
      </c>
      <c r="I63" t="s">
        <v>65</v>
      </c>
      <c r="J63" t="s">
        <v>49</v>
      </c>
      <c r="K63" t="s">
        <v>24</v>
      </c>
      <c r="L63">
        <v>15</v>
      </c>
      <c r="M63">
        <v>8460</v>
      </c>
      <c r="N63">
        <v>0.08</v>
      </c>
      <c r="O63">
        <v>6380</v>
      </c>
    </row>
    <row r="64" spans="1:15" x14ac:dyDescent="0.25">
      <c r="A64" t="s">
        <v>187</v>
      </c>
      <c r="B64">
        <v>45337</v>
      </c>
      <c r="C64" t="s">
        <v>42</v>
      </c>
      <c r="D64" t="s">
        <v>96</v>
      </c>
      <c r="E64" t="s">
        <v>44</v>
      </c>
      <c r="F64" t="s">
        <v>92</v>
      </c>
      <c r="G64" t="s">
        <v>20</v>
      </c>
      <c r="H64" t="s">
        <v>21</v>
      </c>
      <c r="I64" t="s">
        <v>22</v>
      </c>
      <c r="J64" t="s">
        <v>40</v>
      </c>
      <c r="K64" t="s">
        <v>24</v>
      </c>
      <c r="L64">
        <v>67</v>
      </c>
      <c r="M64">
        <v>1770</v>
      </c>
      <c r="N64">
        <v>0.18</v>
      </c>
      <c r="O64">
        <v>1170</v>
      </c>
    </row>
    <row r="65" spans="1:15" x14ac:dyDescent="0.25">
      <c r="A65" t="s">
        <v>188</v>
      </c>
      <c r="B65">
        <v>45337</v>
      </c>
      <c r="C65" t="s">
        <v>56</v>
      </c>
      <c r="D65" t="s">
        <v>133</v>
      </c>
      <c r="E65" t="s">
        <v>134</v>
      </c>
      <c r="F65" t="s">
        <v>19</v>
      </c>
      <c r="G65" t="s">
        <v>46</v>
      </c>
      <c r="H65" t="s">
        <v>100</v>
      </c>
      <c r="I65" t="s">
        <v>177</v>
      </c>
      <c r="J65" t="s">
        <v>49</v>
      </c>
      <c r="K65" t="s">
        <v>24</v>
      </c>
      <c r="L65">
        <v>14</v>
      </c>
      <c r="M65">
        <v>2510</v>
      </c>
      <c r="N65">
        <v>0.25</v>
      </c>
      <c r="O65">
        <v>1690</v>
      </c>
    </row>
    <row r="66" spans="1:15" x14ac:dyDescent="0.25">
      <c r="A66" t="s">
        <v>189</v>
      </c>
      <c r="B66">
        <v>45338</v>
      </c>
      <c r="C66" t="s">
        <v>76</v>
      </c>
      <c r="D66" t="s">
        <v>99</v>
      </c>
      <c r="E66" t="s">
        <v>170</v>
      </c>
      <c r="F66" t="s">
        <v>92</v>
      </c>
      <c r="G66" t="s">
        <v>46</v>
      </c>
      <c r="H66" t="s">
        <v>47</v>
      </c>
      <c r="I66" t="s">
        <v>48</v>
      </c>
      <c r="J66" t="s">
        <v>40</v>
      </c>
      <c r="K66" t="s">
        <v>24</v>
      </c>
      <c r="L66">
        <v>16</v>
      </c>
      <c r="M66">
        <v>1850</v>
      </c>
      <c r="N66">
        <v>0</v>
      </c>
      <c r="O66">
        <v>1210</v>
      </c>
    </row>
    <row r="67" spans="1:15" x14ac:dyDescent="0.25">
      <c r="A67" t="s">
        <v>190</v>
      </c>
      <c r="B67">
        <v>45338</v>
      </c>
      <c r="C67" t="s">
        <v>16</v>
      </c>
      <c r="D67" t="s">
        <v>191</v>
      </c>
      <c r="E67" t="s">
        <v>26</v>
      </c>
      <c r="F67" t="s">
        <v>92</v>
      </c>
      <c r="G67" t="s">
        <v>46</v>
      </c>
      <c r="H67" t="s">
        <v>100</v>
      </c>
      <c r="I67" t="s">
        <v>101</v>
      </c>
      <c r="J67" t="s">
        <v>49</v>
      </c>
      <c r="K67" t="s">
        <v>24</v>
      </c>
      <c r="L67">
        <v>29</v>
      </c>
      <c r="M67">
        <v>1830</v>
      </c>
      <c r="N67">
        <v>0.05</v>
      </c>
      <c r="O67">
        <v>1060</v>
      </c>
    </row>
    <row r="68" spans="1:15" x14ac:dyDescent="0.25">
      <c r="A68" t="s">
        <v>192</v>
      </c>
      <c r="B68">
        <v>45338</v>
      </c>
      <c r="C68" t="s">
        <v>76</v>
      </c>
      <c r="D68" t="s">
        <v>77</v>
      </c>
      <c r="E68" t="s">
        <v>170</v>
      </c>
      <c r="F68" t="s">
        <v>45</v>
      </c>
      <c r="G68" t="s">
        <v>59</v>
      </c>
      <c r="H68" t="s">
        <v>69</v>
      </c>
      <c r="I68" t="s">
        <v>121</v>
      </c>
      <c r="J68" t="s">
        <v>23</v>
      </c>
      <c r="K68" t="s">
        <v>24</v>
      </c>
      <c r="L68">
        <v>17</v>
      </c>
      <c r="M68">
        <v>3640</v>
      </c>
      <c r="N68">
        <v>0.2</v>
      </c>
      <c r="O68">
        <v>2840</v>
      </c>
    </row>
    <row r="69" spans="1:15" x14ac:dyDescent="0.25">
      <c r="A69" t="s">
        <v>193</v>
      </c>
      <c r="B69">
        <v>45339</v>
      </c>
      <c r="C69" t="s">
        <v>56</v>
      </c>
      <c r="D69" t="s">
        <v>127</v>
      </c>
      <c r="E69" t="s">
        <v>58</v>
      </c>
      <c r="F69" t="s">
        <v>45</v>
      </c>
      <c r="G69" t="s">
        <v>59</v>
      </c>
      <c r="H69" t="s">
        <v>69</v>
      </c>
      <c r="I69" t="s">
        <v>121</v>
      </c>
      <c r="J69" t="s">
        <v>40</v>
      </c>
      <c r="K69" t="s">
        <v>24</v>
      </c>
      <c r="L69">
        <v>29</v>
      </c>
      <c r="M69">
        <v>3660</v>
      </c>
      <c r="N69">
        <v>0.18</v>
      </c>
      <c r="O69">
        <v>2520</v>
      </c>
    </row>
    <row r="70" spans="1:15" x14ac:dyDescent="0.25">
      <c r="A70" t="s">
        <v>194</v>
      </c>
      <c r="B70">
        <v>45340</v>
      </c>
      <c r="C70" t="s">
        <v>16</v>
      </c>
      <c r="D70" t="s">
        <v>51</v>
      </c>
      <c r="E70" t="s">
        <v>195</v>
      </c>
      <c r="F70" t="s">
        <v>19</v>
      </c>
      <c r="G70" t="s">
        <v>83</v>
      </c>
      <c r="H70" t="s">
        <v>184</v>
      </c>
      <c r="I70" t="s">
        <v>196</v>
      </c>
      <c r="J70" t="s">
        <v>40</v>
      </c>
      <c r="K70" t="s">
        <v>24</v>
      </c>
      <c r="L70">
        <v>8</v>
      </c>
      <c r="M70">
        <v>3070</v>
      </c>
      <c r="N70">
        <v>0.18</v>
      </c>
      <c r="O70">
        <v>2260</v>
      </c>
    </row>
    <row r="71" spans="1:15" x14ac:dyDescent="0.25">
      <c r="A71" t="s">
        <v>197</v>
      </c>
      <c r="B71">
        <v>45340</v>
      </c>
      <c r="C71" t="s">
        <v>42</v>
      </c>
      <c r="D71" t="s">
        <v>130</v>
      </c>
      <c r="E71" t="s">
        <v>97</v>
      </c>
      <c r="F71" t="s">
        <v>92</v>
      </c>
      <c r="G71" t="s">
        <v>46</v>
      </c>
      <c r="H71" t="s">
        <v>100</v>
      </c>
      <c r="I71" t="s">
        <v>101</v>
      </c>
      <c r="J71" t="s">
        <v>23</v>
      </c>
      <c r="K71" t="s">
        <v>35</v>
      </c>
      <c r="L71">
        <v>17</v>
      </c>
      <c r="M71">
        <v>1820</v>
      </c>
      <c r="N71">
        <v>0.2</v>
      </c>
      <c r="O71">
        <v>1210</v>
      </c>
    </row>
    <row r="72" spans="1:15" x14ac:dyDescent="0.25">
      <c r="A72" t="s">
        <v>198</v>
      </c>
      <c r="B72">
        <v>45340</v>
      </c>
      <c r="C72" t="s">
        <v>16</v>
      </c>
      <c r="D72" t="s">
        <v>153</v>
      </c>
      <c r="E72" t="s">
        <v>26</v>
      </c>
      <c r="F72" t="s">
        <v>52</v>
      </c>
      <c r="G72" t="s">
        <v>20</v>
      </c>
      <c r="H72" t="s">
        <v>21</v>
      </c>
      <c r="I72" t="s">
        <v>65</v>
      </c>
      <c r="J72" t="s">
        <v>40</v>
      </c>
      <c r="K72" t="s">
        <v>24</v>
      </c>
      <c r="L72">
        <v>6</v>
      </c>
      <c r="M72">
        <v>8880</v>
      </c>
      <c r="N72">
        <v>0</v>
      </c>
      <c r="O72">
        <v>6530</v>
      </c>
    </row>
    <row r="73" spans="1:15" x14ac:dyDescent="0.25">
      <c r="A73" t="s">
        <v>199</v>
      </c>
      <c r="B73">
        <v>45340</v>
      </c>
      <c r="C73" t="s">
        <v>56</v>
      </c>
      <c r="D73" t="s">
        <v>72</v>
      </c>
      <c r="E73" t="s">
        <v>58</v>
      </c>
      <c r="F73" t="s">
        <v>45</v>
      </c>
      <c r="G73" t="s">
        <v>59</v>
      </c>
      <c r="H73" t="s">
        <v>60</v>
      </c>
      <c r="I73" t="s">
        <v>200</v>
      </c>
      <c r="J73" t="s">
        <v>49</v>
      </c>
      <c r="K73" t="s">
        <v>24</v>
      </c>
      <c r="L73">
        <v>6</v>
      </c>
      <c r="M73">
        <v>9040</v>
      </c>
      <c r="N73">
        <v>0</v>
      </c>
      <c r="O73">
        <v>5770</v>
      </c>
    </row>
    <row r="74" spans="1:15" x14ac:dyDescent="0.25">
      <c r="A74" t="s">
        <v>201</v>
      </c>
      <c r="B74">
        <v>45342</v>
      </c>
      <c r="C74" t="s">
        <v>56</v>
      </c>
      <c r="D74" t="s">
        <v>57</v>
      </c>
      <c r="E74" t="s">
        <v>134</v>
      </c>
      <c r="F74" t="s">
        <v>45</v>
      </c>
      <c r="G74" t="s">
        <v>27</v>
      </c>
      <c r="H74" t="s">
        <v>79</v>
      </c>
      <c r="I74" t="s">
        <v>80</v>
      </c>
      <c r="J74" t="s">
        <v>40</v>
      </c>
      <c r="K74" t="s">
        <v>24</v>
      </c>
      <c r="L74">
        <v>30</v>
      </c>
      <c r="M74">
        <v>4850</v>
      </c>
      <c r="N74">
        <v>0.12</v>
      </c>
      <c r="O74">
        <v>3370</v>
      </c>
    </row>
    <row r="75" spans="1:15" x14ac:dyDescent="0.25">
      <c r="A75" t="s">
        <v>202</v>
      </c>
      <c r="B75">
        <v>45343</v>
      </c>
      <c r="C75" t="s">
        <v>16</v>
      </c>
      <c r="D75" t="s">
        <v>191</v>
      </c>
      <c r="E75" t="s">
        <v>18</v>
      </c>
      <c r="F75" t="s">
        <v>52</v>
      </c>
      <c r="G75" t="s">
        <v>59</v>
      </c>
      <c r="H75" t="s">
        <v>154</v>
      </c>
      <c r="I75" t="s">
        <v>155</v>
      </c>
      <c r="J75" t="s">
        <v>49</v>
      </c>
      <c r="K75" t="s">
        <v>24</v>
      </c>
      <c r="L75">
        <v>8</v>
      </c>
      <c r="M75">
        <v>12580</v>
      </c>
      <c r="N75">
        <v>0.08</v>
      </c>
      <c r="O75">
        <v>7360</v>
      </c>
    </row>
    <row r="76" spans="1:15" x14ac:dyDescent="0.25">
      <c r="A76" t="s">
        <v>203</v>
      </c>
      <c r="B76">
        <v>45343</v>
      </c>
      <c r="C76" t="s">
        <v>56</v>
      </c>
      <c r="D76" t="s">
        <v>57</v>
      </c>
      <c r="E76" t="s">
        <v>91</v>
      </c>
      <c r="F76" t="s">
        <v>92</v>
      </c>
      <c r="G76" t="s">
        <v>20</v>
      </c>
      <c r="H76" t="s">
        <v>33</v>
      </c>
      <c r="I76" t="s">
        <v>34</v>
      </c>
      <c r="J76" t="s">
        <v>49</v>
      </c>
      <c r="K76" t="s">
        <v>24</v>
      </c>
      <c r="L76">
        <v>2</v>
      </c>
      <c r="M76">
        <v>53630</v>
      </c>
      <c r="N76">
        <v>0</v>
      </c>
      <c r="O76">
        <v>37420</v>
      </c>
    </row>
    <row r="77" spans="1:15" x14ac:dyDescent="0.25">
      <c r="A77" t="s">
        <v>204</v>
      </c>
      <c r="B77">
        <v>45343</v>
      </c>
      <c r="C77" t="s">
        <v>16</v>
      </c>
      <c r="D77" t="s">
        <v>31</v>
      </c>
      <c r="E77" t="s">
        <v>32</v>
      </c>
      <c r="F77" t="s">
        <v>45</v>
      </c>
      <c r="G77" t="s">
        <v>59</v>
      </c>
      <c r="H77" t="s">
        <v>73</v>
      </c>
      <c r="I77" t="s">
        <v>74</v>
      </c>
      <c r="J77" t="s">
        <v>49</v>
      </c>
      <c r="K77" t="s">
        <v>24</v>
      </c>
      <c r="L77">
        <v>3</v>
      </c>
      <c r="M77">
        <v>43420</v>
      </c>
      <c r="N77">
        <v>0.12</v>
      </c>
      <c r="O77">
        <v>33750</v>
      </c>
    </row>
    <row r="78" spans="1:15" x14ac:dyDescent="0.25">
      <c r="A78" t="s">
        <v>205</v>
      </c>
      <c r="B78">
        <v>45344</v>
      </c>
      <c r="C78" t="s">
        <v>56</v>
      </c>
      <c r="D78" t="s">
        <v>133</v>
      </c>
      <c r="E78" t="s">
        <v>91</v>
      </c>
      <c r="F78" t="s">
        <v>45</v>
      </c>
      <c r="G78" t="s">
        <v>20</v>
      </c>
      <c r="H78" t="s">
        <v>109</v>
      </c>
      <c r="I78" t="s">
        <v>110</v>
      </c>
      <c r="J78" t="s">
        <v>49</v>
      </c>
      <c r="K78" t="s">
        <v>94</v>
      </c>
      <c r="L78">
        <v>6</v>
      </c>
      <c r="M78">
        <v>68440</v>
      </c>
      <c r="N78">
        <v>0.18</v>
      </c>
      <c r="O78">
        <v>54040</v>
      </c>
    </row>
    <row r="79" spans="1:15" x14ac:dyDescent="0.25">
      <c r="A79" t="s">
        <v>206</v>
      </c>
      <c r="B79">
        <v>45344</v>
      </c>
      <c r="C79" t="s">
        <v>56</v>
      </c>
      <c r="D79" t="s">
        <v>72</v>
      </c>
      <c r="E79" t="s">
        <v>134</v>
      </c>
      <c r="F79" t="s">
        <v>19</v>
      </c>
      <c r="G79" t="s">
        <v>20</v>
      </c>
      <c r="H79" t="s">
        <v>109</v>
      </c>
      <c r="I79" t="s">
        <v>110</v>
      </c>
      <c r="J79" t="s">
        <v>23</v>
      </c>
      <c r="K79" t="s">
        <v>119</v>
      </c>
      <c r="L79">
        <v>4</v>
      </c>
      <c r="M79">
        <v>72520</v>
      </c>
      <c r="N79">
        <v>0.1</v>
      </c>
      <c r="O79">
        <v>56120</v>
      </c>
    </row>
    <row r="80" spans="1:15" x14ac:dyDescent="0.25">
      <c r="A80" t="s">
        <v>207</v>
      </c>
      <c r="B80">
        <v>45344</v>
      </c>
      <c r="C80" t="s">
        <v>37</v>
      </c>
      <c r="D80" t="s">
        <v>38</v>
      </c>
      <c r="E80" t="s">
        <v>39</v>
      </c>
      <c r="F80" t="s">
        <v>19</v>
      </c>
      <c r="G80" t="s">
        <v>46</v>
      </c>
      <c r="H80" t="s">
        <v>100</v>
      </c>
      <c r="I80" t="s">
        <v>101</v>
      </c>
      <c r="J80" t="s">
        <v>40</v>
      </c>
      <c r="K80" t="s">
        <v>24</v>
      </c>
      <c r="L80">
        <v>26</v>
      </c>
      <c r="M80">
        <v>1920</v>
      </c>
      <c r="N80">
        <v>0.25</v>
      </c>
      <c r="O80">
        <v>1230</v>
      </c>
    </row>
    <row r="81" spans="1:15" x14ac:dyDescent="0.25">
      <c r="A81" t="s">
        <v>208</v>
      </c>
      <c r="B81">
        <v>45344</v>
      </c>
      <c r="C81" t="s">
        <v>76</v>
      </c>
      <c r="D81" t="s">
        <v>125</v>
      </c>
      <c r="E81" t="s">
        <v>78</v>
      </c>
      <c r="F81" t="s">
        <v>19</v>
      </c>
      <c r="G81" t="s">
        <v>20</v>
      </c>
      <c r="H81" t="s">
        <v>21</v>
      </c>
      <c r="I81" t="s">
        <v>22</v>
      </c>
      <c r="J81" t="s">
        <v>49</v>
      </c>
      <c r="K81" t="s">
        <v>94</v>
      </c>
      <c r="L81">
        <v>5</v>
      </c>
      <c r="M81">
        <v>1930</v>
      </c>
      <c r="N81">
        <v>0.15</v>
      </c>
      <c r="O81">
        <v>1150</v>
      </c>
    </row>
    <row r="82" spans="1:15" x14ac:dyDescent="0.25">
      <c r="A82" t="s">
        <v>209</v>
      </c>
      <c r="B82">
        <v>45345</v>
      </c>
      <c r="C82" t="s">
        <v>56</v>
      </c>
      <c r="D82" t="s">
        <v>127</v>
      </c>
      <c r="E82" t="s">
        <v>134</v>
      </c>
      <c r="F82" t="s">
        <v>19</v>
      </c>
      <c r="G82" t="s">
        <v>20</v>
      </c>
      <c r="H82" t="s">
        <v>109</v>
      </c>
      <c r="I82" t="s">
        <v>159</v>
      </c>
      <c r="J82" t="s">
        <v>49</v>
      </c>
      <c r="K82" t="s">
        <v>94</v>
      </c>
      <c r="L82">
        <v>7</v>
      </c>
      <c r="M82">
        <v>17430</v>
      </c>
      <c r="N82">
        <v>0.05</v>
      </c>
      <c r="O82">
        <v>12680</v>
      </c>
    </row>
    <row r="83" spans="1:15" x14ac:dyDescent="0.25">
      <c r="A83" t="s">
        <v>210</v>
      </c>
      <c r="B83">
        <v>45345</v>
      </c>
      <c r="C83" t="s">
        <v>56</v>
      </c>
      <c r="D83" t="s">
        <v>72</v>
      </c>
      <c r="E83" t="s">
        <v>134</v>
      </c>
      <c r="F83" t="s">
        <v>19</v>
      </c>
      <c r="G83" t="s">
        <v>83</v>
      </c>
      <c r="H83" t="s">
        <v>184</v>
      </c>
      <c r="I83" t="s">
        <v>196</v>
      </c>
      <c r="J83" t="s">
        <v>40</v>
      </c>
      <c r="K83" t="s">
        <v>24</v>
      </c>
      <c r="L83">
        <v>7</v>
      </c>
      <c r="M83">
        <v>3380</v>
      </c>
      <c r="N83">
        <v>0.08</v>
      </c>
      <c r="O83">
        <v>2180</v>
      </c>
    </row>
    <row r="84" spans="1:15" x14ac:dyDescent="0.25">
      <c r="A84" t="s">
        <v>211</v>
      </c>
      <c r="B84">
        <v>45346</v>
      </c>
      <c r="C84" t="s">
        <v>42</v>
      </c>
      <c r="D84" t="s">
        <v>96</v>
      </c>
      <c r="E84" t="s">
        <v>97</v>
      </c>
      <c r="F84" t="s">
        <v>52</v>
      </c>
      <c r="G84" t="s">
        <v>46</v>
      </c>
      <c r="H84" t="s">
        <v>100</v>
      </c>
      <c r="I84" t="s">
        <v>177</v>
      </c>
      <c r="J84" t="s">
        <v>49</v>
      </c>
      <c r="K84" t="s">
        <v>24</v>
      </c>
      <c r="L84">
        <v>32</v>
      </c>
      <c r="M84">
        <v>2480</v>
      </c>
      <c r="N84">
        <v>0.18</v>
      </c>
      <c r="O84">
        <v>1520</v>
      </c>
    </row>
    <row r="85" spans="1:15" x14ac:dyDescent="0.25">
      <c r="A85" t="s">
        <v>212</v>
      </c>
      <c r="B85">
        <v>45346</v>
      </c>
      <c r="C85" t="s">
        <v>37</v>
      </c>
      <c r="D85" t="s">
        <v>213</v>
      </c>
      <c r="E85" t="s">
        <v>68</v>
      </c>
      <c r="F85" t="s">
        <v>45</v>
      </c>
      <c r="G85" t="s">
        <v>27</v>
      </c>
      <c r="H85" t="s">
        <v>214</v>
      </c>
      <c r="I85" t="s">
        <v>215</v>
      </c>
      <c r="J85" t="s">
        <v>40</v>
      </c>
      <c r="K85" t="s">
        <v>24</v>
      </c>
      <c r="L85">
        <v>2</v>
      </c>
      <c r="M85">
        <v>34100</v>
      </c>
      <c r="N85">
        <v>0.12</v>
      </c>
      <c r="O85">
        <v>26210</v>
      </c>
    </row>
    <row r="86" spans="1:15" x14ac:dyDescent="0.25">
      <c r="A86" t="s">
        <v>216</v>
      </c>
      <c r="B86">
        <v>45346</v>
      </c>
      <c r="C86" t="s">
        <v>76</v>
      </c>
      <c r="D86" t="s">
        <v>217</v>
      </c>
      <c r="E86" t="s">
        <v>170</v>
      </c>
      <c r="F86" t="s">
        <v>19</v>
      </c>
      <c r="G86" t="s">
        <v>46</v>
      </c>
      <c r="H86" t="s">
        <v>100</v>
      </c>
      <c r="I86" t="s">
        <v>101</v>
      </c>
      <c r="J86" t="s">
        <v>23</v>
      </c>
      <c r="K86" t="s">
        <v>24</v>
      </c>
      <c r="L86">
        <v>24</v>
      </c>
      <c r="M86">
        <v>1900</v>
      </c>
      <c r="N86">
        <v>0.12</v>
      </c>
      <c r="O86">
        <v>1410</v>
      </c>
    </row>
    <row r="87" spans="1:15" x14ac:dyDescent="0.25">
      <c r="A87" t="s">
        <v>218</v>
      </c>
      <c r="B87">
        <v>45347</v>
      </c>
      <c r="C87" t="s">
        <v>42</v>
      </c>
      <c r="D87" t="s">
        <v>146</v>
      </c>
      <c r="E87" t="s">
        <v>64</v>
      </c>
      <c r="F87" t="s">
        <v>92</v>
      </c>
      <c r="G87" t="s">
        <v>46</v>
      </c>
      <c r="H87" t="s">
        <v>47</v>
      </c>
      <c r="I87" t="s">
        <v>93</v>
      </c>
      <c r="J87" t="s">
        <v>40</v>
      </c>
      <c r="K87" t="s">
        <v>119</v>
      </c>
      <c r="L87">
        <v>51</v>
      </c>
      <c r="M87">
        <v>1250</v>
      </c>
      <c r="N87">
        <v>0</v>
      </c>
      <c r="O87">
        <v>920</v>
      </c>
    </row>
    <row r="88" spans="1:15" x14ac:dyDescent="0.25">
      <c r="A88" t="s">
        <v>219</v>
      </c>
      <c r="B88">
        <v>45348</v>
      </c>
      <c r="C88" t="s">
        <v>42</v>
      </c>
      <c r="D88" t="s">
        <v>146</v>
      </c>
      <c r="E88" t="s">
        <v>64</v>
      </c>
      <c r="F88" t="s">
        <v>52</v>
      </c>
      <c r="G88" t="s">
        <v>46</v>
      </c>
      <c r="H88" t="s">
        <v>47</v>
      </c>
      <c r="I88" t="s">
        <v>48</v>
      </c>
      <c r="J88" t="s">
        <v>40</v>
      </c>
      <c r="K88" t="s">
        <v>35</v>
      </c>
      <c r="L88">
        <v>5</v>
      </c>
      <c r="M88">
        <v>1910</v>
      </c>
      <c r="N88">
        <v>0.1</v>
      </c>
      <c r="O88">
        <v>1350</v>
      </c>
    </row>
    <row r="89" spans="1:15" x14ac:dyDescent="0.25">
      <c r="A89" t="s">
        <v>220</v>
      </c>
      <c r="B89">
        <v>45348</v>
      </c>
      <c r="C89" t="s">
        <v>42</v>
      </c>
      <c r="D89" t="s">
        <v>43</v>
      </c>
      <c r="E89" t="s">
        <v>64</v>
      </c>
      <c r="F89" t="s">
        <v>19</v>
      </c>
      <c r="G89" t="s">
        <v>46</v>
      </c>
      <c r="H89" t="s">
        <v>179</v>
      </c>
      <c r="I89" t="s">
        <v>221</v>
      </c>
      <c r="J89" t="s">
        <v>23</v>
      </c>
      <c r="K89" t="s">
        <v>24</v>
      </c>
      <c r="L89">
        <v>25</v>
      </c>
      <c r="M89">
        <v>1580</v>
      </c>
      <c r="N89">
        <v>0.08</v>
      </c>
      <c r="O89">
        <v>920</v>
      </c>
    </row>
    <row r="90" spans="1:15" x14ac:dyDescent="0.25">
      <c r="A90" t="s">
        <v>222</v>
      </c>
      <c r="B90">
        <v>45350</v>
      </c>
      <c r="C90" t="s">
        <v>42</v>
      </c>
      <c r="D90" t="s">
        <v>130</v>
      </c>
      <c r="E90" t="s">
        <v>44</v>
      </c>
      <c r="F90" t="s">
        <v>92</v>
      </c>
      <c r="G90" t="s">
        <v>27</v>
      </c>
      <c r="H90" t="s">
        <v>53</v>
      </c>
      <c r="I90" t="s">
        <v>131</v>
      </c>
      <c r="J90" t="s">
        <v>49</v>
      </c>
      <c r="K90" t="s">
        <v>24</v>
      </c>
      <c r="L90">
        <v>1</v>
      </c>
      <c r="M90">
        <v>34480</v>
      </c>
      <c r="N90">
        <v>0.2</v>
      </c>
      <c r="O90">
        <v>20300</v>
      </c>
    </row>
    <row r="91" spans="1:15" x14ac:dyDescent="0.25">
      <c r="A91" t="s">
        <v>223</v>
      </c>
      <c r="B91">
        <v>45350</v>
      </c>
      <c r="C91" t="s">
        <v>76</v>
      </c>
      <c r="D91" t="s">
        <v>217</v>
      </c>
      <c r="E91" t="s">
        <v>78</v>
      </c>
      <c r="F91" t="s">
        <v>92</v>
      </c>
      <c r="G91" t="s">
        <v>27</v>
      </c>
      <c r="H91" t="s">
        <v>28</v>
      </c>
      <c r="I91" t="s">
        <v>141</v>
      </c>
      <c r="J91" t="s">
        <v>23</v>
      </c>
      <c r="K91" t="s">
        <v>35</v>
      </c>
      <c r="L91">
        <v>8</v>
      </c>
      <c r="M91">
        <v>15700</v>
      </c>
      <c r="N91">
        <v>0.12</v>
      </c>
      <c r="O91">
        <v>10550</v>
      </c>
    </row>
    <row r="92" spans="1:15" x14ac:dyDescent="0.25">
      <c r="A92" t="s">
        <v>224</v>
      </c>
      <c r="B92">
        <v>45351</v>
      </c>
      <c r="C92" t="s">
        <v>56</v>
      </c>
      <c r="D92" t="s">
        <v>103</v>
      </c>
      <c r="E92" t="s">
        <v>134</v>
      </c>
      <c r="F92" t="s">
        <v>92</v>
      </c>
      <c r="G92" t="s">
        <v>46</v>
      </c>
      <c r="H92" t="s">
        <v>47</v>
      </c>
      <c r="I92" t="s">
        <v>48</v>
      </c>
      <c r="J92" t="s">
        <v>23</v>
      </c>
      <c r="K92" t="s">
        <v>24</v>
      </c>
      <c r="L92">
        <v>65</v>
      </c>
      <c r="M92">
        <v>1900</v>
      </c>
      <c r="N92">
        <v>0.1</v>
      </c>
      <c r="O92">
        <v>1160</v>
      </c>
    </row>
    <row r="93" spans="1:15" x14ac:dyDescent="0.25">
      <c r="A93" t="s">
        <v>225</v>
      </c>
      <c r="B93">
        <v>45352</v>
      </c>
      <c r="C93" t="s">
        <v>56</v>
      </c>
      <c r="D93" t="s">
        <v>57</v>
      </c>
      <c r="E93" t="s">
        <v>134</v>
      </c>
      <c r="F93" t="s">
        <v>45</v>
      </c>
      <c r="G93" t="s">
        <v>46</v>
      </c>
      <c r="H93" t="s">
        <v>100</v>
      </c>
      <c r="I93" t="s">
        <v>177</v>
      </c>
      <c r="J93" t="s">
        <v>23</v>
      </c>
      <c r="K93" t="s">
        <v>24</v>
      </c>
      <c r="L93">
        <v>27</v>
      </c>
      <c r="M93">
        <v>2410</v>
      </c>
      <c r="N93">
        <v>0.08</v>
      </c>
      <c r="O93">
        <v>1470</v>
      </c>
    </row>
    <row r="94" spans="1:15" x14ac:dyDescent="0.25">
      <c r="A94" t="s">
        <v>226</v>
      </c>
      <c r="B94">
        <v>45353</v>
      </c>
      <c r="C94" t="s">
        <v>56</v>
      </c>
      <c r="D94" t="s">
        <v>127</v>
      </c>
      <c r="E94" t="s">
        <v>134</v>
      </c>
      <c r="F94" t="s">
        <v>92</v>
      </c>
      <c r="G94" t="s">
        <v>27</v>
      </c>
      <c r="H94" t="s">
        <v>28</v>
      </c>
      <c r="I94" t="s">
        <v>141</v>
      </c>
      <c r="J94" t="s">
        <v>23</v>
      </c>
      <c r="K94" t="s">
        <v>24</v>
      </c>
      <c r="L94">
        <v>15</v>
      </c>
      <c r="M94">
        <v>16990</v>
      </c>
      <c r="N94">
        <v>0.1</v>
      </c>
      <c r="O94">
        <v>13280</v>
      </c>
    </row>
    <row r="95" spans="1:15" x14ac:dyDescent="0.25">
      <c r="A95" t="s">
        <v>227</v>
      </c>
      <c r="B95">
        <v>45353</v>
      </c>
      <c r="C95" t="s">
        <v>16</v>
      </c>
      <c r="D95" t="s">
        <v>82</v>
      </c>
      <c r="E95" t="s">
        <v>18</v>
      </c>
      <c r="F95" t="s">
        <v>52</v>
      </c>
      <c r="G95" t="s">
        <v>20</v>
      </c>
      <c r="H95" t="s">
        <v>21</v>
      </c>
      <c r="I95" t="s">
        <v>22</v>
      </c>
      <c r="J95" t="s">
        <v>23</v>
      </c>
      <c r="K95" t="s">
        <v>24</v>
      </c>
      <c r="L95">
        <v>4</v>
      </c>
      <c r="M95">
        <v>1860</v>
      </c>
      <c r="N95">
        <v>0.05</v>
      </c>
      <c r="O95">
        <v>1340</v>
      </c>
    </row>
    <row r="96" spans="1:15" x14ac:dyDescent="0.25">
      <c r="A96" t="s">
        <v>228</v>
      </c>
      <c r="B96">
        <v>45353</v>
      </c>
      <c r="C96" t="s">
        <v>37</v>
      </c>
      <c r="D96" t="s">
        <v>213</v>
      </c>
      <c r="E96" t="s">
        <v>68</v>
      </c>
      <c r="F96" t="s">
        <v>52</v>
      </c>
      <c r="G96" t="s">
        <v>20</v>
      </c>
      <c r="H96" t="s">
        <v>33</v>
      </c>
      <c r="I96" t="s">
        <v>182</v>
      </c>
      <c r="J96" t="s">
        <v>40</v>
      </c>
      <c r="K96" t="s">
        <v>24</v>
      </c>
      <c r="L96">
        <v>3</v>
      </c>
      <c r="M96">
        <v>110940</v>
      </c>
      <c r="N96">
        <v>0.18</v>
      </c>
      <c r="O96">
        <v>81580</v>
      </c>
    </row>
    <row r="97" spans="1:15" x14ac:dyDescent="0.25">
      <c r="A97" t="s">
        <v>229</v>
      </c>
      <c r="B97">
        <v>45354</v>
      </c>
      <c r="C97" t="s">
        <v>76</v>
      </c>
      <c r="D97" t="s">
        <v>150</v>
      </c>
      <c r="E97" t="s">
        <v>78</v>
      </c>
      <c r="F97" t="s">
        <v>19</v>
      </c>
      <c r="G97" t="s">
        <v>83</v>
      </c>
      <c r="H97" t="s">
        <v>84</v>
      </c>
      <c r="I97" t="s">
        <v>85</v>
      </c>
      <c r="J97" t="s">
        <v>23</v>
      </c>
      <c r="K97" t="s">
        <v>24</v>
      </c>
      <c r="L97">
        <v>37</v>
      </c>
      <c r="M97">
        <v>2450</v>
      </c>
      <c r="N97">
        <v>0.05</v>
      </c>
      <c r="O97">
        <v>1870</v>
      </c>
    </row>
    <row r="98" spans="1:15" x14ac:dyDescent="0.25">
      <c r="A98" t="s">
        <v>230</v>
      </c>
      <c r="B98">
        <v>45354</v>
      </c>
      <c r="C98" t="s">
        <v>16</v>
      </c>
      <c r="D98" t="s">
        <v>82</v>
      </c>
      <c r="E98" t="s">
        <v>26</v>
      </c>
      <c r="F98" t="s">
        <v>92</v>
      </c>
      <c r="G98" t="s">
        <v>83</v>
      </c>
      <c r="H98" t="s">
        <v>136</v>
      </c>
      <c r="I98" t="s">
        <v>137</v>
      </c>
      <c r="J98" t="s">
        <v>23</v>
      </c>
      <c r="K98" t="s">
        <v>24</v>
      </c>
      <c r="L98">
        <v>50</v>
      </c>
      <c r="M98">
        <v>1660</v>
      </c>
      <c r="N98">
        <v>0.05</v>
      </c>
      <c r="O98">
        <v>1000</v>
      </c>
    </row>
    <row r="99" spans="1:15" x14ac:dyDescent="0.25">
      <c r="A99" t="s">
        <v>231</v>
      </c>
      <c r="B99">
        <v>45354</v>
      </c>
      <c r="C99" t="s">
        <v>37</v>
      </c>
      <c r="D99" t="s">
        <v>213</v>
      </c>
      <c r="E99" t="s">
        <v>39</v>
      </c>
      <c r="F99" t="s">
        <v>92</v>
      </c>
      <c r="G99" t="s">
        <v>59</v>
      </c>
      <c r="H99" t="s">
        <v>73</v>
      </c>
      <c r="I99" t="s">
        <v>74</v>
      </c>
      <c r="J99" t="s">
        <v>40</v>
      </c>
      <c r="K99" t="s">
        <v>24</v>
      </c>
      <c r="L99">
        <v>8</v>
      </c>
      <c r="M99">
        <v>46300</v>
      </c>
      <c r="N99">
        <v>0.05</v>
      </c>
      <c r="O99">
        <v>30860</v>
      </c>
    </row>
    <row r="100" spans="1:15" x14ac:dyDescent="0.25">
      <c r="A100" t="s">
        <v>232</v>
      </c>
      <c r="B100">
        <v>45356</v>
      </c>
      <c r="C100" t="s">
        <v>76</v>
      </c>
      <c r="D100" t="s">
        <v>99</v>
      </c>
      <c r="E100" t="s">
        <v>170</v>
      </c>
      <c r="F100" t="s">
        <v>52</v>
      </c>
      <c r="G100" t="s">
        <v>27</v>
      </c>
      <c r="H100" t="s">
        <v>214</v>
      </c>
      <c r="I100" t="s">
        <v>215</v>
      </c>
      <c r="J100" t="s">
        <v>23</v>
      </c>
      <c r="K100" t="s">
        <v>24</v>
      </c>
      <c r="L100">
        <v>2</v>
      </c>
      <c r="M100">
        <v>36680</v>
      </c>
      <c r="N100">
        <v>0.08</v>
      </c>
      <c r="O100">
        <v>22240</v>
      </c>
    </row>
    <row r="101" spans="1:15" x14ac:dyDescent="0.25">
      <c r="A101" t="s">
        <v>233</v>
      </c>
      <c r="B101">
        <v>45356</v>
      </c>
      <c r="C101" t="s">
        <v>56</v>
      </c>
      <c r="D101" t="s">
        <v>57</v>
      </c>
      <c r="E101" t="s">
        <v>58</v>
      </c>
      <c r="F101" t="s">
        <v>19</v>
      </c>
      <c r="G101" t="s">
        <v>46</v>
      </c>
      <c r="H101" t="s">
        <v>179</v>
      </c>
      <c r="I101" t="s">
        <v>221</v>
      </c>
      <c r="J101" t="s">
        <v>40</v>
      </c>
      <c r="K101" t="s">
        <v>24</v>
      </c>
      <c r="L101">
        <v>26</v>
      </c>
      <c r="M101">
        <v>1540</v>
      </c>
      <c r="N101">
        <v>0</v>
      </c>
      <c r="O101">
        <v>890</v>
      </c>
    </row>
    <row r="102" spans="1:15" x14ac:dyDescent="0.25">
      <c r="A102" t="s">
        <v>234</v>
      </c>
      <c r="B102">
        <v>45356</v>
      </c>
      <c r="C102" t="s">
        <v>76</v>
      </c>
      <c r="D102" t="s">
        <v>217</v>
      </c>
      <c r="E102" t="s">
        <v>78</v>
      </c>
      <c r="F102" t="s">
        <v>19</v>
      </c>
      <c r="G102" t="s">
        <v>83</v>
      </c>
      <c r="H102" t="s">
        <v>184</v>
      </c>
      <c r="I102" t="s">
        <v>185</v>
      </c>
      <c r="J102" t="s">
        <v>49</v>
      </c>
      <c r="K102" t="s">
        <v>119</v>
      </c>
      <c r="L102">
        <v>4</v>
      </c>
      <c r="M102">
        <v>4480</v>
      </c>
      <c r="N102">
        <v>0.25</v>
      </c>
      <c r="O102">
        <v>3150</v>
      </c>
    </row>
    <row r="103" spans="1:15" x14ac:dyDescent="0.25">
      <c r="A103" t="s">
        <v>235</v>
      </c>
      <c r="B103">
        <v>45356</v>
      </c>
      <c r="C103" t="s">
        <v>76</v>
      </c>
      <c r="D103" t="s">
        <v>217</v>
      </c>
      <c r="E103" t="s">
        <v>78</v>
      </c>
      <c r="F103" t="s">
        <v>19</v>
      </c>
      <c r="G103" t="s">
        <v>46</v>
      </c>
      <c r="H103" t="s">
        <v>179</v>
      </c>
      <c r="I103" t="s">
        <v>236</v>
      </c>
      <c r="J103" t="s">
        <v>49</v>
      </c>
      <c r="K103" t="s">
        <v>24</v>
      </c>
      <c r="L103">
        <v>18</v>
      </c>
      <c r="M103">
        <v>2240</v>
      </c>
      <c r="N103">
        <v>0.15</v>
      </c>
      <c r="O103">
        <v>1680</v>
      </c>
    </row>
    <row r="104" spans="1:15" x14ac:dyDescent="0.25">
      <c r="A104" t="s">
        <v>237</v>
      </c>
      <c r="B104">
        <v>45357</v>
      </c>
      <c r="C104" t="s">
        <v>56</v>
      </c>
      <c r="D104" t="s">
        <v>72</v>
      </c>
      <c r="E104" t="s">
        <v>91</v>
      </c>
      <c r="F104" t="s">
        <v>52</v>
      </c>
      <c r="G104" t="s">
        <v>59</v>
      </c>
      <c r="H104" t="s">
        <v>69</v>
      </c>
      <c r="I104" t="s">
        <v>70</v>
      </c>
      <c r="J104" t="s">
        <v>49</v>
      </c>
      <c r="K104" t="s">
        <v>35</v>
      </c>
      <c r="L104">
        <v>4</v>
      </c>
      <c r="M104">
        <v>29680</v>
      </c>
      <c r="N104">
        <v>0.08</v>
      </c>
      <c r="O104">
        <v>22840</v>
      </c>
    </row>
    <row r="105" spans="1:15" x14ac:dyDescent="0.25">
      <c r="A105" t="s">
        <v>238</v>
      </c>
      <c r="B105">
        <v>45357</v>
      </c>
      <c r="C105" t="s">
        <v>42</v>
      </c>
      <c r="D105" t="s">
        <v>43</v>
      </c>
      <c r="E105" t="s">
        <v>97</v>
      </c>
      <c r="F105" t="s">
        <v>19</v>
      </c>
      <c r="G105" t="s">
        <v>59</v>
      </c>
      <c r="H105" t="s">
        <v>60</v>
      </c>
      <c r="I105" t="s">
        <v>61</v>
      </c>
      <c r="J105" t="s">
        <v>40</v>
      </c>
      <c r="K105" t="s">
        <v>24</v>
      </c>
      <c r="L105">
        <v>4</v>
      </c>
      <c r="M105">
        <v>25750</v>
      </c>
      <c r="N105">
        <v>0.1</v>
      </c>
      <c r="O105">
        <v>15550</v>
      </c>
    </row>
    <row r="106" spans="1:15" x14ac:dyDescent="0.25">
      <c r="A106" t="s">
        <v>239</v>
      </c>
      <c r="B106">
        <v>45357</v>
      </c>
      <c r="C106" t="s">
        <v>16</v>
      </c>
      <c r="D106" t="s">
        <v>153</v>
      </c>
      <c r="E106" t="s">
        <v>18</v>
      </c>
      <c r="F106" t="s">
        <v>19</v>
      </c>
      <c r="G106" t="s">
        <v>20</v>
      </c>
      <c r="H106" t="s">
        <v>21</v>
      </c>
      <c r="I106" t="s">
        <v>65</v>
      </c>
      <c r="J106" t="s">
        <v>49</v>
      </c>
      <c r="K106" t="s">
        <v>24</v>
      </c>
      <c r="L106">
        <v>4</v>
      </c>
      <c r="M106">
        <v>9000</v>
      </c>
      <c r="N106">
        <v>0.08</v>
      </c>
      <c r="O106">
        <v>5060</v>
      </c>
    </row>
    <row r="107" spans="1:15" x14ac:dyDescent="0.25">
      <c r="A107" t="s">
        <v>240</v>
      </c>
      <c r="B107">
        <v>45357</v>
      </c>
      <c r="C107" t="s">
        <v>56</v>
      </c>
      <c r="D107" t="s">
        <v>103</v>
      </c>
      <c r="E107" t="s">
        <v>91</v>
      </c>
      <c r="F107" t="s">
        <v>92</v>
      </c>
      <c r="G107" t="s">
        <v>46</v>
      </c>
      <c r="H107" t="s">
        <v>47</v>
      </c>
      <c r="I107" t="s">
        <v>48</v>
      </c>
      <c r="J107" t="s">
        <v>49</v>
      </c>
      <c r="K107" t="s">
        <v>24</v>
      </c>
      <c r="L107">
        <v>43</v>
      </c>
      <c r="M107">
        <v>1840</v>
      </c>
      <c r="N107">
        <v>0.1</v>
      </c>
      <c r="O107">
        <v>1180</v>
      </c>
    </row>
    <row r="108" spans="1:15" x14ac:dyDescent="0.25">
      <c r="A108" t="s">
        <v>241</v>
      </c>
      <c r="B108">
        <v>45358</v>
      </c>
      <c r="C108" t="s">
        <v>37</v>
      </c>
      <c r="D108" t="s">
        <v>67</v>
      </c>
      <c r="E108" t="s">
        <v>39</v>
      </c>
      <c r="F108" t="s">
        <v>92</v>
      </c>
      <c r="G108" t="s">
        <v>27</v>
      </c>
      <c r="H108" t="s">
        <v>53</v>
      </c>
      <c r="I108" t="s">
        <v>54</v>
      </c>
      <c r="J108" t="s">
        <v>40</v>
      </c>
      <c r="K108" t="s">
        <v>24</v>
      </c>
      <c r="L108">
        <v>3</v>
      </c>
      <c r="M108">
        <v>43530</v>
      </c>
      <c r="N108">
        <v>0</v>
      </c>
      <c r="O108">
        <v>31840</v>
      </c>
    </row>
    <row r="109" spans="1:15" x14ac:dyDescent="0.25">
      <c r="A109" t="s">
        <v>242</v>
      </c>
      <c r="B109">
        <v>45359</v>
      </c>
      <c r="C109" t="s">
        <v>16</v>
      </c>
      <c r="D109" t="s">
        <v>17</v>
      </c>
      <c r="E109" t="s">
        <v>32</v>
      </c>
      <c r="F109" t="s">
        <v>19</v>
      </c>
      <c r="G109" t="s">
        <v>20</v>
      </c>
      <c r="H109" t="s">
        <v>33</v>
      </c>
      <c r="I109" t="s">
        <v>34</v>
      </c>
      <c r="J109" t="s">
        <v>23</v>
      </c>
      <c r="K109" t="s">
        <v>24</v>
      </c>
      <c r="L109">
        <v>2</v>
      </c>
      <c r="M109">
        <v>57290</v>
      </c>
      <c r="N109">
        <v>0.05</v>
      </c>
      <c r="O109">
        <v>40040</v>
      </c>
    </row>
    <row r="110" spans="1:15" x14ac:dyDescent="0.25">
      <c r="A110" t="s">
        <v>243</v>
      </c>
      <c r="B110">
        <v>45359</v>
      </c>
      <c r="C110" t="s">
        <v>37</v>
      </c>
      <c r="D110" t="s">
        <v>161</v>
      </c>
      <c r="E110" t="s">
        <v>68</v>
      </c>
      <c r="F110" t="s">
        <v>92</v>
      </c>
      <c r="G110" t="s">
        <v>20</v>
      </c>
      <c r="H110" t="s">
        <v>21</v>
      </c>
      <c r="I110" t="s">
        <v>22</v>
      </c>
      <c r="J110" t="s">
        <v>23</v>
      </c>
      <c r="K110" t="s">
        <v>24</v>
      </c>
      <c r="L110">
        <v>53</v>
      </c>
      <c r="M110">
        <v>1840</v>
      </c>
      <c r="N110">
        <v>0.12</v>
      </c>
      <c r="O110">
        <v>1140</v>
      </c>
    </row>
    <row r="111" spans="1:15" x14ac:dyDescent="0.25">
      <c r="A111" t="s">
        <v>244</v>
      </c>
      <c r="B111">
        <v>45359</v>
      </c>
      <c r="C111" t="s">
        <v>56</v>
      </c>
      <c r="D111" t="s">
        <v>57</v>
      </c>
      <c r="E111" t="s">
        <v>58</v>
      </c>
      <c r="F111" t="s">
        <v>19</v>
      </c>
      <c r="G111" t="s">
        <v>27</v>
      </c>
      <c r="H111" t="s">
        <v>79</v>
      </c>
      <c r="I111" t="s">
        <v>80</v>
      </c>
      <c r="J111" t="s">
        <v>49</v>
      </c>
      <c r="K111" t="s">
        <v>24</v>
      </c>
      <c r="L111">
        <v>4</v>
      </c>
      <c r="M111">
        <v>4470</v>
      </c>
      <c r="N111">
        <v>0.12</v>
      </c>
      <c r="O111">
        <v>2700</v>
      </c>
    </row>
    <row r="112" spans="1:15" x14ac:dyDescent="0.25">
      <c r="A112" t="s">
        <v>245</v>
      </c>
      <c r="B112">
        <v>45359</v>
      </c>
      <c r="C112" t="s">
        <v>37</v>
      </c>
      <c r="D112" t="s">
        <v>166</v>
      </c>
      <c r="E112" t="s">
        <v>39</v>
      </c>
      <c r="F112" t="s">
        <v>45</v>
      </c>
      <c r="G112" t="s">
        <v>20</v>
      </c>
      <c r="H112" t="s">
        <v>109</v>
      </c>
      <c r="I112" t="s">
        <v>159</v>
      </c>
      <c r="J112" t="s">
        <v>23</v>
      </c>
      <c r="K112" t="s">
        <v>24</v>
      </c>
      <c r="L112">
        <v>10</v>
      </c>
      <c r="M112">
        <v>18100</v>
      </c>
      <c r="N112">
        <v>0.15</v>
      </c>
      <c r="O112">
        <v>12170</v>
      </c>
    </row>
    <row r="113" spans="1:15" x14ac:dyDescent="0.25">
      <c r="A113" t="s">
        <v>246</v>
      </c>
      <c r="B113">
        <v>45359</v>
      </c>
      <c r="C113" t="s">
        <v>56</v>
      </c>
      <c r="D113" t="s">
        <v>57</v>
      </c>
      <c r="E113" t="s">
        <v>58</v>
      </c>
      <c r="F113" t="s">
        <v>19</v>
      </c>
      <c r="G113" t="s">
        <v>27</v>
      </c>
      <c r="H113" t="s">
        <v>28</v>
      </c>
      <c r="I113" t="s">
        <v>141</v>
      </c>
      <c r="J113" t="s">
        <v>40</v>
      </c>
      <c r="K113" t="s">
        <v>24</v>
      </c>
      <c r="L113">
        <v>8</v>
      </c>
      <c r="M113">
        <v>15680</v>
      </c>
      <c r="N113">
        <v>0.15</v>
      </c>
      <c r="O113">
        <v>11550</v>
      </c>
    </row>
    <row r="114" spans="1:15" x14ac:dyDescent="0.25">
      <c r="A114" t="s">
        <v>247</v>
      </c>
      <c r="B114">
        <v>45359</v>
      </c>
      <c r="C114" t="s">
        <v>42</v>
      </c>
      <c r="D114" t="s">
        <v>43</v>
      </c>
      <c r="E114" t="s">
        <v>44</v>
      </c>
      <c r="F114" t="s">
        <v>52</v>
      </c>
      <c r="G114" t="s">
        <v>46</v>
      </c>
      <c r="H114" t="s">
        <v>179</v>
      </c>
      <c r="I114" t="s">
        <v>221</v>
      </c>
      <c r="J114" t="s">
        <v>23</v>
      </c>
      <c r="K114" t="s">
        <v>24</v>
      </c>
      <c r="L114">
        <v>37</v>
      </c>
      <c r="M114">
        <v>1720</v>
      </c>
      <c r="N114">
        <v>0</v>
      </c>
      <c r="O114">
        <v>980</v>
      </c>
    </row>
    <row r="115" spans="1:15" x14ac:dyDescent="0.25">
      <c r="A115" t="s">
        <v>248</v>
      </c>
      <c r="B115">
        <v>45363</v>
      </c>
      <c r="C115" t="s">
        <v>56</v>
      </c>
      <c r="D115" t="s">
        <v>72</v>
      </c>
      <c r="E115" t="s">
        <v>58</v>
      </c>
      <c r="F115" t="s">
        <v>52</v>
      </c>
      <c r="G115" t="s">
        <v>59</v>
      </c>
      <c r="H115" t="s">
        <v>154</v>
      </c>
      <c r="I115" t="s">
        <v>249</v>
      </c>
      <c r="J115" t="s">
        <v>49</v>
      </c>
      <c r="K115" t="s">
        <v>24</v>
      </c>
      <c r="L115">
        <v>6</v>
      </c>
      <c r="M115">
        <v>6690</v>
      </c>
      <c r="N115">
        <v>0</v>
      </c>
      <c r="O115">
        <v>4320</v>
      </c>
    </row>
    <row r="116" spans="1:15" x14ac:dyDescent="0.25">
      <c r="A116" t="s">
        <v>250</v>
      </c>
      <c r="B116">
        <v>45363</v>
      </c>
      <c r="C116" t="s">
        <v>16</v>
      </c>
      <c r="D116" t="s">
        <v>153</v>
      </c>
      <c r="E116" t="s">
        <v>18</v>
      </c>
      <c r="F116" t="s">
        <v>52</v>
      </c>
      <c r="G116" t="s">
        <v>27</v>
      </c>
      <c r="H116" t="s">
        <v>53</v>
      </c>
      <c r="I116" t="s">
        <v>54</v>
      </c>
      <c r="J116" t="s">
        <v>49</v>
      </c>
      <c r="K116" t="s">
        <v>119</v>
      </c>
      <c r="L116">
        <v>1</v>
      </c>
      <c r="M116">
        <v>43200</v>
      </c>
      <c r="N116">
        <v>0.25</v>
      </c>
      <c r="O116">
        <v>31020</v>
      </c>
    </row>
    <row r="117" spans="1:15" x14ac:dyDescent="0.25">
      <c r="A117" t="s">
        <v>251</v>
      </c>
      <c r="B117">
        <v>45364</v>
      </c>
      <c r="C117" t="s">
        <v>16</v>
      </c>
      <c r="D117" t="s">
        <v>191</v>
      </c>
      <c r="E117" t="s">
        <v>26</v>
      </c>
      <c r="F117" t="s">
        <v>92</v>
      </c>
      <c r="G117" t="s">
        <v>27</v>
      </c>
      <c r="H117" t="s">
        <v>214</v>
      </c>
      <c r="I117" t="s">
        <v>252</v>
      </c>
      <c r="J117" t="s">
        <v>23</v>
      </c>
      <c r="K117" t="s">
        <v>94</v>
      </c>
      <c r="L117">
        <v>10</v>
      </c>
      <c r="M117">
        <v>14630</v>
      </c>
      <c r="N117">
        <v>0</v>
      </c>
      <c r="O117">
        <v>8300</v>
      </c>
    </row>
    <row r="118" spans="1:15" x14ac:dyDescent="0.25">
      <c r="A118" t="s">
        <v>253</v>
      </c>
      <c r="B118">
        <v>45364</v>
      </c>
      <c r="C118" t="s">
        <v>42</v>
      </c>
      <c r="D118" t="s">
        <v>146</v>
      </c>
      <c r="E118" t="s">
        <v>44</v>
      </c>
      <c r="F118" t="s">
        <v>19</v>
      </c>
      <c r="G118" t="s">
        <v>27</v>
      </c>
      <c r="H118" t="s">
        <v>79</v>
      </c>
      <c r="I118" t="s">
        <v>80</v>
      </c>
      <c r="J118" t="s">
        <v>23</v>
      </c>
      <c r="K118" t="s">
        <v>24</v>
      </c>
      <c r="L118">
        <v>15</v>
      </c>
      <c r="M118">
        <v>4310</v>
      </c>
      <c r="N118">
        <v>0</v>
      </c>
      <c r="O118">
        <v>3310</v>
      </c>
    </row>
    <row r="119" spans="1:15" x14ac:dyDescent="0.25">
      <c r="A119" t="s">
        <v>254</v>
      </c>
      <c r="B119">
        <v>45364</v>
      </c>
      <c r="C119" t="s">
        <v>56</v>
      </c>
      <c r="D119" t="s">
        <v>127</v>
      </c>
      <c r="E119" t="s">
        <v>91</v>
      </c>
      <c r="F119" t="s">
        <v>92</v>
      </c>
      <c r="G119" t="s">
        <v>27</v>
      </c>
      <c r="H119" t="s">
        <v>214</v>
      </c>
      <c r="I119" t="s">
        <v>215</v>
      </c>
      <c r="J119" t="s">
        <v>40</v>
      </c>
      <c r="K119" t="s">
        <v>24</v>
      </c>
      <c r="L119">
        <v>2</v>
      </c>
      <c r="M119">
        <v>36190</v>
      </c>
      <c r="N119">
        <v>0.2</v>
      </c>
      <c r="O119">
        <v>23610</v>
      </c>
    </row>
    <row r="120" spans="1:15" x14ac:dyDescent="0.25">
      <c r="A120" t="s">
        <v>255</v>
      </c>
      <c r="B120">
        <v>45365</v>
      </c>
      <c r="C120" t="s">
        <v>42</v>
      </c>
      <c r="D120" t="s">
        <v>130</v>
      </c>
      <c r="E120" t="s">
        <v>64</v>
      </c>
      <c r="F120" t="s">
        <v>19</v>
      </c>
      <c r="G120" t="s">
        <v>20</v>
      </c>
      <c r="H120" t="s">
        <v>33</v>
      </c>
      <c r="I120" t="s">
        <v>139</v>
      </c>
      <c r="J120" t="s">
        <v>40</v>
      </c>
      <c r="K120" t="s">
        <v>24</v>
      </c>
      <c r="L120">
        <v>3</v>
      </c>
      <c r="M120">
        <v>66760</v>
      </c>
      <c r="N120">
        <v>0.12</v>
      </c>
      <c r="O120">
        <v>42570</v>
      </c>
    </row>
    <row r="121" spans="1:15" x14ac:dyDescent="0.25">
      <c r="A121" t="s">
        <v>256</v>
      </c>
      <c r="B121">
        <v>45365</v>
      </c>
      <c r="C121" t="s">
        <v>37</v>
      </c>
      <c r="D121" t="s">
        <v>161</v>
      </c>
      <c r="E121" t="s">
        <v>39</v>
      </c>
      <c r="F121" t="s">
        <v>92</v>
      </c>
      <c r="G121" t="s">
        <v>27</v>
      </c>
      <c r="H121" t="s">
        <v>28</v>
      </c>
      <c r="I121" t="s">
        <v>29</v>
      </c>
      <c r="J121" t="s">
        <v>40</v>
      </c>
      <c r="K121" t="s">
        <v>24</v>
      </c>
      <c r="L121">
        <v>8</v>
      </c>
      <c r="M121">
        <v>27160</v>
      </c>
      <c r="N121">
        <v>0.2</v>
      </c>
      <c r="O121">
        <v>16490</v>
      </c>
    </row>
    <row r="122" spans="1:15" x14ac:dyDescent="0.25">
      <c r="A122" t="s">
        <v>257</v>
      </c>
      <c r="B122">
        <v>45365</v>
      </c>
      <c r="C122" t="s">
        <v>42</v>
      </c>
      <c r="D122" t="s">
        <v>43</v>
      </c>
      <c r="E122" t="s">
        <v>64</v>
      </c>
      <c r="F122" t="s">
        <v>52</v>
      </c>
      <c r="G122" t="s">
        <v>27</v>
      </c>
      <c r="H122" t="s">
        <v>79</v>
      </c>
      <c r="I122" t="s">
        <v>80</v>
      </c>
      <c r="J122" t="s">
        <v>23</v>
      </c>
      <c r="K122" t="s">
        <v>24</v>
      </c>
      <c r="L122">
        <v>3</v>
      </c>
      <c r="M122">
        <v>4610</v>
      </c>
      <c r="N122">
        <v>0.2</v>
      </c>
      <c r="O122">
        <v>2800</v>
      </c>
    </row>
    <row r="123" spans="1:15" x14ac:dyDescent="0.25">
      <c r="A123" t="s">
        <v>258</v>
      </c>
      <c r="B123">
        <v>45366</v>
      </c>
      <c r="C123" t="s">
        <v>42</v>
      </c>
      <c r="D123" t="s">
        <v>130</v>
      </c>
      <c r="E123" t="s">
        <v>44</v>
      </c>
      <c r="F123" t="s">
        <v>19</v>
      </c>
      <c r="G123" t="s">
        <v>46</v>
      </c>
      <c r="H123" t="s">
        <v>47</v>
      </c>
      <c r="I123" t="s">
        <v>259</v>
      </c>
      <c r="J123" t="s">
        <v>23</v>
      </c>
      <c r="K123" t="s">
        <v>24</v>
      </c>
      <c r="L123">
        <v>7</v>
      </c>
      <c r="M123">
        <v>2910</v>
      </c>
      <c r="N123">
        <v>0.1</v>
      </c>
      <c r="O123">
        <v>2080</v>
      </c>
    </row>
    <row r="124" spans="1:15" x14ac:dyDescent="0.25">
      <c r="A124" t="s">
        <v>260</v>
      </c>
      <c r="B124">
        <v>45367</v>
      </c>
      <c r="C124" t="s">
        <v>37</v>
      </c>
      <c r="D124" t="s">
        <v>161</v>
      </c>
      <c r="E124" t="s">
        <v>68</v>
      </c>
      <c r="F124" t="s">
        <v>19</v>
      </c>
      <c r="G124" t="s">
        <v>46</v>
      </c>
      <c r="H124" t="s">
        <v>179</v>
      </c>
      <c r="I124" t="s">
        <v>180</v>
      </c>
      <c r="J124" t="s">
        <v>23</v>
      </c>
      <c r="K124" t="s">
        <v>24</v>
      </c>
      <c r="L124">
        <v>10</v>
      </c>
      <c r="M124">
        <v>3620</v>
      </c>
      <c r="N124">
        <v>0.15</v>
      </c>
      <c r="O124">
        <v>2220</v>
      </c>
    </row>
    <row r="125" spans="1:15" x14ac:dyDescent="0.25">
      <c r="A125" t="s">
        <v>261</v>
      </c>
      <c r="B125">
        <v>45368</v>
      </c>
      <c r="C125" t="s">
        <v>56</v>
      </c>
      <c r="D125" t="s">
        <v>57</v>
      </c>
      <c r="E125" t="s">
        <v>134</v>
      </c>
      <c r="F125" t="s">
        <v>19</v>
      </c>
      <c r="G125" t="s">
        <v>27</v>
      </c>
      <c r="H125" t="s">
        <v>79</v>
      </c>
      <c r="I125" t="s">
        <v>262</v>
      </c>
      <c r="J125" t="s">
        <v>40</v>
      </c>
      <c r="K125" t="s">
        <v>24</v>
      </c>
      <c r="L125">
        <v>33</v>
      </c>
      <c r="M125">
        <v>2700</v>
      </c>
      <c r="N125">
        <v>0.08</v>
      </c>
      <c r="O125">
        <v>1600</v>
      </c>
    </row>
    <row r="126" spans="1:15" x14ac:dyDescent="0.25">
      <c r="A126" t="s">
        <v>263</v>
      </c>
      <c r="B126">
        <v>45369</v>
      </c>
      <c r="C126" t="s">
        <v>16</v>
      </c>
      <c r="D126" t="s">
        <v>82</v>
      </c>
      <c r="E126" t="s">
        <v>18</v>
      </c>
      <c r="F126" t="s">
        <v>92</v>
      </c>
      <c r="G126" t="s">
        <v>59</v>
      </c>
      <c r="H126" t="s">
        <v>60</v>
      </c>
      <c r="I126" t="s">
        <v>200</v>
      </c>
      <c r="J126" t="s">
        <v>49</v>
      </c>
      <c r="K126" t="s">
        <v>24</v>
      </c>
      <c r="L126">
        <v>23</v>
      </c>
      <c r="M126">
        <v>9160</v>
      </c>
      <c r="N126">
        <v>0.08</v>
      </c>
      <c r="O126">
        <v>5540</v>
      </c>
    </row>
    <row r="127" spans="1:15" x14ac:dyDescent="0.25">
      <c r="A127" t="s">
        <v>264</v>
      </c>
      <c r="B127">
        <v>45369</v>
      </c>
      <c r="C127" t="s">
        <v>42</v>
      </c>
      <c r="D127" t="s">
        <v>265</v>
      </c>
      <c r="E127" t="s">
        <v>97</v>
      </c>
      <c r="F127" t="s">
        <v>45</v>
      </c>
      <c r="G127" t="s">
        <v>46</v>
      </c>
      <c r="H127" t="s">
        <v>100</v>
      </c>
      <c r="I127" t="s">
        <v>177</v>
      </c>
      <c r="J127" t="s">
        <v>23</v>
      </c>
      <c r="K127" t="s">
        <v>24</v>
      </c>
      <c r="L127">
        <v>8</v>
      </c>
      <c r="M127">
        <v>2680</v>
      </c>
      <c r="N127">
        <v>0.2</v>
      </c>
      <c r="O127">
        <v>2010</v>
      </c>
    </row>
    <row r="128" spans="1:15" x14ac:dyDescent="0.25">
      <c r="A128" t="s">
        <v>266</v>
      </c>
      <c r="B128">
        <v>45369</v>
      </c>
      <c r="C128" t="s">
        <v>56</v>
      </c>
      <c r="D128" t="s">
        <v>57</v>
      </c>
      <c r="E128" t="s">
        <v>58</v>
      </c>
      <c r="F128" t="s">
        <v>52</v>
      </c>
      <c r="G128" t="s">
        <v>27</v>
      </c>
      <c r="H128" t="s">
        <v>53</v>
      </c>
      <c r="I128" t="s">
        <v>131</v>
      </c>
      <c r="J128" t="s">
        <v>49</v>
      </c>
      <c r="K128" t="s">
        <v>24</v>
      </c>
      <c r="L128">
        <v>3</v>
      </c>
      <c r="M128">
        <v>35940</v>
      </c>
      <c r="N128">
        <v>0.08</v>
      </c>
      <c r="O128">
        <v>25380</v>
      </c>
    </row>
    <row r="129" spans="1:15" x14ac:dyDescent="0.25">
      <c r="A129" t="s">
        <v>267</v>
      </c>
      <c r="B129">
        <v>45370</v>
      </c>
      <c r="C129" t="s">
        <v>76</v>
      </c>
      <c r="D129" t="s">
        <v>217</v>
      </c>
      <c r="E129" t="s">
        <v>78</v>
      </c>
      <c r="F129" t="s">
        <v>92</v>
      </c>
      <c r="G129" t="s">
        <v>59</v>
      </c>
      <c r="H129" t="s">
        <v>73</v>
      </c>
      <c r="I129" t="s">
        <v>74</v>
      </c>
      <c r="J129" t="s">
        <v>40</v>
      </c>
      <c r="K129" t="s">
        <v>24</v>
      </c>
      <c r="L129">
        <v>3</v>
      </c>
      <c r="M129">
        <v>44030</v>
      </c>
      <c r="N129">
        <v>0.05</v>
      </c>
      <c r="O129">
        <v>25550</v>
      </c>
    </row>
    <row r="130" spans="1:15" x14ac:dyDescent="0.25">
      <c r="A130" t="s">
        <v>268</v>
      </c>
      <c r="B130">
        <v>45370</v>
      </c>
      <c r="C130" t="s">
        <v>42</v>
      </c>
      <c r="D130" t="s">
        <v>123</v>
      </c>
      <c r="E130" t="s">
        <v>44</v>
      </c>
      <c r="F130" t="s">
        <v>19</v>
      </c>
      <c r="G130" t="s">
        <v>27</v>
      </c>
      <c r="H130" t="s">
        <v>214</v>
      </c>
      <c r="I130" t="s">
        <v>215</v>
      </c>
      <c r="J130" t="s">
        <v>23</v>
      </c>
      <c r="K130" t="s">
        <v>24</v>
      </c>
      <c r="L130">
        <v>2</v>
      </c>
      <c r="M130">
        <v>36250</v>
      </c>
      <c r="N130">
        <v>0.12</v>
      </c>
      <c r="O130">
        <v>21530</v>
      </c>
    </row>
    <row r="131" spans="1:15" x14ac:dyDescent="0.25">
      <c r="A131" t="s">
        <v>269</v>
      </c>
      <c r="B131">
        <v>45370</v>
      </c>
      <c r="C131" t="s">
        <v>37</v>
      </c>
      <c r="D131" t="s">
        <v>213</v>
      </c>
      <c r="E131" t="s">
        <v>68</v>
      </c>
      <c r="F131" t="s">
        <v>19</v>
      </c>
      <c r="G131" t="s">
        <v>46</v>
      </c>
      <c r="H131" t="s">
        <v>179</v>
      </c>
      <c r="I131" t="s">
        <v>236</v>
      </c>
      <c r="J131" t="s">
        <v>49</v>
      </c>
      <c r="K131" t="s">
        <v>24</v>
      </c>
      <c r="L131">
        <v>32</v>
      </c>
      <c r="M131">
        <v>2130</v>
      </c>
      <c r="N131">
        <v>0.08</v>
      </c>
      <c r="O131">
        <v>1590</v>
      </c>
    </row>
    <row r="132" spans="1:15" x14ac:dyDescent="0.25">
      <c r="A132" t="s">
        <v>270</v>
      </c>
      <c r="B132">
        <v>45370</v>
      </c>
      <c r="C132" t="s">
        <v>16</v>
      </c>
      <c r="D132" t="s">
        <v>191</v>
      </c>
      <c r="E132" t="s">
        <v>26</v>
      </c>
      <c r="F132" t="s">
        <v>52</v>
      </c>
      <c r="G132" t="s">
        <v>27</v>
      </c>
      <c r="H132" t="s">
        <v>53</v>
      </c>
      <c r="I132" t="s">
        <v>54</v>
      </c>
      <c r="J132" t="s">
        <v>23</v>
      </c>
      <c r="K132" t="s">
        <v>119</v>
      </c>
      <c r="L132">
        <v>2</v>
      </c>
      <c r="M132">
        <v>40640</v>
      </c>
      <c r="N132">
        <v>0.1</v>
      </c>
      <c r="O132">
        <v>29210</v>
      </c>
    </row>
    <row r="133" spans="1:15" x14ac:dyDescent="0.25">
      <c r="A133" t="s">
        <v>271</v>
      </c>
      <c r="B133">
        <v>45371</v>
      </c>
      <c r="C133" t="s">
        <v>76</v>
      </c>
      <c r="D133" t="s">
        <v>217</v>
      </c>
      <c r="E133" t="s">
        <v>78</v>
      </c>
      <c r="F133" t="s">
        <v>52</v>
      </c>
      <c r="G133" t="s">
        <v>46</v>
      </c>
      <c r="H133" t="s">
        <v>179</v>
      </c>
      <c r="I133" t="s">
        <v>236</v>
      </c>
      <c r="J133" t="s">
        <v>23</v>
      </c>
      <c r="K133" t="s">
        <v>24</v>
      </c>
      <c r="L133">
        <v>22</v>
      </c>
      <c r="M133">
        <v>2150</v>
      </c>
      <c r="N133">
        <v>0.15</v>
      </c>
      <c r="O133">
        <v>1350</v>
      </c>
    </row>
    <row r="134" spans="1:15" x14ac:dyDescent="0.25">
      <c r="A134" t="s">
        <v>272</v>
      </c>
      <c r="B134">
        <v>45371</v>
      </c>
      <c r="C134" t="s">
        <v>56</v>
      </c>
      <c r="D134" t="s">
        <v>133</v>
      </c>
      <c r="E134" t="s">
        <v>91</v>
      </c>
      <c r="F134" t="s">
        <v>19</v>
      </c>
      <c r="G134" t="s">
        <v>46</v>
      </c>
      <c r="H134" t="s">
        <v>47</v>
      </c>
      <c r="I134" t="s">
        <v>48</v>
      </c>
      <c r="J134" t="s">
        <v>23</v>
      </c>
      <c r="K134" t="s">
        <v>24</v>
      </c>
      <c r="L134">
        <v>32</v>
      </c>
      <c r="M134">
        <v>1780</v>
      </c>
      <c r="N134">
        <v>0.2</v>
      </c>
      <c r="O134">
        <v>1290</v>
      </c>
    </row>
    <row r="135" spans="1:15" x14ac:dyDescent="0.25">
      <c r="A135" t="s">
        <v>273</v>
      </c>
      <c r="B135">
        <v>45371</v>
      </c>
      <c r="C135" t="s">
        <v>42</v>
      </c>
      <c r="D135" t="s">
        <v>123</v>
      </c>
      <c r="E135" t="s">
        <v>64</v>
      </c>
      <c r="F135" t="s">
        <v>92</v>
      </c>
      <c r="G135" t="s">
        <v>20</v>
      </c>
      <c r="H135" t="s">
        <v>87</v>
      </c>
      <c r="I135" t="s">
        <v>88</v>
      </c>
      <c r="J135" t="s">
        <v>49</v>
      </c>
      <c r="K135" t="s">
        <v>24</v>
      </c>
      <c r="L135">
        <v>2</v>
      </c>
      <c r="M135">
        <v>30590</v>
      </c>
      <c r="N135">
        <v>0.15</v>
      </c>
      <c r="O135">
        <v>20580</v>
      </c>
    </row>
    <row r="136" spans="1:15" x14ac:dyDescent="0.25">
      <c r="A136" t="s">
        <v>274</v>
      </c>
      <c r="B136">
        <v>45372</v>
      </c>
      <c r="C136" t="s">
        <v>56</v>
      </c>
      <c r="D136" t="s">
        <v>72</v>
      </c>
      <c r="E136" t="s">
        <v>134</v>
      </c>
      <c r="F136" t="s">
        <v>92</v>
      </c>
      <c r="G136" t="s">
        <v>27</v>
      </c>
      <c r="H136" t="s">
        <v>79</v>
      </c>
      <c r="I136" t="s">
        <v>262</v>
      </c>
      <c r="J136" t="s">
        <v>23</v>
      </c>
      <c r="K136" t="s">
        <v>24</v>
      </c>
      <c r="L136">
        <v>77</v>
      </c>
      <c r="M136">
        <v>2800</v>
      </c>
      <c r="N136">
        <v>0.05</v>
      </c>
      <c r="O136">
        <v>2010</v>
      </c>
    </row>
    <row r="137" spans="1:15" x14ac:dyDescent="0.25">
      <c r="A137" t="s">
        <v>275</v>
      </c>
      <c r="B137">
        <v>45372</v>
      </c>
      <c r="C137" t="s">
        <v>16</v>
      </c>
      <c r="D137" t="s">
        <v>153</v>
      </c>
      <c r="E137" t="s">
        <v>32</v>
      </c>
      <c r="F137" t="s">
        <v>52</v>
      </c>
      <c r="G137" t="s">
        <v>20</v>
      </c>
      <c r="H137" t="s">
        <v>109</v>
      </c>
      <c r="I137" t="s">
        <v>171</v>
      </c>
      <c r="J137" t="s">
        <v>49</v>
      </c>
      <c r="K137" t="s">
        <v>94</v>
      </c>
      <c r="L137">
        <v>8</v>
      </c>
      <c r="M137">
        <v>23110</v>
      </c>
      <c r="N137">
        <v>0.2</v>
      </c>
      <c r="O137">
        <v>17760</v>
      </c>
    </row>
    <row r="138" spans="1:15" x14ac:dyDescent="0.25">
      <c r="A138" t="s">
        <v>276</v>
      </c>
      <c r="B138">
        <v>45373</v>
      </c>
      <c r="C138" t="s">
        <v>16</v>
      </c>
      <c r="D138" t="s">
        <v>153</v>
      </c>
      <c r="E138" t="s">
        <v>26</v>
      </c>
      <c r="F138" t="s">
        <v>19</v>
      </c>
      <c r="G138" t="s">
        <v>59</v>
      </c>
      <c r="H138" t="s">
        <v>60</v>
      </c>
      <c r="I138" t="s">
        <v>61</v>
      </c>
      <c r="J138" t="s">
        <v>23</v>
      </c>
      <c r="K138" t="s">
        <v>24</v>
      </c>
      <c r="L138">
        <v>5</v>
      </c>
      <c r="M138">
        <v>25850</v>
      </c>
      <c r="N138">
        <v>0.08</v>
      </c>
      <c r="O138">
        <v>19280</v>
      </c>
    </row>
    <row r="139" spans="1:15" x14ac:dyDescent="0.25">
      <c r="A139" t="s">
        <v>277</v>
      </c>
      <c r="B139">
        <v>45373</v>
      </c>
      <c r="C139" t="s">
        <v>76</v>
      </c>
      <c r="D139" t="s">
        <v>125</v>
      </c>
      <c r="E139" t="s">
        <v>170</v>
      </c>
      <c r="F139" t="s">
        <v>19</v>
      </c>
      <c r="G139" t="s">
        <v>20</v>
      </c>
      <c r="H139" t="s">
        <v>109</v>
      </c>
      <c r="I139" t="s">
        <v>171</v>
      </c>
      <c r="J139" t="s">
        <v>40</v>
      </c>
      <c r="K139" t="s">
        <v>24</v>
      </c>
      <c r="L139">
        <v>6</v>
      </c>
      <c r="M139">
        <v>22570</v>
      </c>
      <c r="N139">
        <v>0.18</v>
      </c>
      <c r="O139">
        <v>17210</v>
      </c>
    </row>
    <row r="140" spans="1:15" x14ac:dyDescent="0.25">
      <c r="A140" t="s">
        <v>278</v>
      </c>
      <c r="B140">
        <v>45373</v>
      </c>
      <c r="C140" t="s">
        <v>42</v>
      </c>
      <c r="D140" t="s">
        <v>130</v>
      </c>
      <c r="E140" t="s">
        <v>44</v>
      </c>
      <c r="F140" t="s">
        <v>45</v>
      </c>
      <c r="G140" t="s">
        <v>46</v>
      </c>
      <c r="H140" t="s">
        <v>100</v>
      </c>
      <c r="I140" t="s">
        <v>101</v>
      </c>
      <c r="J140" t="s">
        <v>23</v>
      </c>
      <c r="K140" t="s">
        <v>24</v>
      </c>
      <c r="L140">
        <v>43</v>
      </c>
      <c r="M140">
        <v>1950</v>
      </c>
      <c r="N140">
        <v>0</v>
      </c>
      <c r="O140">
        <v>1410</v>
      </c>
    </row>
    <row r="141" spans="1:15" x14ac:dyDescent="0.25">
      <c r="A141" t="s">
        <v>279</v>
      </c>
      <c r="B141">
        <v>45373</v>
      </c>
      <c r="C141" t="s">
        <v>56</v>
      </c>
      <c r="D141" t="s">
        <v>127</v>
      </c>
      <c r="E141" t="s">
        <v>134</v>
      </c>
      <c r="F141" t="s">
        <v>92</v>
      </c>
      <c r="G141" t="s">
        <v>46</v>
      </c>
      <c r="H141" t="s">
        <v>100</v>
      </c>
      <c r="I141" t="s">
        <v>101</v>
      </c>
      <c r="J141" t="s">
        <v>49</v>
      </c>
      <c r="K141" t="s">
        <v>119</v>
      </c>
      <c r="L141">
        <v>16</v>
      </c>
      <c r="M141">
        <v>2010</v>
      </c>
      <c r="N141">
        <v>0</v>
      </c>
      <c r="O141">
        <v>1170</v>
      </c>
    </row>
    <row r="142" spans="1:15" x14ac:dyDescent="0.25">
      <c r="A142" t="s">
        <v>280</v>
      </c>
      <c r="B142">
        <v>45375</v>
      </c>
      <c r="C142" t="s">
        <v>56</v>
      </c>
      <c r="D142" t="s">
        <v>127</v>
      </c>
      <c r="E142" t="s">
        <v>58</v>
      </c>
      <c r="F142" t="s">
        <v>92</v>
      </c>
      <c r="G142" t="s">
        <v>27</v>
      </c>
      <c r="H142" t="s">
        <v>79</v>
      </c>
      <c r="I142" t="s">
        <v>168</v>
      </c>
      <c r="J142" t="s">
        <v>23</v>
      </c>
      <c r="K142" t="s">
        <v>24</v>
      </c>
      <c r="L142">
        <v>14</v>
      </c>
      <c r="M142">
        <v>10050</v>
      </c>
      <c r="N142">
        <v>0</v>
      </c>
      <c r="O142">
        <v>7370</v>
      </c>
    </row>
    <row r="143" spans="1:15" x14ac:dyDescent="0.25">
      <c r="A143" t="s">
        <v>281</v>
      </c>
      <c r="B143">
        <v>45375</v>
      </c>
      <c r="C143" t="s">
        <v>76</v>
      </c>
      <c r="D143" t="s">
        <v>99</v>
      </c>
      <c r="E143" t="s">
        <v>170</v>
      </c>
      <c r="F143" t="s">
        <v>92</v>
      </c>
      <c r="G143" t="s">
        <v>59</v>
      </c>
      <c r="H143" t="s">
        <v>69</v>
      </c>
      <c r="I143" t="s">
        <v>70</v>
      </c>
      <c r="J143" t="s">
        <v>49</v>
      </c>
      <c r="K143" t="s">
        <v>24</v>
      </c>
      <c r="L143">
        <v>8</v>
      </c>
      <c r="M143">
        <v>28650</v>
      </c>
      <c r="N143">
        <v>0.2</v>
      </c>
      <c r="O143">
        <v>21940</v>
      </c>
    </row>
    <row r="144" spans="1:15" x14ac:dyDescent="0.25">
      <c r="A144" t="s">
        <v>282</v>
      </c>
      <c r="B144">
        <v>45375</v>
      </c>
      <c r="C144" t="s">
        <v>16</v>
      </c>
      <c r="D144" t="s">
        <v>31</v>
      </c>
      <c r="E144" t="s">
        <v>18</v>
      </c>
      <c r="F144" t="s">
        <v>52</v>
      </c>
      <c r="G144" t="s">
        <v>20</v>
      </c>
      <c r="H144" t="s">
        <v>33</v>
      </c>
      <c r="I144" t="s">
        <v>139</v>
      </c>
      <c r="J144" t="s">
        <v>23</v>
      </c>
      <c r="K144" t="s">
        <v>24</v>
      </c>
      <c r="L144">
        <v>2</v>
      </c>
      <c r="M144">
        <v>63550</v>
      </c>
      <c r="N144">
        <v>0</v>
      </c>
      <c r="O144">
        <v>43730</v>
      </c>
    </row>
    <row r="145" spans="1:15" x14ac:dyDescent="0.25">
      <c r="A145" t="s">
        <v>283</v>
      </c>
      <c r="B145">
        <v>45376</v>
      </c>
      <c r="C145" t="s">
        <v>42</v>
      </c>
      <c r="D145" t="s">
        <v>43</v>
      </c>
      <c r="E145" t="s">
        <v>64</v>
      </c>
      <c r="F145" t="s">
        <v>92</v>
      </c>
      <c r="G145" t="s">
        <v>46</v>
      </c>
      <c r="H145" t="s">
        <v>47</v>
      </c>
      <c r="I145" t="s">
        <v>48</v>
      </c>
      <c r="J145" t="s">
        <v>23</v>
      </c>
      <c r="K145" t="s">
        <v>35</v>
      </c>
      <c r="L145">
        <v>61</v>
      </c>
      <c r="M145">
        <v>1850</v>
      </c>
      <c r="N145">
        <v>0.12</v>
      </c>
      <c r="O145">
        <v>1330</v>
      </c>
    </row>
    <row r="146" spans="1:15" x14ac:dyDescent="0.25">
      <c r="A146" t="s">
        <v>284</v>
      </c>
      <c r="B146">
        <v>45376</v>
      </c>
      <c r="C146" t="s">
        <v>56</v>
      </c>
      <c r="D146" t="s">
        <v>133</v>
      </c>
      <c r="E146" t="s">
        <v>134</v>
      </c>
      <c r="F146" t="s">
        <v>19</v>
      </c>
      <c r="G146" t="s">
        <v>46</v>
      </c>
      <c r="H146" t="s">
        <v>179</v>
      </c>
      <c r="I146" t="s">
        <v>180</v>
      </c>
      <c r="J146" t="s">
        <v>23</v>
      </c>
      <c r="K146" t="s">
        <v>24</v>
      </c>
      <c r="L146">
        <v>4</v>
      </c>
      <c r="M146">
        <v>4040</v>
      </c>
      <c r="N146">
        <v>0.08</v>
      </c>
      <c r="O146">
        <v>2930</v>
      </c>
    </row>
    <row r="147" spans="1:15" x14ac:dyDescent="0.25">
      <c r="A147" t="s">
        <v>285</v>
      </c>
      <c r="B147">
        <v>45376</v>
      </c>
      <c r="C147" t="s">
        <v>16</v>
      </c>
      <c r="D147" t="s">
        <v>191</v>
      </c>
      <c r="E147" t="s">
        <v>18</v>
      </c>
      <c r="F147" t="s">
        <v>45</v>
      </c>
      <c r="G147" t="s">
        <v>20</v>
      </c>
      <c r="H147" t="s">
        <v>21</v>
      </c>
      <c r="I147" t="s">
        <v>22</v>
      </c>
      <c r="J147" t="s">
        <v>23</v>
      </c>
      <c r="K147" t="s">
        <v>94</v>
      </c>
      <c r="L147">
        <v>69</v>
      </c>
      <c r="M147">
        <v>1770</v>
      </c>
      <c r="N147">
        <v>0.05</v>
      </c>
      <c r="O147">
        <v>1370</v>
      </c>
    </row>
    <row r="148" spans="1:15" x14ac:dyDescent="0.25">
      <c r="A148" t="s">
        <v>286</v>
      </c>
      <c r="B148">
        <v>45377</v>
      </c>
      <c r="C148" t="s">
        <v>56</v>
      </c>
      <c r="D148" t="s">
        <v>57</v>
      </c>
      <c r="E148" t="s">
        <v>91</v>
      </c>
      <c r="F148" t="s">
        <v>92</v>
      </c>
      <c r="G148" t="s">
        <v>59</v>
      </c>
      <c r="H148" t="s">
        <v>69</v>
      </c>
      <c r="I148" t="s">
        <v>121</v>
      </c>
      <c r="J148" t="s">
        <v>49</v>
      </c>
      <c r="K148" t="s">
        <v>35</v>
      </c>
      <c r="L148">
        <v>8</v>
      </c>
      <c r="M148">
        <v>3680</v>
      </c>
      <c r="N148">
        <v>0.1</v>
      </c>
      <c r="O148">
        <v>2150</v>
      </c>
    </row>
    <row r="149" spans="1:15" x14ac:dyDescent="0.25">
      <c r="A149" t="s">
        <v>287</v>
      </c>
      <c r="B149">
        <v>45377</v>
      </c>
      <c r="C149" t="s">
        <v>16</v>
      </c>
      <c r="D149" t="s">
        <v>153</v>
      </c>
      <c r="E149" t="s">
        <v>18</v>
      </c>
      <c r="F149" t="s">
        <v>19</v>
      </c>
      <c r="G149" t="s">
        <v>46</v>
      </c>
      <c r="H149" t="s">
        <v>100</v>
      </c>
      <c r="I149" t="s">
        <v>101</v>
      </c>
      <c r="J149" t="s">
        <v>40</v>
      </c>
      <c r="K149" t="s">
        <v>24</v>
      </c>
      <c r="L149">
        <v>12</v>
      </c>
      <c r="M149">
        <v>1970</v>
      </c>
      <c r="N149">
        <v>0</v>
      </c>
      <c r="O149">
        <v>1230</v>
      </c>
    </row>
    <row r="150" spans="1:15" x14ac:dyDescent="0.25">
      <c r="A150" t="s">
        <v>288</v>
      </c>
      <c r="B150">
        <v>45377</v>
      </c>
      <c r="C150" t="s">
        <v>42</v>
      </c>
      <c r="D150" t="s">
        <v>130</v>
      </c>
      <c r="E150" t="s">
        <v>97</v>
      </c>
      <c r="F150" t="s">
        <v>19</v>
      </c>
      <c r="G150" t="s">
        <v>83</v>
      </c>
      <c r="H150" t="s">
        <v>184</v>
      </c>
      <c r="I150" t="s">
        <v>185</v>
      </c>
      <c r="J150" t="s">
        <v>23</v>
      </c>
      <c r="K150" t="s">
        <v>24</v>
      </c>
      <c r="L150">
        <v>5</v>
      </c>
      <c r="M150">
        <v>4490</v>
      </c>
      <c r="N150">
        <v>0</v>
      </c>
      <c r="O150">
        <v>3260</v>
      </c>
    </row>
    <row r="151" spans="1:15" x14ac:dyDescent="0.25">
      <c r="A151" t="s">
        <v>289</v>
      </c>
      <c r="B151">
        <v>45378</v>
      </c>
      <c r="C151" t="s">
        <v>16</v>
      </c>
      <c r="D151" t="s">
        <v>191</v>
      </c>
      <c r="E151" t="s">
        <v>18</v>
      </c>
      <c r="F151" t="s">
        <v>45</v>
      </c>
      <c r="G151" t="s">
        <v>59</v>
      </c>
      <c r="H151" t="s">
        <v>60</v>
      </c>
      <c r="I151" t="s">
        <v>61</v>
      </c>
      <c r="J151" t="s">
        <v>40</v>
      </c>
      <c r="K151" t="s">
        <v>24</v>
      </c>
      <c r="L151">
        <v>8</v>
      </c>
      <c r="M151">
        <v>23000</v>
      </c>
      <c r="N151">
        <v>0.2</v>
      </c>
      <c r="O151">
        <v>14550</v>
      </c>
    </row>
    <row r="152" spans="1:15" x14ac:dyDescent="0.25">
      <c r="A152" t="s">
        <v>290</v>
      </c>
      <c r="B152">
        <v>45378</v>
      </c>
      <c r="C152" t="s">
        <v>16</v>
      </c>
      <c r="D152" t="s">
        <v>191</v>
      </c>
      <c r="E152" t="s">
        <v>18</v>
      </c>
      <c r="F152" t="s">
        <v>19</v>
      </c>
      <c r="G152" t="s">
        <v>20</v>
      </c>
      <c r="H152" t="s">
        <v>109</v>
      </c>
      <c r="I152" t="s">
        <v>159</v>
      </c>
      <c r="J152" t="s">
        <v>49</v>
      </c>
      <c r="K152" t="s">
        <v>24</v>
      </c>
      <c r="L152">
        <v>8</v>
      </c>
      <c r="M152">
        <v>18660</v>
      </c>
      <c r="N152">
        <v>0.12</v>
      </c>
      <c r="O152">
        <v>11670</v>
      </c>
    </row>
    <row r="153" spans="1:15" x14ac:dyDescent="0.25">
      <c r="A153" t="s">
        <v>291</v>
      </c>
      <c r="B153">
        <v>45379</v>
      </c>
      <c r="C153" t="s">
        <v>16</v>
      </c>
      <c r="D153" t="s">
        <v>153</v>
      </c>
      <c r="E153" t="s">
        <v>26</v>
      </c>
      <c r="F153" t="s">
        <v>52</v>
      </c>
      <c r="G153" t="s">
        <v>83</v>
      </c>
      <c r="H153" t="s">
        <v>84</v>
      </c>
      <c r="I153" t="s">
        <v>292</v>
      </c>
      <c r="J153" t="s">
        <v>23</v>
      </c>
      <c r="K153" t="s">
        <v>24</v>
      </c>
      <c r="L153">
        <v>1</v>
      </c>
      <c r="M153">
        <v>44570</v>
      </c>
      <c r="N153">
        <v>0</v>
      </c>
      <c r="O153">
        <v>25820</v>
      </c>
    </row>
    <row r="154" spans="1:15" x14ac:dyDescent="0.25">
      <c r="A154" t="s">
        <v>293</v>
      </c>
      <c r="B154">
        <v>45380</v>
      </c>
      <c r="C154" t="s">
        <v>42</v>
      </c>
      <c r="D154" t="s">
        <v>265</v>
      </c>
      <c r="E154" t="s">
        <v>64</v>
      </c>
      <c r="F154" t="s">
        <v>92</v>
      </c>
      <c r="G154" t="s">
        <v>20</v>
      </c>
      <c r="H154" t="s">
        <v>33</v>
      </c>
      <c r="I154" t="s">
        <v>139</v>
      </c>
      <c r="J154" t="s">
        <v>40</v>
      </c>
      <c r="K154" t="s">
        <v>119</v>
      </c>
      <c r="L154">
        <v>6</v>
      </c>
      <c r="M154">
        <v>62900</v>
      </c>
      <c r="N154">
        <v>0.1</v>
      </c>
      <c r="O154">
        <v>46700</v>
      </c>
    </row>
    <row r="155" spans="1:15" x14ac:dyDescent="0.25">
      <c r="A155" t="s">
        <v>294</v>
      </c>
      <c r="B155">
        <v>45380</v>
      </c>
      <c r="C155" t="s">
        <v>42</v>
      </c>
      <c r="D155" t="s">
        <v>43</v>
      </c>
      <c r="E155" t="s">
        <v>97</v>
      </c>
      <c r="F155" t="s">
        <v>92</v>
      </c>
      <c r="G155" t="s">
        <v>27</v>
      </c>
      <c r="H155" t="s">
        <v>28</v>
      </c>
      <c r="I155" t="s">
        <v>141</v>
      </c>
      <c r="J155" t="s">
        <v>23</v>
      </c>
      <c r="K155" t="s">
        <v>35</v>
      </c>
      <c r="L155">
        <v>5</v>
      </c>
      <c r="M155">
        <v>16690</v>
      </c>
      <c r="N155">
        <v>0.12</v>
      </c>
      <c r="O155">
        <v>12740</v>
      </c>
    </row>
    <row r="156" spans="1:15" x14ac:dyDescent="0.25">
      <c r="A156" t="s">
        <v>295</v>
      </c>
      <c r="B156">
        <v>45381</v>
      </c>
      <c r="C156" t="s">
        <v>56</v>
      </c>
      <c r="D156" t="s">
        <v>143</v>
      </c>
      <c r="E156" t="s">
        <v>58</v>
      </c>
      <c r="F156" t="s">
        <v>19</v>
      </c>
      <c r="G156" t="s">
        <v>20</v>
      </c>
      <c r="H156" t="s">
        <v>21</v>
      </c>
      <c r="I156" t="s">
        <v>65</v>
      </c>
      <c r="J156" t="s">
        <v>23</v>
      </c>
      <c r="K156" t="s">
        <v>24</v>
      </c>
      <c r="L156">
        <v>4</v>
      </c>
      <c r="M156">
        <v>8910</v>
      </c>
      <c r="N156">
        <v>0</v>
      </c>
      <c r="O156">
        <v>5630</v>
      </c>
    </row>
    <row r="157" spans="1:15" x14ac:dyDescent="0.25">
      <c r="A157" t="s">
        <v>296</v>
      </c>
      <c r="B157">
        <v>45381</v>
      </c>
      <c r="C157" t="s">
        <v>42</v>
      </c>
      <c r="D157" t="s">
        <v>96</v>
      </c>
      <c r="E157" t="s">
        <v>97</v>
      </c>
      <c r="F157" t="s">
        <v>45</v>
      </c>
      <c r="G157" t="s">
        <v>20</v>
      </c>
      <c r="H157" t="s">
        <v>21</v>
      </c>
      <c r="I157" t="s">
        <v>65</v>
      </c>
      <c r="J157" t="s">
        <v>23</v>
      </c>
      <c r="K157" t="s">
        <v>24</v>
      </c>
      <c r="L157">
        <v>20</v>
      </c>
      <c r="M157">
        <v>8260</v>
      </c>
      <c r="N157">
        <v>0.1</v>
      </c>
      <c r="O157">
        <v>5830</v>
      </c>
    </row>
    <row r="158" spans="1:15" x14ac:dyDescent="0.25">
      <c r="A158" t="s">
        <v>297</v>
      </c>
      <c r="B158">
        <v>45381</v>
      </c>
      <c r="C158" t="s">
        <v>42</v>
      </c>
      <c r="D158" t="s">
        <v>43</v>
      </c>
      <c r="E158" t="s">
        <v>44</v>
      </c>
      <c r="F158" t="s">
        <v>52</v>
      </c>
      <c r="G158" t="s">
        <v>59</v>
      </c>
      <c r="H158" t="s">
        <v>154</v>
      </c>
      <c r="I158" t="s">
        <v>249</v>
      </c>
      <c r="J158" t="s">
        <v>49</v>
      </c>
      <c r="K158" t="s">
        <v>24</v>
      </c>
      <c r="L158">
        <v>3</v>
      </c>
      <c r="M158">
        <v>6570</v>
      </c>
      <c r="N158">
        <v>0.1</v>
      </c>
      <c r="O158">
        <v>3680</v>
      </c>
    </row>
    <row r="159" spans="1:15" x14ac:dyDescent="0.25">
      <c r="A159" t="s">
        <v>298</v>
      </c>
      <c r="B159">
        <v>45381</v>
      </c>
      <c r="C159" t="s">
        <v>42</v>
      </c>
      <c r="D159" t="s">
        <v>130</v>
      </c>
      <c r="E159" t="s">
        <v>97</v>
      </c>
      <c r="F159" t="s">
        <v>92</v>
      </c>
      <c r="G159" t="s">
        <v>27</v>
      </c>
      <c r="H159" t="s">
        <v>214</v>
      </c>
      <c r="I159" t="s">
        <v>252</v>
      </c>
      <c r="J159" t="s">
        <v>23</v>
      </c>
      <c r="K159" t="s">
        <v>24</v>
      </c>
      <c r="L159">
        <v>13</v>
      </c>
      <c r="M159">
        <v>13590</v>
      </c>
      <c r="N159">
        <v>0.1</v>
      </c>
      <c r="O159">
        <v>8920</v>
      </c>
    </row>
    <row r="160" spans="1:15" x14ac:dyDescent="0.25">
      <c r="A160" t="s">
        <v>299</v>
      </c>
      <c r="B160">
        <v>45381</v>
      </c>
      <c r="C160" t="s">
        <v>16</v>
      </c>
      <c r="D160" t="s">
        <v>153</v>
      </c>
      <c r="E160" t="s">
        <v>32</v>
      </c>
      <c r="F160" t="s">
        <v>19</v>
      </c>
      <c r="G160" t="s">
        <v>46</v>
      </c>
      <c r="H160" t="s">
        <v>179</v>
      </c>
      <c r="I160" t="s">
        <v>221</v>
      </c>
      <c r="J160" t="s">
        <v>23</v>
      </c>
      <c r="K160" t="s">
        <v>24</v>
      </c>
      <c r="L160">
        <v>25</v>
      </c>
      <c r="M160">
        <v>1650</v>
      </c>
      <c r="N160">
        <v>0.2</v>
      </c>
      <c r="O160">
        <v>960</v>
      </c>
    </row>
    <row r="161" spans="1:15" x14ac:dyDescent="0.25">
      <c r="A161" t="s">
        <v>300</v>
      </c>
      <c r="B161">
        <v>45382</v>
      </c>
      <c r="C161" t="s">
        <v>42</v>
      </c>
      <c r="D161" t="s">
        <v>265</v>
      </c>
      <c r="E161" t="s">
        <v>44</v>
      </c>
      <c r="F161" t="s">
        <v>19</v>
      </c>
      <c r="G161" t="s">
        <v>59</v>
      </c>
      <c r="H161" t="s">
        <v>73</v>
      </c>
      <c r="I161" t="s">
        <v>74</v>
      </c>
      <c r="J161" t="s">
        <v>23</v>
      </c>
      <c r="K161" t="s">
        <v>24</v>
      </c>
      <c r="L161">
        <v>3</v>
      </c>
      <c r="M161">
        <v>44800</v>
      </c>
      <c r="N161">
        <v>0.2</v>
      </c>
      <c r="O161">
        <v>31700</v>
      </c>
    </row>
    <row r="162" spans="1:15" x14ac:dyDescent="0.25">
      <c r="A162" t="s">
        <v>301</v>
      </c>
      <c r="B162">
        <v>45383</v>
      </c>
      <c r="C162" t="s">
        <v>56</v>
      </c>
      <c r="D162" t="s">
        <v>103</v>
      </c>
      <c r="E162" t="s">
        <v>58</v>
      </c>
      <c r="F162" t="s">
        <v>45</v>
      </c>
      <c r="G162" t="s">
        <v>20</v>
      </c>
      <c r="H162" t="s">
        <v>21</v>
      </c>
      <c r="I162" t="s">
        <v>22</v>
      </c>
      <c r="J162" t="s">
        <v>40</v>
      </c>
      <c r="K162" t="s">
        <v>24</v>
      </c>
      <c r="L162">
        <v>43</v>
      </c>
      <c r="M162">
        <v>1870</v>
      </c>
      <c r="N162">
        <v>0.15</v>
      </c>
      <c r="O162">
        <v>1180</v>
      </c>
    </row>
    <row r="163" spans="1:15" x14ac:dyDescent="0.25">
      <c r="A163" t="s">
        <v>302</v>
      </c>
      <c r="B163">
        <v>45384</v>
      </c>
      <c r="C163" t="s">
        <v>56</v>
      </c>
      <c r="D163" t="s">
        <v>72</v>
      </c>
      <c r="E163" t="s">
        <v>91</v>
      </c>
      <c r="F163" t="s">
        <v>19</v>
      </c>
      <c r="G163" t="s">
        <v>46</v>
      </c>
      <c r="H163" t="s">
        <v>100</v>
      </c>
      <c r="I163" t="s">
        <v>177</v>
      </c>
      <c r="J163" t="s">
        <v>40</v>
      </c>
      <c r="K163" t="s">
        <v>24</v>
      </c>
      <c r="L163">
        <v>20</v>
      </c>
      <c r="M163">
        <v>2640</v>
      </c>
      <c r="N163">
        <v>0</v>
      </c>
      <c r="O163">
        <v>1530</v>
      </c>
    </row>
    <row r="164" spans="1:15" x14ac:dyDescent="0.25">
      <c r="A164" t="s">
        <v>303</v>
      </c>
      <c r="B164">
        <v>45385</v>
      </c>
      <c r="C164" t="s">
        <v>56</v>
      </c>
      <c r="D164" t="s">
        <v>103</v>
      </c>
      <c r="E164" t="s">
        <v>91</v>
      </c>
      <c r="F164" t="s">
        <v>52</v>
      </c>
      <c r="G164" t="s">
        <v>27</v>
      </c>
      <c r="H164" t="s">
        <v>53</v>
      </c>
      <c r="I164" t="s">
        <v>54</v>
      </c>
      <c r="J164" t="s">
        <v>49</v>
      </c>
      <c r="K164" t="s">
        <v>119</v>
      </c>
      <c r="L164">
        <v>1</v>
      </c>
      <c r="M164">
        <v>42490</v>
      </c>
      <c r="N164">
        <v>0.1</v>
      </c>
      <c r="O164">
        <v>27490</v>
      </c>
    </row>
    <row r="165" spans="1:15" x14ac:dyDescent="0.25">
      <c r="A165" t="s">
        <v>304</v>
      </c>
      <c r="B165">
        <v>45385</v>
      </c>
      <c r="C165" t="s">
        <v>37</v>
      </c>
      <c r="D165" t="s">
        <v>67</v>
      </c>
      <c r="E165" t="s">
        <v>39</v>
      </c>
      <c r="F165" t="s">
        <v>92</v>
      </c>
      <c r="G165" t="s">
        <v>83</v>
      </c>
      <c r="H165" t="s">
        <v>136</v>
      </c>
      <c r="I165" t="s">
        <v>137</v>
      </c>
      <c r="J165" t="s">
        <v>49</v>
      </c>
      <c r="K165" t="s">
        <v>24</v>
      </c>
      <c r="L165">
        <v>14</v>
      </c>
      <c r="M165">
        <v>1680</v>
      </c>
      <c r="N165">
        <v>0.2</v>
      </c>
      <c r="O165">
        <v>1130</v>
      </c>
    </row>
    <row r="166" spans="1:15" x14ac:dyDescent="0.25">
      <c r="A166" t="s">
        <v>305</v>
      </c>
      <c r="B166">
        <v>45385</v>
      </c>
      <c r="C166" t="s">
        <v>56</v>
      </c>
      <c r="D166" t="s">
        <v>133</v>
      </c>
      <c r="E166" t="s">
        <v>58</v>
      </c>
      <c r="F166" t="s">
        <v>19</v>
      </c>
      <c r="G166" t="s">
        <v>46</v>
      </c>
      <c r="H166" t="s">
        <v>47</v>
      </c>
      <c r="I166" t="s">
        <v>93</v>
      </c>
      <c r="J166" t="s">
        <v>40</v>
      </c>
      <c r="K166" t="s">
        <v>24</v>
      </c>
      <c r="L166">
        <v>33</v>
      </c>
      <c r="M166">
        <v>1160</v>
      </c>
      <c r="N166">
        <v>0</v>
      </c>
      <c r="O166">
        <v>820</v>
      </c>
    </row>
    <row r="167" spans="1:15" x14ac:dyDescent="0.25">
      <c r="A167" t="s">
        <v>306</v>
      </c>
      <c r="B167">
        <v>45385</v>
      </c>
      <c r="C167" t="s">
        <v>56</v>
      </c>
      <c r="D167" t="s">
        <v>133</v>
      </c>
      <c r="E167" t="s">
        <v>58</v>
      </c>
      <c r="F167" t="s">
        <v>45</v>
      </c>
      <c r="G167" t="s">
        <v>83</v>
      </c>
      <c r="H167" t="s">
        <v>136</v>
      </c>
      <c r="I167" t="s">
        <v>307</v>
      </c>
      <c r="J167" t="s">
        <v>40</v>
      </c>
      <c r="K167" t="s">
        <v>35</v>
      </c>
      <c r="L167">
        <v>36</v>
      </c>
      <c r="M167">
        <v>930</v>
      </c>
      <c r="N167">
        <v>0.05</v>
      </c>
      <c r="O167">
        <v>580</v>
      </c>
    </row>
    <row r="168" spans="1:15" x14ac:dyDescent="0.25">
      <c r="A168" t="s">
        <v>308</v>
      </c>
      <c r="B168">
        <v>45385</v>
      </c>
      <c r="C168" t="s">
        <v>16</v>
      </c>
      <c r="D168" t="s">
        <v>17</v>
      </c>
      <c r="E168" t="s">
        <v>32</v>
      </c>
      <c r="F168" t="s">
        <v>19</v>
      </c>
      <c r="G168" t="s">
        <v>83</v>
      </c>
      <c r="H168" t="s">
        <v>136</v>
      </c>
      <c r="I168" t="s">
        <v>307</v>
      </c>
      <c r="J168" t="s">
        <v>49</v>
      </c>
      <c r="K168" t="s">
        <v>94</v>
      </c>
      <c r="L168">
        <v>38</v>
      </c>
      <c r="M168">
        <v>860</v>
      </c>
      <c r="N168">
        <v>0.1</v>
      </c>
      <c r="O168">
        <v>570</v>
      </c>
    </row>
    <row r="169" spans="1:15" x14ac:dyDescent="0.25">
      <c r="A169" t="s">
        <v>309</v>
      </c>
      <c r="B169">
        <v>45386</v>
      </c>
      <c r="C169" t="s">
        <v>42</v>
      </c>
      <c r="D169" t="s">
        <v>43</v>
      </c>
      <c r="E169" t="s">
        <v>64</v>
      </c>
      <c r="F169" t="s">
        <v>19</v>
      </c>
      <c r="G169" t="s">
        <v>46</v>
      </c>
      <c r="H169" t="s">
        <v>100</v>
      </c>
      <c r="I169" t="s">
        <v>177</v>
      </c>
      <c r="J169" t="s">
        <v>40</v>
      </c>
      <c r="K169" t="s">
        <v>119</v>
      </c>
      <c r="L169">
        <v>39</v>
      </c>
      <c r="M169">
        <v>2600</v>
      </c>
      <c r="N169">
        <v>0.18</v>
      </c>
      <c r="O169">
        <v>1550</v>
      </c>
    </row>
    <row r="170" spans="1:15" x14ac:dyDescent="0.25">
      <c r="A170" t="s">
        <v>310</v>
      </c>
      <c r="B170">
        <v>45386</v>
      </c>
      <c r="C170" t="s">
        <v>37</v>
      </c>
      <c r="D170" t="s">
        <v>213</v>
      </c>
      <c r="E170" t="s">
        <v>39</v>
      </c>
      <c r="F170" t="s">
        <v>92</v>
      </c>
      <c r="G170" t="s">
        <v>27</v>
      </c>
      <c r="H170" t="s">
        <v>53</v>
      </c>
      <c r="I170" t="s">
        <v>131</v>
      </c>
      <c r="J170" t="s">
        <v>40</v>
      </c>
      <c r="K170" t="s">
        <v>24</v>
      </c>
      <c r="L170">
        <v>2</v>
      </c>
      <c r="M170">
        <v>35070</v>
      </c>
      <c r="N170">
        <v>0.08</v>
      </c>
      <c r="O170">
        <v>22820</v>
      </c>
    </row>
    <row r="171" spans="1:15" x14ac:dyDescent="0.25">
      <c r="A171" t="s">
        <v>311</v>
      </c>
      <c r="B171">
        <v>45387</v>
      </c>
      <c r="C171" t="s">
        <v>56</v>
      </c>
      <c r="D171" t="s">
        <v>143</v>
      </c>
      <c r="E171" t="s">
        <v>58</v>
      </c>
      <c r="F171" t="s">
        <v>92</v>
      </c>
      <c r="G171" t="s">
        <v>46</v>
      </c>
      <c r="H171" t="s">
        <v>179</v>
      </c>
      <c r="I171" t="s">
        <v>180</v>
      </c>
      <c r="J171" t="s">
        <v>49</v>
      </c>
      <c r="K171" t="s">
        <v>24</v>
      </c>
      <c r="L171">
        <v>17</v>
      </c>
      <c r="M171">
        <v>3680</v>
      </c>
      <c r="N171">
        <v>0.18</v>
      </c>
      <c r="O171">
        <v>2530</v>
      </c>
    </row>
    <row r="172" spans="1:15" x14ac:dyDescent="0.25">
      <c r="A172" t="s">
        <v>312</v>
      </c>
      <c r="B172">
        <v>45388</v>
      </c>
      <c r="C172" t="s">
        <v>56</v>
      </c>
      <c r="D172" t="s">
        <v>72</v>
      </c>
      <c r="E172" t="s">
        <v>91</v>
      </c>
      <c r="F172" t="s">
        <v>19</v>
      </c>
      <c r="G172" t="s">
        <v>27</v>
      </c>
      <c r="H172" t="s">
        <v>214</v>
      </c>
      <c r="I172" t="s">
        <v>215</v>
      </c>
      <c r="J172" t="s">
        <v>40</v>
      </c>
      <c r="K172" t="s">
        <v>35</v>
      </c>
      <c r="L172">
        <v>4</v>
      </c>
      <c r="M172">
        <v>33130</v>
      </c>
      <c r="N172">
        <v>0.1</v>
      </c>
      <c r="O172">
        <v>18810</v>
      </c>
    </row>
    <row r="173" spans="1:15" x14ac:dyDescent="0.25">
      <c r="A173" t="s">
        <v>313</v>
      </c>
      <c r="B173">
        <v>45389</v>
      </c>
      <c r="C173" t="s">
        <v>42</v>
      </c>
      <c r="D173" t="s">
        <v>43</v>
      </c>
      <c r="E173" t="s">
        <v>44</v>
      </c>
      <c r="F173" t="s">
        <v>19</v>
      </c>
      <c r="G173" t="s">
        <v>27</v>
      </c>
      <c r="H173" t="s">
        <v>214</v>
      </c>
      <c r="I173" t="s">
        <v>215</v>
      </c>
      <c r="J173" t="s">
        <v>40</v>
      </c>
      <c r="K173" t="s">
        <v>24</v>
      </c>
      <c r="L173">
        <v>4</v>
      </c>
      <c r="M173">
        <v>34010</v>
      </c>
      <c r="N173">
        <v>0.18</v>
      </c>
      <c r="O173">
        <v>26300</v>
      </c>
    </row>
    <row r="174" spans="1:15" x14ac:dyDescent="0.25">
      <c r="A174" t="s">
        <v>314</v>
      </c>
      <c r="B174">
        <v>45389</v>
      </c>
      <c r="C174" t="s">
        <v>56</v>
      </c>
      <c r="D174" t="s">
        <v>57</v>
      </c>
      <c r="E174" t="s">
        <v>58</v>
      </c>
      <c r="F174" t="s">
        <v>19</v>
      </c>
      <c r="G174" t="s">
        <v>83</v>
      </c>
      <c r="H174" t="s">
        <v>184</v>
      </c>
      <c r="I174" t="s">
        <v>185</v>
      </c>
      <c r="J174" t="s">
        <v>40</v>
      </c>
      <c r="K174" t="s">
        <v>24</v>
      </c>
      <c r="L174">
        <v>15</v>
      </c>
      <c r="M174">
        <v>4710</v>
      </c>
      <c r="N174">
        <v>0.1</v>
      </c>
      <c r="O174">
        <v>3320</v>
      </c>
    </row>
    <row r="175" spans="1:15" x14ac:dyDescent="0.25">
      <c r="A175" t="s">
        <v>315</v>
      </c>
      <c r="B175">
        <v>45389</v>
      </c>
      <c r="C175" t="s">
        <v>76</v>
      </c>
      <c r="D175" t="s">
        <v>150</v>
      </c>
      <c r="E175" t="s">
        <v>78</v>
      </c>
      <c r="F175" t="s">
        <v>19</v>
      </c>
      <c r="G175" t="s">
        <v>46</v>
      </c>
      <c r="H175" t="s">
        <v>47</v>
      </c>
      <c r="I175" t="s">
        <v>48</v>
      </c>
      <c r="J175" t="s">
        <v>23</v>
      </c>
      <c r="K175" t="s">
        <v>24</v>
      </c>
      <c r="L175">
        <v>7</v>
      </c>
      <c r="M175">
        <v>1820</v>
      </c>
      <c r="N175">
        <v>0</v>
      </c>
      <c r="O175">
        <v>1160</v>
      </c>
    </row>
    <row r="176" spans="1:15" x14ac:dyDescent="0.25">
      <c r="A176" t="s">
        <v>316</v>
      </c>
      <c r="B176">
        <v>45390</v>
      </c>
      <c r="C176" t="s">
        <v>56</v>
      </c>
      <c r="D176" t="s">
        <v>57</v>
      </c>
      <c r="E176" t="s">
        <v>58</v>
      </c>
      <c r="F176" t="s">
        <v>19</v>
      </c>
      <c r="G176" t="s">
        <v>20</v>
      </c>
      <c r="H176" t="s">
        <v>109</v>
      </c>
      <c r="I176" t="s">
        <v>110</v>
      </c>
      <c r="J176" t="s">
        <v>23</v>
      </c>
      <c r="K176" t="s">
        <v>24</v>
      </c>
      <c r="L176">
        <v>3</v>
      </c>
      <c r="M176">
        <v>69780</v>
      </c>
      <c r="N176">
        <v>0.12</v>
      </c>
      <c r="O176">
        <v>48060</v>
      </c>
    </row>
    <row r="177" spans="1:15" x14ac:dyDescent="0.25">
      <c r="A177" t="s">
        <v>317</v>
      </c>
      <c r="B177">
        <v>45391</v>
      </c>
      <c r="C177" t="s">
        <v>56</v>
      </c>
      <c r="D177" t="s">
        <v>133</v>
      </c>
      <c r="E177" t="s">
        <v>58</v>
      </c>
      <c r="F177" t="s">
        <v>52</v>
      </c>
      <c r="G177" t="s">
        <v>59</v>
      </c>
      <c r="H177" t="s">
        <v>60</v>
      </c>
      <c r="I177" t="s">
        <v>200</v>
      </c>
      <c r="J177" t="s">
        <v>23</v>
      </c>
      <c r="K177" t="s">
        <v>24</v>
      </c>
      <c r="L177">
        <v>9</v>
      </c>
      <c r="M177">
        <v>8220</v>
      </c>
      <c r="N177">
        <v>0.12</v>
      </c>
      <c r="O177">
        <v>5360</v>
      </c>
    </row>
    <row r="178" spans="1:15" x14ac:dyDescent="0.25">
      <c r="A178" t="s">
        <v>318</v>
      </c>
      <c r="B178">
        <v>45391</v>
      </c>
      <c r="C178" t="s">
        <v>37</v>
      </c>
      <c r="D178" t="s">
        <v>166</v>
      </c>
      <c r="E178" t="s">
        <v>68</v>
      </c>
      <c r="F178" t="s">
        <v>92</v>
      </c>
      <c r="G178" t="s">
        <v>27</v>
      </c>
      <c r="H178" t="s">
        <v>214</v>
      </c>
      <c r="I178" t="s">
        <v>215</v>
      </c>
      <c r="J178" t="s">
        <v>23</v>
      </c>
      <c r="K178" t="s">
        <v>119</v>
      </c>
      <c r="L178">
        <v>4</v>
      </c>
      <c r="M178">
        <v>36560</v>
      </c>
      <c r="N178">
        <v>0.05</v>
      </c>
      <c r="O178">
        <v>22120</v>
      </c>
    </row>
    <row r="179" spans="1:15" x14ac:dyDescent="0.25">
      <c r="A179" t="s">
        <v>319</v>
      </c>
      <c r="B179">
        <v>45391</v>
      </c>
      <c r="C179" t="s">
        <v>76</v>
      </c>
      <c r="D179" t="s">
        <v>217</v>
      </c>
      <c r="E179" t="s">
        <v>170</v>
      </c>
      <c r="F179" t="s">
        <v>45</v>
      </c>
      <c r="G179" t="s">
        <v>46</v>
      </c>
      <c r="H179" t="s">
        <v>179</v>
      </c>
      <c r="I179" t="s">
        <v>221</v>
      </c>
      <c r="J179" t="s">
        <v>40</v>
      </c>
      <c r="K179" t="s">
        <v>24</v>
      </c>
      <c r="L179">
        <v>48</v>
      </c>
      <c r="M179">
        <v>1660</v>
      </c>
      <c r="N179">
        <v>0.25</v>
      </c>
      <c r="O179">
        <v>950</v>
      </c>
    </row>
    <row r="180" spans="1:15" x14ac:dyDescent="0.25">
      <c r="A180" t="s">
        <v>320</v>
      </c>
      <c r="B180">
        <v>45391</v>
      </c>
      <c r="C180" t="s">
        <v>16</v>
      </c>
      <c r="D180" t="s">
        <v>82</v>
      </c>
      <c r="E180" t="s">
        <v>18</v>
      </c>
      <c r="F180" t="s">
        <v>45</v>
      </c>
      <c r="G180" t="s">
        <v>83</v>
      </c>
      <c r="H180" t="s">
        <v>84</v>
      </c>
      <c r="I180" t="s">
        <v>85</v>
      </c>
      <c r="J180" t="s">
        <v>23</v>
      </c>
      <c r="K180" t="s">
        <v>24</v>
      </c>
      <c r="L180">
        <v>32</v>
      </c>
      <c r="M180">
        <v>2340</v>
      </c>
      <c r="N180">
        <v>0.1</v>
      </c>
      <c r="O180">
        <v>1790</v>
      </c>
    </row>
    <row r="181" spans="1:15" x14ac:dyDescent="0.25">
      <c r="A181" t="s">
        <v>321</v>
      </c>
      <c r="B181">
        <v>45391</v>
      </c>
      <c r="C181" t="s">
        <v>16</v>
      </c>
      <c r="D181" t="s">
        <v>82</v>
      </c>
      <c r="E181" t="s">
        <v>26</v>
      </c>
      <c r="F181" t="s">
        <v>92</v>
      </c>
      <c r="G181" t="s">
        <v>20</v>
      </c>
      <c r="H181" t="s">
        <v>87</v>
      </c>
      <c r="I181" t="s">
        <v>88</v>
      </c>
      <c r="J181" t="s">
        <v>40</v>
      </c>
      <c r="K181" t="s">
        <v>24</v>
      </c>
      <c r="L181">
        <v>8</v>
      </c>
      <c r="M181">
        <v>31740</v>
      </c>
      <c r="N181">
        <v>0.2</v>
      </c>
      <c r="O181">
        <v>18530</v>
      </c>
    </row>
    <row r="182" spans="1:15" x14ac:dyDescent="0.25">
      <c r="A182" t="s">
        <v>322</v>
      </c>
      <c r="B182">
        <v>45392</v>
      </c>
      <c r="C182" t="s">
        <v>16</v>
      </c>
      <c r="D182" t="s">
        <v>82</v>
      </c>
      <c r="E182" t="s">
        <v>26</v>
      </c>
      <c r="F182" t="s">
        <v>52</v>
      </c>
      <c r="G182" t="s">
        <v>46</v>
      </c>
      <c r="H182" t="s">
        <v>100</v>
      </c>
      <c r="I182" t="s">
        <v>101</v>
      </c>
      <c r="J182" t="s">
        <v>40</v>
      </c>
      <c r="K182" t="s">
        <v>24</v>
      </c>
      <c r="L182">
        <v>14</v>
      </c>
      <c r="M182">
        <v>1830</v>
      </c>
      <c r="N182">
        <v>0.05</v>
      </c>
      <c r="O182">
        <v>1430</v>
      </c>
    </row>
    <row r="183" spans="1:15" x14ac:dyDescent="0.25">
      <c r="A183" t="s">
        <v>323</v>
      </c>
      <c r="B183">
        <v>45392</v>
      </c>
      <c r="C183" t="s">
        <v>42</v>
      </c>
      <c r="D183" t="s">
        <v>265</v>
      </c>
      <c r="E183" t="s">
        <v>64</v>
      </c>
      <c r="F183" t="s">
        <v>92</v>
      </c>
      <c r="G183" t="s">
        <v>59</v>
      </c>
      <c r="H183" t="s">
        <v>154</v>
      </c>
      <c r="I183" t="s">
        <v>249</v>
      </c>
      <c r="J183" t="s">
        <v>40</v>
      </c>
      <c r="K183" t="s">
        <v>24</v>
      </c>
      <c r="L183">
        <v>16</v>
      </c>
      <c r="M183">
        <v>6550</v>
      </c>
      <c r="N183">
        <v>0.18</v>
      </c>
      <c r="O183">
        <v>4650</v>
      </c>
    </row>
    <row r="184" spans="1:15" x14ac:dyDescent="0.25">
      <c r="A184" t="s">
        <v>324</v>
      </c>
      <c r="B184">
        <v>45392</v>
      </c>
      <c r="C184" t="s">
        <v>16</v>
      </c>
      <c r="D184" t="s">
        <v>191</v>
      </c>
      <c r="E184" t="s">
        <v>32</v>
      </c>
      <c r="F184" t="s">
        <v>19</v>
      </c>
      <c r="G184" t="s">
        <v>20</v>
      </c>
      <c r="H184" t="s">
        <v>87</v>
      </c>
      <c r="I184" t="s">
        <v>88</v>
      </c>
      <c r="J184" t="s">
        <v>23</v>
      </c>
      <c r="K184" t="s">
        <v>24</v>
      </c>
      <c r="L184">
        <v>2</v>
      </c>
      <c r="M184">
        <v>32810</v>
      </c>
      <c r="N184">
        <v>0.1</v>
      </c>
      <c r="O184">
        <v>20690</v>
      </c>
    </row>
    <row r="185" spans="1:15" x14ac:dyDescent="0.25">
      <c r="A185" t="s">
        <v>325</v>
      </c>
      <c r="B185">
        <v>45393</v>
      </c>
      <c r="C185" t="s">
        <v>42</v>
      </c>
      <c r="D185" t="s">
        <v>123</v>
      </c>
      <c r="E185" t="s">
        <v>44</v>
      </c>
      <c r="F185" t="s">
        <v>52</v>
      </c>
      <c r="G185" t="s">
        <v>20</v>
      </c>
      <c r="H185" t="s">
        <v>21</v>
      </c>
      <c r="I185" t="s">
        <v>65</v>
      </c>
      <c r="J185" t="s">
        <v>23</v>
      </c>
      <c r="K185" t="s">
        <v>24</v>
      </c>
      <c r="L185">
        <v>15</v>
      </c>
      <c r="M185">
        <v>8380</v>
      </c>
      <c r="N185">
        <v>0</v>
      </c>
      <c r="O185">
        <v>5080</v>
      </c>
    </row>
    <row r="186" spans="1:15" x14ac:dyDescent="0.25">
      <c r="A186" t="s">
        <v>326</v>
      </c>
      <c r="B186">
        <v>45394</v>
      </c>
      <c r="C186" t="s">
        <v>37</v>
      </c>
      <c r="D186" t="s">
        <v>115</v>
      </c>
      <c r="E186" t="s">
        <v>68</v>
      </c>
      <c r="F186" t="s">
        <v>92</v>
      </c>
      <c r="G186" t="s">
        <v>20</v>
      </c>
      <c r="H186" t="s">
        <v>33</v>
      </c>
      <c r="I186" t="s">
        <v>34</v>
      </c>
      <c r="J186" t="s">
        <v>23</v>
      </c>
      <c r="K186" t="s">
        <v>24</v>
      </c>
      <c r="L186">
        <v>6</v>
      </c>
      <c r="M186">
        <v>56340</v>
      </c>
      <c r="N186">
        <v>0.08</v>
      </c>
      <c r="O186">
        <v>36840</v>
      </c>
    </row>
    <row r="187" spans="1:15" x14ac:dyDescent="0.25">
      <c r="A187" t="s">
        <v>327</v>
      </c>
      <c r="B187">
        <v>45394</v>
      </c>
      <c r="C187" t="s">
        <v>16</v>
      </c>
      <c r="D187" t="s">
        <v>31</v>
      </c>
      <c r="E187" t="s">
        <v>26</v>
      </c>
      <c r="F187" t="s">
        <v>52</v>
      </c>
      <c r="G187" t="s">
        <v>27</v>
      </c>
      <c r="H187" t="s">
        <v>53</v>
      </c>
      <c r="I187" t="s">
        <v>131</v>
      </c>
      <c r="J187" t="s">
        <v>23</v>
      </c>
      <c r="K187" t="s">
        <v>35</v>
      </c>
      <c r="L187">
        <v>2</v>
      </c>
      <c r="M187">
        <v>34530</v>
      </c>
      <c r="N187">
        <v>0</v>
      </c>
      <c r="O187">
        <v>26400</v>
      </c>
    </row>
    <row r="188" spans="1:15" x14ac:dyDescent="0.25">
      <c r="A188" t="s">
        <v>328</v>
      </c>
      <c r="B188">
        <v>45395</v>
      </c>
      <c r="C188" t="s">
        <v>37</v>
      </c>
      <c r="D188" t="s">
        <v>38</v>
      </c>
      <c r="E188" t="s">
        <v>39</v>
      </c>
      <c r="F188" t="s">
        <v>45</v>
      </c>
      <c r="G188" t="s">
        <v>27</v>
      </c>
      <c r="H188" t="s">
        <v>79</v>
      </c>
      <c r="I188" t="s">
        <v>80</v>
      </c>
      <c r="J188" t="s">
        <v>23</v>
      </c>
      <c r="K188" t="s">
        <v>119</v>
      </c>
      <c r="L188">
        <v>16</v>
      </c>
      <c r="M188">
        <v>4380</v>
      </c>
      <c r="N188">
        <v>0.08</v>
      </c>
      <c r="O188">
        <v>3270</v>
      </c>
    </row>
    <row r="189" spans="1:15" x14ac:dyDescent="0.25">
      <c r="A189" t="s">
        <v>329</v>
      </c>
      <c r="B189">
        <v>45396</v>
      </c>
      <c r="C189" t="s">
        <v>16</v>
      </c>
      <c r="D189" t="s">
        <v>17</v>
      </c>
      <c r="E189" t="s">
        <v>18</v>
      </c>
      <c r="F189" t="s">
        <v>45</v>
      </c>
      <c r="G189" t="s">
        <v>20</v>
      </c>
      <c r="H189" t="s">
        <v>109</v>
      </c>
      <c r="I189" t="s">
        <v>110</v>
      </c>
      <c r="J189" t="s">
        <v>23</v>
      </c>
      <c r="K189" t="s">
        <v>24</v>
      </c>
      <c r="L189">
        <v>4</v>
      </c>
      <c r="M189">
        <v>68260</v>
      </c>
      <c r="N189">
        <v>0.05</v>
      </c>
      <c r="O189">
        <v>47440</v>
      </c>
    </row>
    <row r="190" spans="1:15" x14ac:dyDescent="0.25">
      <c r="A190" t="s">
        <v>330</v>
      </c>
      <c r="B190">
        <v>45396</v>
      </c>
      <c r="C190" t="s">
        <v>76</v>
      </c>
      <c r="D190" t="s">
        <v>217</v>
      </c>
      <c r="E190" t="s">
        <v>78</v>
      </c>
      <c r="F190" t="s">
        <v>92</v>
      </c>
      <c r="G190" t="s">
        <v>83</v>
      </c>
      <c r="H190" t="s">
        <v>184</v>
      </c>
      <c r="I190" t="s">
        <v>185</v>
      </c>
      <c r="J190" t="s">
        <v>23</v>
      </c>
      <c r="K190" t="s">
        <v>24</v>
      </c>
      <c r="L190">
        <v>16</v>
      </c>
      <c r="M190">
        <v>4490</v>
      </c>
      <c r="N190">
        <v>0.2</v>
      </c>
      <c r="O190">
        <v>3210</v>
      </c>
    </row>
    <row r="191" spans="1:15" x14ac:dyDescent="0.25">
      <c r="A191" t="s">
        <v>331</v>
      </c>
      <c r="B191">
        <v>45396</v>
      </c>
      <c r="C191" t="s">
        <v>56</v>
      </c>
      <c r="D191" t="s">
        <v>72</v>
      </c>
      <c r="E191" t="s">
        <v>134</v>
      </c>
      <c r="F191" t="s">
        <v>92</v>
      </c>
      <c r="G191" t="s">
        <v>20</v>
      </c>
      <c r="H191" t="s">
        <v>21</v>
      </c>
      <c r="I191" t="s">
        <v>65</v>
      </c>
      <c r="J191" t="s">
        <v>49</v>
      </c>
      <c r="K191" t="s">
        <v>24</v>
      </c>
      <c r="L191">
        <v>3</v>
      </c>
      <c r="M191">
        <v>8430</v>
      </c>
      <c r="N191">
        <v>0.15</v>
      </c>
      <c r="O191">
        <v>5670</v>
      </c>
    </row>
    <row r="192" spans="1:15" x14ac:dyDescent="0.25">
      <c r="A192" t="s">
        <v>332</v>
      </c>
      <c r="B192">
        <v>45398</v>
      </c>
      <c r="C192" t="s">
        <v>37</v>
      </c>
      <c r="D192" t="s">
        <v>67</v>
      </c>
      <c r="E192" t="s">
        <v>68</v>
      </c>
      <c r="F192" t="s">
        <v>92</v>
      </c>
      <c r="G192" t="s">
        <v>20</v>
      </c>
      <c r="H192" t="s">
        <v>21</v>
      </c>
      <c r="I192" t="s">
        <v>22</v>
      </c>
      <c r="J192" t="s">
        <v>23</v>
      </c>
      <c r="K192" t="s">
        <v>94</v>
      </c>
      <c r="L192">
        <v>47</v>
      </c>
      <c r="M192">
        <v>1810</v>
      </c>
      <c r="N192">
        <v>0.1</v>
      </c>
      <c r="O192">
        <v>1100</v>
      </c>
    </row>
    <row r="193" spans="1:15" x14ac:dyDescent="0.25">
      <c r="A193" t="s">
        <v>333</v>
      </c>
      <c r="B193">
        <v>45400</v>
      </c>
      <c r="C193" t="s">
        <v>56</v>
      </c>
      <c r="D193" t="s">
        <v>103</v>
      </c>
      <c r="E193" t="s">
        <v>334</v>
      </c>
      <c r="F193" t="s">
        <v>19</v>
      </c>
      <c r="G193" t="s">
        <v>27</v>
      </c>
      <c r="H193" t="s">
        <v>214</v>
      </c>
      <c r="I193" t="s">
        <v>215</v>
      </c>
      <c r="J193" t="s">
        <v>40</v>
      </c>
      <c r="K193" t="s">
        <v>24</v>
      </c>
      <c r="L193">
        <v>4</v>
      </c>
      <c r="M193">
        <v>32410</v>
      </c>
      <c r="N193">
        <v>0</v>
      </c>
      <c r="O193">
        <v>20450</v>
      </c>
    </row>
    <row r="194" spans="1:15" x14ac:dyDescent="0.25">
      <c r="A194" t="s">
        <v>335</v>
      </c>
      <c r="B194">
        <v>45401</v>
      </c>
      <c r="C194" t="s">
        <v>42</v>
      </c>
      <c r="D194" t="s">
        <v>43</v>
      </c>
      <c r="E194" t="s">
        <v>64</v>
      </c>
      <c r="F194" t="s">
        <v>19</v>
      </c>
      <c r="G194" t="s">
        <v>59</v>
      </c>
      <c r="H194" t="s">
        <v>73</v>
      </c>
      <c r="I194" t="s">
        <v>113</v>
      </c>
      <c r="J194" t="s">
        <v>23</v>
      </c>
      <c r="K194" t="s">
        <v>24</v>
      </c>
      <c r="L194">
        <v>4</v>
      </c>
      <c r="M194">
        <v>34470</v>
      </c>
      <c r="N194">
        <v>0.1</v>
      </c>
      <c r="O194">
        <v>20990</v>
      </c>
    </row>
    <row r="195" spans="1:15" x14ac:dyDescent="0.25">
      <c r="A195" t="s">
        <v>336</v>
      </c>
      <c r="B195">
        <v>45401</v>
      </c>
      <c r="C195" t="s">
        <v>16</v>
      </c>
      <c r="D195" t="s">
        <v>153</v>
      </c>
      <c r="E195" t="s">
        <v>18</v>
      </c>
      <c r="F195" t="s">
        <v>19</v>
      </c>
      <c r="G195" t="s">
        <v>20</v>
      </c>
      <c r="H195" t="s">
        <v>87</v>
      </c>
      <c r="I195" t="s">
        <v>88</v>
      </c>
      <c r="J195" t="s">
        <v>40</v>
      </c>
      <c r="K195" t="s">
        <v>24</v>
      </c>
      <c r="L195">
        <v>1</v>
      </c>
      <c r="M195">
        <v>31750</v>
      </c>
      <c r="N195">
        <v>0.08</v>
      </c>
      <c r="O195">
        <v>17860</v>
      </c>
    </row>
    <row r="196" spans="1:15" x14ac:dyDescent="0.25">
      <c r="A196" t="s">
        <v>337</v>
      </c>
      <c r="B196">
        <v>45401</v>
      </c>
      <c r="C196" t="s">
        <v>37</v>
      </c>
      <c r="D196" t="s">
        <v>67</v>
      </c>
      <c r="E196" t="s">
        <v>39</v>
      </c>
      <c r="F196" t="s">
        <v>19</v>
      </c>
      <c r="G196" t="s">
        <v>27</v>
      </c>
      <c r="H196" t="s">
        <v>79</v>
      </c>
      <c r="I196" t="s">
        <v>262</v>
      </c>
      <c r="J196" t="s">
        <v>23</v>
      </c>
      <c r="K196" t="s">
        <v>24</v>
      </c>
      <c r="L196">
        <v>12</v>
      </c>
      <c r="M196">
        <v>2470</v>
      </c>
      <c r="N196">
        <v>0.12</v>
      </c>
      <c r="O196">
        <v>1520</v>
      </c>
    </row>
    <row r="197" spans="1:15" x14ac:dyDescent="0.25">
      <c r="A197" t="s">
        <v>338</v>
      </c>
      <c r="B197">
        <v>45402</v>
      </c>
      <c r="C197" t="s">
        <v>56</v>
      </c>
      <c r="D197" t="s">
        <v>127</v>
      </c>
      <c r="E197" t="s">
        <v>134</v>
      </c>
      <c r="F197" t="s">
        <v>45</v>
      </c>
      <c r="G197" t="s">
        <v>46</v>
      </c>
      <c r="H197" t="s">
        <v>179</v>
      </c>
      <c r="I197" t="s">
        <v>221</v>
      </c>
      <c r="J197" t="s">
        <v>40</v>
      </c>
      <c r="K197" t="s">
        <v>24</v>
      </c>
      <c r="L197">
        <v>70</v>
      </c>
      <c r="M197">
        <v>1720</v>
      </c>
      <c r="N197">
        <v>0.12</v>
      </c>
      <c r="O197">
        <v>1120</v>
      </c>
    </row>
    <row r="198" spans="1:15" x14ac:dyDescent="0.25">
      <c r="A198" t="s">
        <v>339</v>
      </c>
      <c r="B198">
        <v>45403</v>
      </c>
      <c r="C198" t="s">
        <v>56</v>
      </c>
      <c r="D198" t="s">
        <v>133</v>
      </c>
      <c r="E198" t="s">
        <v>91</v>
      </c>
      <c r="F198" t="s">
        <v>52</v>
      </c>
      <c r="G198" t="s">
        <v>20</v>
      </c>
      <c r="H198" t="s">
        <v>33</v>
      </c>
      <c r="I198" t="s">
        <v>34</v>
      </c>
      <c r="J198" t="s">
        <v>23</v>
      </c>
      <c r="K198" t="s">
        <v>94</v>
      </c>
      <c r="L198">
        <v>3</v>
      </c>
      <c r="M198">
        <v>54670</v>
      </c>
      <c r="N198">
        <v>0.15</v>
      </c>
      <c r="O198">
        <v>31590</v>
      </c>
    </row>
    <row r="199" spans="1:15" x14ac:dyDescent="0.25">
      <c r="A199" t="s">
        <v>340</v>
      </c>
      <c r="B199">
        <v>45403</v>
      </c>
      <c r="C199" t="s">
        <v>42</v>
      </c>
      <c r="D199" t="s">
        <v>265</v>
      </c>
      <c r="E199" t="s">
        <v>64</v>
      </c>
      <c r="F199" t="s">
        <v>92</v>
      </c>
      <c r="G199" t="s">
        <v>20</v>
      </c>
      <c r="H199" t="s">
        <v>87</v>
      </c>
      <c r="I199" t="s">
        <v>105</v>
      </c>
      <c r="J199" t="s">
        <v>40</v>
      </c>
      <c r="K199" t="s">
        <v>24</v>
      </c>
      <c r="L199">
        <v>2</v>
      </c>
      <c r="M199">
        <v>55270</v>
      </c>
      <c r="N199">
        <v>0.18</v>
      </c>
      <c r="O199">
        <v>42730</v>
      </c>
    </row>
    <row r="200" spans="1:15" x14ac:dyDescent="0.25">
      <c r="A200" t="s">
        <v>341</v>
      </c>
      <c r="B200">
        <v>45404</v>
      </c>
      <c r="C200" t="s">
        <v>56</v>
      </c>
      <c r="D200" t="s">
        <v>143</v>
      </c>
      <c r="E200" t="s">
        <v>134</v>
      </c>
      <c r="F200" t="s">
        <v>19</v>
      </c>
      <c r="G200" t="s">
        <v>59</v>
      </c>
      <c r="H200" t="s">
        <v>73</v>
      </c>
      <c r="I200" t="s">
        <v>74</v>
      </c>
      <c r="J200" t="s">
        <v>49</v>
      </c>
      <c r="K200" t="s">
        <v>24</v>
      </c>
      <c r="L200">
        <v>3</v>
      </c>
      <c r="M200">
        <v>42950</v>
      </c>
      <c r="N200">
        <v>0.12</v>
      </c>
      <c r="O200">
        <v>30320</v>
      </c>
    </row>
    <row r="201" spans="1:15" x14ac:dyDescent="0.25">
      <c r="A201" t="s">
        <v>342</v>
      </c>
      <c r="B201">
        <v>45404</v>
      </c>
      <c r="C201" t="s">
        <v>42</v>
      </c>
      <c r="D201" t="s">
        <v>265</v>
      </c>
      <c r="E201" t="s">
        <v>97</v>
      </c>
      <c r="F201" t="s">
        <v>19</v>
      </c>
      <c r="G201" t="s">
        <v>46</v>
      </c>
      <c r="H201" t="s">
        <v>100</v>
      </c>
      <c r="I201" t="s">
        <v>177</v>
      </c>
      <c r="J201" t="s">
        <v>23</v>
      </c>
      <c r="K201" t="s">
        <v>24</v>
      </c>
      <c r="L201">
        <v>28</v>
      </c>
      <c r="M201">
        <v>2560</v>
      </c>
      <c r="N201">
        <v>0.08</v>
      </c>
      <c r="O201">
        <v>1600</v>
      </c>
    </row>
    <row r="202" spans="1:15" x14ac:dyDescent="0.25">
      <c r="A202" t="s">
        <v>343</v>
      </c>
      <c r="B202">
        <v>45406</v>
      </c>
      <c r="C202" t="s">
        <v>56</v>
      </c>
      <c r="D202" t="s">
        <v>57</v>
      </c>
      <c r="E202" t="s">
        <v>91</v>
      </c>
      <c r="F202" t="s">
        <v>19</v>
      </c>
      <c r="G202" t="s">
        <v>27</v>
      </c>
      <c r="H202" t="s">
        <v>53</v>
      </c>
      <c r="I202" t="s">
        <v>54</v>
      </c>
      <c r="J202" t="s">
        <v>40</v>
      </c>
      <c r="K202" t="s">
        <v>24</v>
      </c>
      <c r="L202">
        <v>2</v>
      </c>
      <c r="M202">
        <v>42470</v>
      </c>
      <c r="N202">
        <v>0.05</v>
      </c>
      <c r="O202">
        <v>31170</v>
      </c>
    </row>
    <row r="203" spans="1:15" x14ac:dyDescent="0.25">
      <c r="A203" t="s">
        <v>344</v>
      </c>
      <c r="B203">
        <v>45406</v>
      </c>
      <c r="C203" t="s">
        <v>16</v>
      </c>
      <c r="D203" t="s">
        <v>82</v>
      </c>
      <c r="E203" t="s">
        <v>18</v>
      </c>
      <c r="F203" t="s">
        <v>19</v>
      </c>
      <c r="G203" t="s">
        <v>46</v>
      </c>
      <c r="H203" t="s">
        <v>47</v>
      </c>
      <c r="I203" t="s">
        <v>48</v>
      </c>
      <c r="J203" t="s">
        <v>23</v>
      </c>
      <c r="K203" t="s">
        <v>24</v>
      </c>
      <c r="L203">
        <v>37</v>
      </c>
      <c r="M203">
        <v>1750</v>
      </c>
      <c r="N203">
        <v>0</v>
      </c>
      <c r="O203">
        <v>1100</v>
      </c>
    </row>
    <row r="204" spans="1:15" x14ac:dyDescent="0.25">
      <c r="A204" t="s">
        <v>345</v>
      </c>
      <c r="B204">
        <v>45406</v>
      </c>
      <c r="C204" t="s">
        <v>16</v>
      </c>
      <c r="D204" t="s">
        <v>31</v>
      </c>
      <c r="E204" t="s">
        <v>26</v>
      </c>
      <c r="F204" t="s">
        <v>92</v>
      </c>
      <c r="G204" t="s">
        <v>20</v>
      </c>
      <c r="H204" t="s">
        <v>33</v>
      </c>
      <c r="I204" t="s">
        <v>34</v>
      </c>
      <c r="J204" t="s">
        <v>23</v>
      </c>
      <c r="K204" t="s">
        <v>24</v>
      </c>
      <c r="L204">
        <v>4</v>
      </c>
      <c r="M204">
        <v>52410</v>
      </c>
      <c r="N204">
        <v>0</v>
      </c>
      <c r="O204">
        <v>41220</v>
      </c>
    </row>
    <row r="205" spans="1:15" x14ac:dyDescent="0.25">
      <c r="A205" t="s">
        <v>346</v>
      </c>
      <c r="B205">
        <v>45406</v>
      </c>
      <c r="C205" t="s">
        <v>42</v>
      </c>
      <c r="D205" t="s">
        <v>96</v>
      </c>
      <c r="E205" t="s">
        <v>44</v>
      </c>
      <c r="F205" t="s">
        <v>19</v>
      </c>
      <c r="G205" t="s">
        <v>46</v>
      </c>
      <c r="H205" t="s">
        <v>100</v>
      </c>
      <c r="I205" t="s">
        <v>101</v>
      </c>
      <c r="J205" t="s">
        <v>40</v>
      </c>
      <c r="K205" t="s">
        <v>24</v>
      </c>
      <c r="L205">
        <v>21</v>
      </c>
      <c r="M205">
        <v>1990</v>
      </c>
      <c r="N205">
        <v>0.1</v>
      </c>
      <c r="O205">
        <v>1130</v>
      </c>
    </row>
    <row r="206" spans="1:15" x14ac:dyDescent="0.25">
      <c r="A206" t="s">
        <v>347</v>
      </c>
      <c r="B206">
        <v>45406</v>
      </c>
      <c r="C206" t="s">
        <v>42</v>
      </c>
      <c r="D206" t="s">
        <v>43</v>
      </c>
      <c r="E206" t="s">
        <v>97</v>
      </c>
      <c r="F206" t="s">
        <v>19</v>
      </c>
      <c r="G206" t="s">
        <v>20</v>
      </c>
      <c r="H206" t="s">
        <v>33</v>
      </c>
      <c r="I206" t="s">
        <v>139</v>
      </c>
      <c r="J206" t="s">
        <v>40</v>
      </c>
      <c r="K206" t="s">
        <v>119</v>
      </c>
      <c r="L206">
        <v>4</v>
      </c>
      <c r="M206">
        <v>61350</v>
      </c>
      <c r="N206">
        <v>0.08</v>
      </c>
      <c r="O206">
        <v>36520</v>
      </c>
    </row>
    <row r="207" spans="1:15" x14ac:dyDescent="0.25">
      <c r="A207" t="s">
        <v>348</v>
      </c>
      <c r="B207">
        <v>45407</v>
      </c>
      <c r="C207" t="s">
        <v>76</v>
      </c>
      <c r="D207" t="s">
        <v>112</v>
      </c>
      <c r="E207" t="s">
        <v>170</v>
      </c>
      <c r="F207" t="s">
        <v>45</v>
      </c>
      <c r="G207" t="s">
        <v>46</v>
      </c>
      <c r="H207" t="s">
        <v>179</v>
      </c>
      <c r="I207" t="s">
        <v>236</v>
      </c>
      <c r="J207" t="s">
        <v>23</v>
      </c>
      <c r="K207" t="s">
        <v>24</v>
      </c>
      <c r="L207">
        <v>45</v>
      </c>
      <c r="M207">
        <v>2180</v>
      </c>
      <c r="N207">
        <v>0.12</v>
      </c>
      <c r="O207">
        <v>1370</v>
      </c>
    </row>
    <row r="208" spans="1:15" x14ac:dyDescent="0.25">
      <c r="A208" t="s">
        <v>349</v>
      </c>
      <c r="B208">
        <v>45407</v>
      </c>
      <c r="C208" t="s">
        <v>16</v>
      </c>
      <c r="D208" t="s">
        <v>191</v>
      </c>
      <c r="E208" t="s">
        <v>350</v>
      </c>
      <c r="F208" t="s">
        <v>19</v>
      </c>
      <c r="G208" t="s">
        <v>27</v>
      </c>
      <c r="H208" t="s">
        <v>79</v>
      </c>
      <c r="I208" t="s">
        <v>168</v>
      </c>
      <c r="J208" t="s">
        <v>40</v>
      </c>
      <c r="K208" t="s">
        <v>24</v>
      </c>
      <c r="L208">
        <v>14</v>
      </c>
      <c r="M208">
        <v>9420</v>
      </c>
      <c r="N208">
        <v>0.15</v>
      </c>
      <c r="O208">
        <v>7150</v>
      </c>
    </row>
    <row r="209" spans="1:15" x14ac:dyDescent="0.25">
      <c r="A209" t="s">
        <v>351</v>
      </c>
      <c r="B209">
        <v>45409</v>
      </c>
      <c r="C209" t="s">
        <v>42</v>
      </c>
      <c r="D209" t="s">
        <v>123</v>
      </c>
      <c r="E209" t="s">
        <v>44</v>
      </c>
      <c r="F209" t="s">
        <v>52</v>
      </c>
      <c r="G209" t="s">
        <v>46</v>
      </c>
      <c r="H209" t="s">
        <v>100</v>
      </c>
      <c r="I209" t="s">
        <v>101</v>
      </c>
      <c r="J209" t="s">
        <v>23</v>
      </c>
      <c r="K209" t="s">
        <v>94</v>
      </c>
      <c r="L209">
        <v>29</v>
      </c>
      <c r="M209">
        <v>1910</v>
      </c>
      <c r="N209">
        <v>0.12</v>
      </c>
      <c r="O209">
        <v>1230</v>
      </c>
    </row>
    <row r="210" spans="1:15" x14ac:dyDescent="0.25">
      <c r="A210" t="s">
        <v>352</v>
      </c>
      <c r="B210">
        <v>45409</v>
      </c>
      <c r="C210" t="s">
        <v>37</v>
      </c>
      <c r="D210" t="s">
        <v>115</v>
      </c>
      <c r="E210" t="s">
        <v>39</v>
      </c>
      <c r="F210" t="s">
        <v>19</v>
      </c>
      <c r="G210" t="s">
        <v>83</v>
      </c>
      <c r="H210" t="s">
        <v>84</v>
      </c>
      <c r="I210" t="s">
        <v>85</v>
      </c>
      <c r="J210" t="s">
        <v>40</v>
      </c>
      <c r="K210" t="s">
        <v>119</v>
      </c>
      <c r="L210">
        <v>19</v>
      </c>
      <c r="M210">
        <v>2520</v>
      </c>
      <c r="N210">
        <v>0.15</v>
      </c>
      <c r="O210">
        <v>1490</v>
      </c>
    </row>
    <row r="211" spans="1:15" x14ac:dyDescent="0.25">
      <c r="A211" t="s">
        <v>353</v>
      </c>
      <c r="B211">
        <v>45410</v>
      </c>
      <c r="C211" t="s">
        <v>42</v>
      </c>
      <c r="D211" t="s">
        <v>43</v>
      </c>
      <c r="E211" t="s">
        <v>64</v>
      </c>
      <c r="F211" t="s">
        <v>52</v>
      </c>
      <c r="G211" t="s">
        <v>46</v>
      </c>
      <c r="H211" t="s">
        <v>47</v>
      </c>
      <c r="I211" t="s">
        <v>48</v>
      </c>
      <c r="J211" t="s">
        <v>49</v>
      </c>
      <c r="K211" t="s">
        <v>24</v>
      </c>
      <c r="L211">
        <v>40</v>
      </c>
      <c r="M211">
        <v>1930</v>
      </c>
      <c r="N211">
        <v>0</v>
      </c>
      <c r="O211">
        <v>1520</v>
      </c>
    </row>
    <row r="212" spans="1:15" x14ac:dyDescent="0.25">
      <c r="A212" t="s">
        <v>354</v>
      </c>
      <c r="B212">
        <v>45410</v>
      </c>
      <c r="C212" t="s">
        <v>42</v>
      </c>
      <c r="D212" t="s">
        <v>146</v>
      </c>
      <c r="E212" t="s">
        <v>44</v>
      </c>
      <c r="F212" t="s">
        <v>19</v>
      </c>
      <c r="G212" t="s">
        <v>20</v>
      </c>
      <c r="H212" t="s">
        <v>109</v>
      </c>
      <c r="I212" t="s">
        <v>171</v>
      </c>
      <c r="J212" t="s">
        <v>40</v>
      </c>
      <c r="K212" t="s">
        <v>24</v>
      </c>
      <c r="L212">
        <v>3</v>
      </c>
      <c r="M212">
        <v>21430</v>
      </c>
      <c r="N212">
        <v>0</v>
      </c>
      <c r="O212">
        <v>14830</v>
      </c>
    </row>
    <row r="213" spans="1:15" x14ac:dyDescent="0.25">
      <c r="A213" t="s">
        <v>355</v>
      </c>
      <c r="B213">
        <v>45412</v>
      </c>
      <c r="C213" t="s">
        <v>56</v>
      </c>
      <c r="D213" t="s">
        <v>103</v>
      </c>
      <c r="E213" t="s">
        <v>134</v>
      </c>
      <c r="F213" t="s">
        <v>92</v>
      </c>
      <c r="G213" t="s">
        <v>20</v>
      </c>
      <c r="H213" t="s">
        <v>33</v>
      </c>
      <c r="I213" t="s">
        <v>182</v>
      </c>
      <c r="J213" t="s">
        <v>40</v>
      </c>
      <c r="K213" t="s">
        <v>119</v>
      </c>
      <c r="L213">
        <v>1</v>
      </c>
      <c r="M213">
        <v>105600</v>
      </c>
      <c r="N213">
        <v>0.15</v>
      </c>
      <c r="O213">
        <v>78440</v>
      </c>
    </row>
    <row r="214" spans="1:15" x14ac:dyDescent="0.25">
      <c r="A214" t="s">
        <v>356</v>
      </c>
      <c r="B214">
        <v>45412</v>
      </c>
      <c r="C214" t="s">
        <v>42</v>
      </c>
      <c r="D214" t="s">
        <v>43</v>
      </c>
      <c r="E214" t="s">
        <v>97</v>
      </c>
      <c r="F214" t="s">
        <v>45</v>
      </c>
      <c r="G214" t="s">
        <v>27</v>
      </c>
      <c r="H214" t="s">
        <v>53</v>
      </c>
      <c r="I214" t="s">
        <v>54</v>
      </c>
      <c r="J214" t="s">
        <v>23</v>
      </c>
      <c r="K214" t="s">
        <v>24</v>
      </c>
      <c r="L214">
        <v>3</v>
      </c>
      <c r="M214">
        <v>45030</v>
      </c>
      <c r="N214">
        <v>0</v>
      </c>
      <c r="O214">
        <v>32350</v>
      </c>
    </row>
    <row r="215" spans="1:15" x14ac:dyDescent="0.25">
      <c r="A215" t="s">
        <v>357</v>
      </c>
      <c r="B215">
        <v>45413</v>
      </c>
      <c r="C215" t="s">
        <v>37</v>
      </c>
      <c r="D215" t="s">
        <v>213</v>
      </c>
      <c r="E215" t="s">
        <v>39</v>
      </c>
      <c r="F215" t="s">
        <v>19</v>
      </c>
      <c r="G215" t="s">
        <v>46</v>
      </c>
      <c r="H215" t="s">
        <v>179</v>
      </c>
      <c r="I215" t="s">
        <v>236</v>
      </c>
      <c r="J215" t="s">
        <v>40</v>
      </c>
      <c r="K215" t="s">
        <v>24</v>
      </c>
      <c r="L215">
        <v>29</v>
      </c>
      <c r="M215">
        <v>2340</v>
      </c>
      <c r="N215">
        <v>0.15</v>
      </c>
      <c r="O215">
        <v>1530</v>
      </c>
    </row>
    <row r="216" spans="1:15" x14ac:dyDescent="0.25">
      <c r="A216" t="s">
        <v>358</v>
      </c>
      <c r="B216">
        <v>45414</v>
      </c>
      <c r="C216" t="s">
        <v>42</v>
      </c>
      <c r="D216" t="s">
        <v>130</v>
      </c>
      <c r="E216" t="s">
        <v>44</v>
      </c>
      <c r="F216" t="s">
        <v>19</v>
      </c>
      <c r="G216" t="s">
        <v>83</v>
      </c>
      <c r="H216" t="s">
        <v>84</v>
      </c>
      <c r="I216" t="s">
        <v>85</v>
      </c>
      <c r="J216" t="s">
        <v>40</v>
      </c>
      <c r="K216" t="s">
        <v>24</v>
      </c>
      <c r="L216">
        <v>24</v>
      </c>
      <c r="M216">
        <v>2330</v>
      </c>
      <c r="N216">
        <v>0.08</v>
      </c>
      <c r="O216">
        <v>1400</v>
      </c>
    </row>
    <row r="217" spans="1:15" x14ac:dyDescent="0.25">
      <c r="A217" t="s">
        <v>359</v>
      </c>
      <c r="B217">
        <v>45414</v>
      </c>
      <c r="C217" t="s">
        <v>42</v>
      </c>
      <c r="D217" t="s">
        <v>123</v>
      </c>
      <c r="E217" t="s">
        <v>64</v>
      </c>
      <c r="F217" t="s">
        <v>19</v>
      </c>
      <c r="G217" t="s">
        <v>46</v>
      </c>
      <c r="H217" t="s">
        <v>47</v>
      </c>
      <c r="I217" t="s">
        <v>48</v>
      </c>
      <c r="J217" t="s">
        <v>23</v>
      </c>
      <c r="K217" t="s">
        <v>94</v>
      </c>
      <c r="L217">
        <v>38</v>
      </c>
      <c r="M217">
        <v>1790</v>
      </c>
      <c r="N217">
        <v>0.05</v>
      </c>
      <c r="O217">
        <v>1140</v>
      </c>
    </row>
    <row r="218" spans="1:15" x14ac:dyDescent="0.25">
      <c r="A218" t="s">
        <v>360</v>
      </c>
      <c r="B218">
        <v>45415</v>
      </c>
      <c r="C218" t="s">
        <v>42</v>
      </c>
      <c r="D218" t="s">
        <v>96</v>
      </c>
      <c r="E218" t="s">
        <v>97</v>
      </c>
      <c r="F218" t="s">
        <v>19</v>
      </c>
      <c r="G218" t="s">
        <v>46</v>
      </c>
      <c r="H218" t="s">
        <v>179</v>
      </c>
      <c r="I218" t="s">
        <v>236</v>
      </c>
      <c r="J218" t="s">
        <v>23</v>
      </c>
      <c r="K218" t="s">
        <v>24</v>
      </c>
      <c r="L218">
        <v>38</v>
      </c>
      <c r="M218">
        <v>2290</v>
      </c>
      <c r="N218">
        <v>0.1</v>
      </c>
      <c r="O218">
        <v>1320</v>
      </c>
    </row>
    <row r="219" spans="1:15" x14ac:dyDescent="0.25">
      <c r="A219" t="s">
        <v>361</v>
      </c>
      <c r="B219">
        <v>45415</v>
      </c>
      <c r="C219" t="s">
        <v>76</v>
      </c>
      <c r="D219" t="s">
        <v>150</v>
      </c>
      <c r="E219" t="s">
        <v>170</v>
      </c>
      <c r="F219" t="s">
        <v>19</v>
      </c>
      <c r="G219" t="s">
        <v>20</v>
      </c>
      <c r="H219" t="s">
        <v>21</v>
      </c>
      <c r="I219" t="s">
        <v>362</v>
      </c>
      <c r="J219" t="s">
        <v>23</v>
      </c>
      <c r="K219" t="s">
        <v>35</v>
      </c>
      <c r="L219">
        <v>6</v>
      </c>
      <c r="M219">
        <v>8970</v>
      </c>
      <c r="N219">
        <v>0.2</v>
      </c>
      <c r="O219">
        <v>7040</v>
      </c>
    </row>
    <row r="220" spans="1:15" x14ac:dyDescent="0.25">
      <c r="A220" t="s">
        <v>363</v>
      </c>
      <c r="B220">
        <v>45416</v>
      </c>
      <c r="C220" t="s">
        <v>16</v>
      </c>
      <c r="D220" t="s">
        <v>82</v>
      </c>
      <c r="E220" t="s">
        <v>32</v>
      </c>
      <c r="F220" t="s">
        <v>92</v>
      </c>
      <c r="G220" t="s">
        <v>46</v>
      </c>
      <c r="H220" t="s">
        <v>179</v>
      </c>
      <c r="I220" t="s">
        <v>180</v>
      </c>
      <c r="J220" t="s">
        <v>40</v>
      </c>
      <c r="K220" t="s">
        <v>24</v>
      </c>
      <c r="L220">
        <v>6</v>
      </c>
      <c r="M220">
        <v>4030</v>
      </c>
      <c r="N220">
        <v>0</v>
      </c>
      <c r="O220">
        <v>2950</v>
      </c>
    </row>
    <row r="221" spans="1:15" x14ac:dyDescent="0.25">
      <c r="A221" t="s">
        <v>364</v>
      </c>
      <c r="B221">
        <v>45416</v>
      </c>
      <c r="C221" t="s">
        <v>16</v>
      </c>
      <c r="D221" t="s">
        <v>153</v>
      </c>
      <c r="E221" t="s">
        <v>26</v>
      </c>
      <c r="F221" t="s">
        <v>92</v>
      </c>
      <c r="G221" t="s">
        <v>83</v>
      </c>
      <c r="H221" t="s">
        <v>84</v>
      </c>
      <c r="I221" t="s">
        <v>292</v>
      </c>
      <c r="J221" t="s">
        <v>49</v>
      </c>
      <c r="K221" t="s">
        <v>24</v>
      </c>
      <c r="L221">
        <v>4</v>
      </c>
      <c r="M221">
        <v>40240</v>
      </c>
      <c r="N221">
        <v>0.2</v>
      </c>
      <c r="O221">
        <v>30700</v>
      </c>
    </row>
    <row r="222" spans="1:15" x14ac:dyDescent="0.25">
      <c r="A222" t="s">
        <v>365</v>
      </c>
      <c r="B222">
        <v>45416</v>
      </c>
      <c r="C222" t="s">
        <v>56</v>
      </c>
      <c r="D222" t="s">
        <v>127</v>
      </c>
      <c r="E222" t="s">
        <v>134</v>
      </c>
      <c r="F222" t="s">
        <v>52</v>
      </c>
      <c r="G222" t="s">
        <v>20</v>
      </c>
      <c r="H222" t="s">
        <v>109</v>
      </c>
      <c r="I222" t="s">
        <v>110</v>
      </c>
      <c r="J222" t="s">
        <v>49</v>
      </c>
      <c r="K222" t="s">
        <v>24</v>
      </c>
      <c r="L222">
        <v>1</v>
      </c>
      <c r="M222">
        <v>70090</v>
      </c>
      <c r="N222">
        <v>0</v>
      </c>
      <c r="O222">
        <v>46840</v>
      </c>
    </row>
    <row r="223" spans="1:15" x14ac:dyDescent="0.25">
      <c r="A223" t="s">
        <v>366</v>
      </c>
      <c r="B223">
        <v>45416</v>
      </c>
      <c r="C223" t="s">
        <v>16</v>
      </c>
      <c r="D223" t="s">
        <v>17</v>
      </c>
      <c r="E223" t="s">
        <v>18</v>
      </c>
      <c r="F223" t="s">
        <v>19</v>
      </c>
      <c r="G223" t="s">
        <v>20</v>
      </c>
      <c r="H223" t="s">
        <v>21</v>
      </c>
      <c r="I223" t="s">
        <v>65</v>
      </c>
      <c r="J223" t="s">
        <v>23</v>
      </c>
      <c r="K223" t="s">
        <v>24</v>
      </c>
      <c r="L223">
        <v>14</v>
      </c>
      <c r="M223">
        <v>8470</v>
      </c>
      <c r="N223">
        <v>0.15</v>
      </c>
      <c r="O223">
        <v>6170</v>
      </c>
    </row>
    <row r="224" spans="1:15" x14ac:dyDescent="0.25">
      <c r="A224" t="s">
        <v>367</v>
      </c>
      <c r="B224">
        <v>45417</v>
      </c>
      <c r="C224" t="s">
        <v>76</v>
      </c>
      <c r="D224" t="s">
        <v>77</v>
      </c>
      <c r="E224" t="s">
        <v>368</v>
      </c>
      <c r="F224" t="s">
        <v>19</v>
      </c>
      <c r="G224" t="s">
        <v>20</v>
      </c>
      <c r="H224" t="s">
        <v>87</v>
      </c>
      <c r="I224" t="s">
        <v>88</v>
      </c>
      <c r="J224" t="s">
        <v>40</v>
      </c>
      <c r="K224" t="s">
        <v>24</v>
      </c>
      <c r="L224">
        <v>3</v>
      </c>
      <c r="M224">
        <v>33490</v>
      </c>
      <c r="N224">
        <v>0.18</v>
      </c>
      <c r="O224">
        <v>24320</v>
      </c>
    </row>
    <row r="225" spans="1:15" x14ac:dyDescent="0.25">
      <c r="A225" t="s">
        <v>369</v>
      </c>
      <c r="B225">
        <v>45418</v>
      </c>
      <c r="C225" t="s">
        <v>42</v>
      </c>
      <c r="D225" t="s">
        <v>130</v>
      </c>
      <c r="E225" t="s">
        <v>44</v>
      </c>
      <c r="F225" t="s">
        <v>19</v>
      </c>
      <c r="G225" t="s">
        <v>83</v>
      </c>
      <c r="H225" t="s">
        <v>84</v>
      </c>
      <c r="I225" t="s">
        <v>85</v>
      </c>
      <c r="J225" t="s">
        <v>40</v>
      </c>
      <c r="K225" t="s">
        <v>24</v>
      </c>
      <c r="L225">
        <v>26</v>
      </c>
      <c r="M225">
        <v>2390</v>
      </c>
      <c r="N225">
        <v>0.1</v>
      </c>
      <c r="O225">
        <v>1340</v>
      </c>
    </row>
    <row r="226" spans="1:15" x14ac:dyDescent="0.25">
      <c r="A226" t="s">
        <v>370</v>
      </c>
      <c r="B226">
        <v>45418</v>
      </c>
      <c r="C226" t="s">
        <v>42</v>
      </c>
      <c r="D226" t="s">
        <v>43</v>
      </c>
      <c r="E226" t="s">
        <v>44</v>
      </c>
      <c r="F226" t="s">
        <v>45</v>
      </c>
      <c r="G226" t="s">
        <v>20</v>
      </c>
      <c r="H226" t="s">
        <v>33</v>
      </c>
      <c r="I226" t="s">
        <v>182</v>
      </c>
      <c r="J226" t="s">
        <v>23</v>
      </c>
      <c r="K226" t="s">
        <v>24</v>
      </c>
      <c r="L226">
        <v>6</v>
      </c>
      <c r="M226">
        <v>113040</v>
      </c>
      <c r="N226">
        <v>0.05</v>
      </c>
      <c r="O226">
        <v>88190</v>
      </c>
    </row>
    <row r="227" spans="1:15" x14ac:dyDescent="0.25">
      <c r="A227" t="s">
        <v>371</v>
      </c>
      <c r="B227">
        <v>45418</v>
      </c>
      <c r="C227" t="s">
        <v>56</v>
      </c>
      <c r="D227" t="s">
        <v>72</v>
      </c>
      <c r="E227" t="s">
        <v>134</v>
      </c>
      <c r="F227" t="s">
        <v>45</v>
      </c>
      <c r="G227" t="s">
        <v>46</v>
      </c>
      <c r="H227" t="s">
        <v>179</v>
      </c>
      <c r="I227" t="s">
        <v>180</v>
      </c>
      <c r="J227" t="s">
        <v>40</v>
      </c>
      <c r="K227" t="s">
        <v>24</v>
      </c>
      <c r="L227">
        <v>14</v>
      </c>
      <c r="M227">
        <v>3690</v>
      </c>
      <c r="N227">
        <v>0.2</v>
      </c>
      <c r="O227">
        <v>2240</v>
      </c>
    </row>
    <row r="228" spans="1:15" x14ac:dyDescent="0.25">
      <c r="A228" t="s">
        <v>372</v>
      </c>
      <c r="B228">
        <v>45419</v>
      </c>
      <c r="C228" t="s">
        <v>56</v>
      </c>
      <c r="D228" t="s">
        <v>72</v>
      </c>
      <c r="E228" t="s">
        <v>91</v>
      </c>
      <c r="F228" t="s">
        <v>19</v>
      </c>
      <c r="G228" t="s">
        <v>59</v>
      </c>
      <c r="H228" t="s">
        <v>73</v>
      </c>
      <c r="I228" t="s">
        <v>113</v>
      </c>
      <c r="J228" t="s">
        <v>23</v>
      </c>
      <c r="K228" t="s">
        <v>24</v>
      </c>
      <c r="L228">
        <v>1</v>
      </c>
      <c r="M228">
        <v>31730</v>
      </c>
      <c r="N228">
        <v>0.1</v>
      </c>
      <c r="O228">
        <v>22860</v>
      </c>
    </row>
    <row r="229" spans="1:15" x14ac:dyDescent="0.25">
      <c r="A229" t="s">
        <v>373</v>
      </c>
      <c r="B229">
        <v>45420</v>
      </c>
      <c r="C229" t="s">
        <v>42</v>
      </c>
      <c r="D229" t="s">
        <v>130</v>
      </c>
      <c r="E229" t="s">
        <v>44</v>
      </c>
      <c r="F229" t="s">
        <v>19</v>
      </c>
      <c r="G229" t="s">
        <v>59</v>
      </c>
      <c r="H229" t="s">
        <v>154</v>
      </c>
      <c r="I229" t="s">
        <v>155</v>
      </c>
      <c r="J229" t="s">
        <v>23</v>
      </c>
      <c r="K229" t="s">
        <v>24</v>
      </c>
      <c r="L229">
        <v>4</v>
      </c>
      <c r="M229">
        <v>12580</v>
      </c>
      <c r="N229">
        <v>0.1</v>
      </c>
      <c r="O229">
        <v>9030</v>
      </c>
    </row>
    <row r="230" spans="1:15" x14ac:dyDescent="0.25">
      <c r="A230" t="s">
        <v>374</v>
      </c>
      <c r="B230">
        <v>45420</v>
      </c>
      <c r="C230" t="s">
        <v>42</v>
      </c>
      <c r="D230" t="s">
        <v>96</v>
      </c>
      <c r="E230" t="s">
        <v>64</v>
      </c>
      <c r="F230" t="s">
        <v>19</v>
      </c>
      <c r="G230" t="s">
        <v>20</v>
      </c>
      <c r="H230" t="s">
        <v>109</v>
      </c>
      <c r="I230" t="s">
        <v>110</v>
      </c>
      <c r="J230" t="s">
        <v>40</v>
      </c>
      <c r="K230" t="s">
        <v>24</v>
      </c>
      <c r="L230">
        <v>1</v>
      </c>
      <c r="M230">
        <v>71260</v>
      </c>
      <c r="N230">
        <v>0.15</v>
      </c>
      <c r="O230">
        <v>54860</v>
      </c>
    </row>
    <row r="231" spans="1:15" x14ac:dyDescent="0.25">
      <c r="A231" t="s">
        <v>375</v>
      </c>
      <c r="B231">
        <v>45420</v>
      </c>
      <c r="C231" t="s">
        <v>56</v>
      </c>
      <c r="D231" t="s">
        <v>133</v>
      </c>
      <c r="E231" t="s">
        <v>58</v>
      </c>
      <c r="F231" t="s">
        <v>19</v>
      </c>
      <c r="G231" t="s">
        <v>27</v>
      </c>
      <c r="H231" t="s">
        <v>53</v>
      </c>
      <c r="I231" t="s">
        <v>131</v>
      </c>
      <c r="J231" t="s">
        <v>23</v>
      </c>
      <c r="K231" t="s">
        <v>24</v>
      </c>
      <c r="L231">
        <v>4</v>
      </c>
      <c r="M231">
        <v>37280</v>
      </c>
      <c r="N231">
        <v>0.1</v>
      </c>
      <c r="O231">
        <v>26310</v>
      </c>
    </row>
    <row r="232" spans="1:15" x14ac:dyDescent="0.25">
      <c r="A232" t="s">
        <v>376</v>
      </c>
      <c r="B232">
        <v>45420</v>
      </c>
      <c r="C232" t="s">
        <v>56</v>
      </c>
      <c r="D232" t="s">
        <v>143</v>
      </c>
      <c r="E232" t="s">
        <v>134</v>
      </c>
      <c r="F232" t="s">
        <v>19</v>
      </c>
      <c r="G232" t="s">
        <v>46</v>
      </c>
      <c r="H232" t="s">
        <v>47</v>
      </c>
      <c r="I232" t="s">
        <v>93</v>
      </c>
      <c r="J232" t="s">
        <v>23</v>
      </c>
      <c r="K232" t="s">
        <v>24</v>
      </c>
      <c r="L232">
        <v>11</v>
      </c>
      <c r="M232">
        <v>1150</v>
      </c>
      <c r="N232">
        <v>0.12</v>
      </c>
      <c r="O232">
        <v>770</v>
      </c>
    </row>
    <row r="233" spans="1:15" x14ac:dyDescent="0.25">
      <c r="A233" t="s">
        <v>377</v>
      </c>
      <c r="B233">
        <v>45420</v>
      </c>
      <c r="C233" t="s">
        <v>42</v>
      </c>
      <c r="D233" t="s">
        <v>130</v>
      </c>
      <c r="E233" t="s">
        <v>97</v>
      </c>
      <c r="F233" t="s">
        <v>52</v>
      </c>
      <c r="G233" t="s">
        <v>46</v>
      </c>
      <c r="H233" t="s">
        <v>100</v>
      </c>
      <c r="I233" t="s">
        <v>177</v>
      </c>
      <c r="J233" t="s">
        <v>23</v>
      </c>
      <c r="K233" t="s">
        <v>24</v>
      </c>
      <c r="L233">
        <v>11</v>
      </c>
      <c r="M233">
        <v>2660</v>
      </c>
      <c r="N233">
        <v>0.12</v>
      </c>
      <c r="O233">
        <v>1930</v>
      </c>
    </row>
    <row r="234" spans="1:15" x14ac:dyDescent="0.25">
      <c r="A234" t="s">
        <v>378</v>
      </c>
      <c r="B234">
        <v>45420</v>
      </c>
      <c r="C234" t="s">
        <v>37</v>
      </c>
      <c r="D234" t="s">
        <v>213</v>
      </c>
      <c r="E234" t="s">
        <v>68</v>
      </c>
      <c r="F234" t="s">
        <v>92</v>
      </c>
      <c r="G234" t="s">
        <v>20</v>
      </c>
      <c r="H234" t="s">
        <v>33</v>
      </c>
      <c r="I234" t="s">
        <v>34</v>
      </c>
      <c r="J234" t="s">
        <v>23</v>
      </c>
      <c r="K234" t="s">
        <v>24</v>
      </c>
      <c r="L234">
        <v>6</v>
      </c>
      <c r="M234">
        <v>58280</v>
      </c>
      <c r="N234">
        <v>0.12</v>
      </c>
      <c r="O234">
        <v>45370</v>
      </c>
    </row>
    <row r="235" spans="1:15" x14ac:dyDescent="0.25">
      <c r="A235" t="s">
        <v>379</v>
      </c>
      <c r="B235">
        <v>45421</v>
      </c>
      <c r="C235" t="s">
        <v>16</v>
      </c>
      <c r="D235" t="s">
        <v>17</v>
      </c>
      <c r="E235" t="s">
        <v>26</v>
      </c>
      <c r="F235" t="s">
        <v>92</v>
      </c>
      <c r="G235" t="s">
        <v>20</v>
      </c>
      <c r="H235" t="s">
        <v>33</v>
      </c>
      <c r="I235" t="s">
        <v>182</v>
      </c>
      <c r="J235" t="s">
        <v>23</v>
      </c>
      <c r="K235" t="s">
        <v>24</v>
      </c>
      <c r="L235">
        <v>7</v>
      </c>
      <c r="M235">
        <v>106220</v>
      </c>
      <c r="N235">
        <v>0.25</v>
      </c>
      <c r="O235">
        <v>69670</v>
      </c>
    </row>
    <row r="236" spans="1:15" x14ac:dyDescent="0.25">
      <c r="A236" t="s">
        <v>380</v>
      </c>
      <c r="B236">
        <v>45421</v>
      </c>
      <c r="C236" t="s">
        <v>37</v>
      </c>
      <c r="D236" t="s">
        <v>213</v>
      </c>
      <c r="E236" t="s">
        <v>39</v>
      </c>
      <c r="F236" t="s">
        <v>92</v>
      </c>
      <c r="G236" t="s">
        <v>46</v>
      </c>
      <c r="H236" t="s">
        <v>47</v>
      </c>
      <c r="I236" t="s">
        <v>259</v>
      </c>
      <c r="J236" t="s">
        <v>40</v>
      </c>
      <c r="K236" t="s">
        <v>24</v>
      </c>
      <c r="L236">
        <v>64</v>
      </c>
      <c r="M236">
        <v>2830</v>
      </c>
      <c r="N236">
        <v>0.05</v>
      </c>
      <c r="O236">
        <v>2080</v>
      </c>
    </row>
    <row r="237" spans="1:15" x14ac:dyDescent="0.25">
      <c r="A237" t="s">
        <v>381</v>
      </c>
      <c r="B237">
        <v>45422</v>
      </c>
      <c r="C237" t="s">
        <v>16</v>
      </c>
      <c r="D237" t="s">
        <v>153</v>
      </c>
      <c r="E237" t="s">
        <v>32</v>
      </c>
      <c r="F237" t="s">
        <v>19</v>
      </c>
      <c r="G237" t="s">
        <v>20</v>
      </c>
      <c r="H237" t="s">
        <v>109</v>
      </c>
      <c r="I237" t="s">
        <v>171</v>
      </c>
      <c r="J237" t="s">
        <v>40</v>
      </c>
      <c r="K237" t="s">
        <v>94</v>
      </c>
      <c r="L237">
        <v>1</v>
      </c>
      <c r="M237">
        <v>21510</v>
      </c>
      <c r="N237">
        <v>0.2</v>
      </c>
      <c r="O237">
        <v>13970</v>
      </c>
    </row>
    <row r="238" spans="1:15" x14ac:dyDescent="0.25">
      <c r="A238" t="s">
        <v>382</v>
      </c>
      <c r="B238">
        <v>45423</v>
      </c>
      <c r="C238" t="s">
        <v>56</v>
      </c>
      <c r="D238" t="s">
        <v>57</v>
      </c>
      <c r="E238" t="s">
        <v>91</v>
      </c>
      <c r="F238" t="s">
        <v>92</v>
      </c>
      <c r="G238" t="s">
        <v>83</v>
      </c>
      <c r="H238" t="s">
        <v>136</v>
      </c>
      <c r="I238" t="s">
        <v>137</v>
      </c>
      <c r="J238" t="s">
        <v>40</v>
      </c>
      <c r="K238" t="s">
        <v>24</v>
      </c>
      <c r="L238">
        <v>36</v>
      </c>
      <c r="M238">
        <v>1710</v>
      </c>
      <c r="N238">
        <v>0.12</v>
      </c>
      <c r="O238">
        <v>1080</v>
      </c>
    </row>
    <row r="239" spans="1:15" x14ac:dyDescent="0.25">
      <c r="A239" t="s">
        <v>383</v>
      </c>
      <c r="B239">
        <v>45423</v>
      </c>
      <c r="C239" t="s">
        <v>37</v>
      </c>
      <c r="D239" t="s">
        <v>38</v>
      </c>
      <c r="E239" t="s">
        <v>39</v>
      </c>
      <c r="F239" t="s">
        <v>92</v>
      </c>
      <c r="G239" t="s">
        <v>46</v>
      </c>
      <c r="H239" t="s">
        <v>47</v>
      </c>
      <c r="I239" t="s">
        <v>93</v>
      </c>
      <c r="J239" t="s">
        <v>40</v>
      </c>
      <c r="K239" t="s">
        <v>24</v>
      </c>
      <c r="L239">
        <v>17</v>
      </c>
      <c r="M239">
        <v>1180</v>
      </c>
      <c r="N239">
        <v>0.18</v>
      </c>
      <c r="O239">
        <v>820</v>
      </c>
    </row>
    <row r="240" spans="1:15" x14ac:dyDescent="0.25">
      <c r="A240" t="s">
        <v>384</v>
      </c>
      <c r="B240">
        <v>45423</v>
      </c>
      <c r="C240" t="s">
        <v>16</v>
      </c>
      <c r="D240" t="s">
        <v>153</v>
      </c>
      <c r="E240" t="s">
        <v>18</v>
      </c>
      <c r="F240" t="s">
        <v>19</v>
      </c>
      <c r="G240" t="s">
        <v>27</v>
      </c>
      <c r="H240" t="s">
        <v>214</v>
      </c>
      <c r="I240" t="s">
        <v>252</v>
      </c>
      <c r="J240" t="s">
        <v>49</v>
      </c>
      <c r="K240" t="s">
        <v>24</v>
      </c>
      <c r="L240">
        <v>3</v>
      </c>
      <c r="M240">
        <v>14240</v>
      </c>
      <c r="N240">
        <v>0.05</v>
      </c>
      <c r="O240">
        <v>8570</v>
      </c>
    </row>
    <row r="241" spans="1:15" x14ac:dyDescent="0.25">
      <c r="A241" t="s">
        <v>385</v>
      </c>
      <c r="B241">
        <v>45423</v>
      </c>
      <c r="C241" t="s">
        <v>76</v>
      </c>
      <c r="D241" t="s">
        <v>77</v>
      </c>
      <c r="E241" t="s">
        <v>170</v>
      </c>
      <c r="F241" t="s">
        <v>19</v>
      </c>
      <c r="G241" t="s">
        <v>59</v>
      </c>
      <c r="H241" t="s">
        <v>69</v>
      </c>
      <c r="I241" t="s">
        <v>121</v>
      </c>
      <c r="J241" t="s">
        <v>23</v>
      </c>
      <c r="K241" t="s">
        <v>24</v>
      </c>
      <c r="L241">
        <v>5</v>
      </c>
      <c r="M241">
        <v>3430</v>
      </c>
      <c r="N241">
        <v>0</v>
      </c>
      <c r="O241">
        <v>2610</v>
      </c>
    </row>
    <row r="242" spans="1:15" x14ac:dyDescent="0.25">
      <c r="A242" t="s">
        <v>386</v>
      </c>
      <c r="B242">
        <v>45424</v>
      </c>
      <c r="C242" t="s">
        <v>16</v>
      </c>
      <c r="D242" t="s">
        <v>153</v>
      </c>
      <c r="E242" t="s">
        <v>18</v>
      </c>
      <c r="F242" t="s">
        <v>45</v>
      </c>
      <c r="G242" t="s">
        <v>20</v>
      </c>
      <c r="H242" t="s">
        <v>33</v>
      </c>
      <c r="I242" t="s">
        <v>182</v>
      </c>
      <c r="J242" t="s">
        <v>49</v>
      </c>
      <c r="K242" t="s">
        <v>24</v>
      </c>
      <c r="L242">
        <v>6</v>
      </c>
      <c r="M242">
        <v>109230</v>
      </c>
      <c r="N242">
        <v>0.12</v>
      </c>
      <c r="O242">
        <v>80710</v>
      </c>
    </row>
    <row r="243" spans="1:15" x14ac:dyDescent="0.25">
      <c r="A243" t="s">
        <v>387</v>
      </c>
      <c r="B243">
        <v>45424</v>
      </c>
      <c r="C243" t="s">
        <v>37</v>
      </c>
      <c r="D243" t="s">
        <v>115</v>
      </c>
      <c r="E243" t="s">
        <v>39</v>
      </c>
      <c r="F243" t="s">
        <v>45</v>
      </c>
      <c r="G243" t="s">
        <v>46</v>
      </c>
      <c r="H243" t="s">
        <v>100</v>
      </c>
      <c r="I243" t="s">
        <v>101</v>
      </c>
      <c r="J243" t="s">
        <v>49</v>
      </c>
      <c r="K243" t="s">
        <v>24</v>
      </c>
      <c r="L243">
        <v>39</v>
      </c>
      <c r="M243">
        <v>1970</v>
      </c>
      <c r="N243">
        <v>0.15</v>
      </c>
      <c r="O243">
        <v>1340</v>
      </c>
    </row>
    <row r="244" spans="1:15" x14ac:dyDescent="0.25">
      <c r="A244" t="s">
        <v>388</v>
      </c>
      <c r="B244">
        <v>45426</v>
      </c>
      <c r="C244" t="s">
        <v>42</v>
      </c>
      <c r="D244" t="s">
        <v>130</v>
      </c>
      <c r="E244" t="s">
        <v>44</v>
      </c>
      <c r="F244" t="s">
        <v>19</v>
      </c>
      <c r="G244" t="s">
        <v>46</v>
      </c>
      <c r="H244" t="s">
        <v>179</v>
      </c>
      <c r="I244" t="s">
        <v>180</v>
      </c>
      <c r="J244" t="s">
        <v>23</v>
      </c>
      <c r="K244" t="s">
        <v>24</v>
      </c>
      <c r="L244">
        <v>4</v>
      </c>
      <c r="M244">
        <v>4000</v>
      </c>
      <c r="N244">
        <v>0.2</v>
      </c>
      <c r="O244">
        <v>2540</v>
      </c>
    </row>
    <row r="245" spans="1:15" x14ac:dyDescent="0.25">
      <c r="A245" t="s">
        <v>389</v>
      </c>
      <c r="B245">
        <v>45426</v>
      </c>
      <c r="C245" t="s">
        <v>42</v>
      </c>
      <c r="D245" t="s">
        <v>96</v>
      </c>
      <c r="E245" t="s">
        <v>64</v>
      </c>
      <c r="F245" t="s">
        <v>19</v>
      </c>
      <c r="G245" t="s">
        <v>83</v>
      </c>
      <c r="H245" t="s">
        <v>136</v>
      </c>
      <c r="I245" t="s">
        <v>137</v>
      </c>
      <c r="J245" t="s">
        <v>23</v>
      </c>
      <c r="K245" t="s">
        <v>24</v>
      </c>
      <c r="L245">
        <v>11</v>
      </c>
      <c r="M245">
        <v>1710</v>
      </c>
      <c r="N245">
        <v>0.05</v>
      </c>
      <c r="O245">
        <v>1050</v>
      </c>
    </row>
    <row r="246" spans="1:15" x14ac:dyDescent="0.25">
      <c r="A246" t="s">
        <v>390</v>
      </c>
      <c r="B246">
        <v>45426</v>
      </c>
      <c r="C246" t="s">
        <v>37</v>
      </c>
      <c r="D246" t="s">
        <v>67</v>
      </c>
      <c r="E246" t="s">
        <v>68</v>
      </c>
      <c r="F246" t="s">
        <v>19</v>
      </c>
      <c r="G246" t="s">
        <v>20</v>
      </c>
      <c r="H246" t="s">
        <v>109</v>
      </c>
      <c r="I246" t="s">
        <v>171</v>
      </c>
      <c r="J246" t="s">
        <v>23</v>
      </c>
      <c r="K246" t="s">
        <v>24</v>
      </c>
      <c r="L246">
        <v>6</v>
      </c>
      <c r="M246">
        <v>21740</v>
      </c>
      <c r="N246">
        <v>0.15</v>
      </c>
      <c r="O246">
        <v>16360</v>
      </c>
    </row>
    <row r="247" spans="1:15" x14ac:dyDescent="0.25">
      <c r="A247" t="s">
        <v>391</v>
      </c>
      <c r="B247">
        <v>45426</v>
      </c>
      <c r="C247" t="s">
        <v>42</v>
      </c>
      <c r="D247" t="s">
        <v>43</v>
      </c>
      <c r="E247" t="s">
        <v>44</v>
      </c>
      <c r="F247" t="s">
        <v>92</v>
      </c>
      <c r="G247" t="s">
        <v>83</v>
      </c>
      <c r="H247" t="s">
        <v>136</v>
      </c>
      <c r="I247" t="s">
        <v>307</v>
      </c>
      <c r="J247" t="s">
        <v>23</v>
      </c>
      <c r="K247" t="s">
        <v>24</v>
      </c>
      <c r="L247">
        <v>22</v>
      </c>
      <c r="M247">
        <v>930</v>
      </c>
      <c r="N247">
        <v>0</v>
      </c>
      <c r="O247">
        <v>600</v>
      </c>
    </row>
    <row r="248" spans="1:15" x14ac:dyDescent="0.25">
      <c r="A248" t="s">
        <v>392</v>
      </c>
      <c r="B248">
        <v>45426</v>
      </c>
      <c r="C248" t="s">
        <v>42</v>
      </c>
      <c r="D248" t="s">
        <v>146</v>
      </c>
      <c r="E248" t="s">
        <v>64</v>
      </c>
      <c r="F248" t="s">
        <v>52</v>
      </c>
      <c r="G248" t="s">
        <v>27</v>
      </c>
      <c r="H248" t="s">
        <v>28</v>
      </c>
      <c r="I248" t="s">
        <v>141</v>
      </c>
      <c r="J248" t="s">
        <v>40</v>
      </c>
      <c r="K248" t="s">
        <v>24</v>
      </c>
      <c r="L248">
        <v>2</v>
      </c>
      <c r="M248">
        <v>16930</v>
      </c>
      <c r="N248">
        <v>0.05</v>
      </c>
      <c r="O248">
        <v>12280</v>
      </c>
    </row>
    <row r="249" spans="1:15" x14ac:dyDescent="0.25">
      <c r="A249" t="s">
        <v>393</v>
      </c>
      <c r="B249">
        <v>45426</v>
      </c>
      <c r="C249" t="s">
        <v>37</v>
      </c>
      <c r="D249" t="s">
        <v>213</v>
      </c>
      <c r="E249" t="s">
        <v>68</v>
      </c>
      <c r="F249" t="s">
        <v>19</v>
      </c>
      <c r="G249" t="s">
        <v>27</v>
      </c>
      <c r="H249" t="s">
        <v>28</v>
      </c>
      <c r="I249" t="s">
        <v>141</v>
      </c>
      <c r="J249" t="s">
        <v>23</v>
      </c>
      <c r="K249" t="s">
        <v>24</v>
      </c>
      <c r="L249">
        <v>3</v>
      </c>
      <c r="M249">
        <v>15470</v>
      </c>
      <c r="N249">
        <v>0</v>
      </c>
      <c r="O249">
        <v>9170</v>
      </c>
    </row>
    <row r="250" spans="1:15" x14ac:dyDescent="0.25">
      <c r="A250" t="s">
        <v>394</v>
      </c>
      <c r="B250">
        <v>45428</v>
      </c>
      <c r="C250" t="s">
        <v>56</v>
      </c>
      <c r="D250" t="s">
        <v>57</v>
      </c>
      <c r="E250" t="s">
        <v>91</v>
      </c>
      <c r="F250" t="s">
        <v>19</v>
      </c>
      <c r="G250" t="s">
        <v>59</v>
      </c>
      <c r="H250" t="s">
        <v>154</v>
      </c>
      <c r="I250" t="s">
        <v>155</v>
      </c>
      <c r="J250" t="s">
        <v>23</v>
      </c>
      <c r="K250" t="s">
        <v>24</v>
      </c>
      <c r="L250">
        <v>4</v>
      </c>
      <c r="M250">
        <v>11590</v>
      </c>
      <c r="N250">
        <v>0</v>
      </c>
      <c r="O250">
        <v>6730</v>
      </c>
    </row>
    <row r="251" spans="1:15" x14ac:dyDescent="0.25">
      <c r="A251" t="s">
        <v>395</v>
      </c>
      <c r="B251">
        <v>45429</v>
      </c>
      <c r="C251" t="s">
        <v>56</v>
      </c>
      <c r="D251" t="s">
        <v>72</v>
      </c>
      <c r="E251" t="s">
        <v>58</v>
      </c>
      <c r="F251" t="s">
        <v>92</v>
      </c>
      <c r="G251" t="s">
        <v>27</v>
      </c>
      <c r="H251" t="s">
        <v>53</v>
      </c>
      <c r="I251" t="s">
        <v>131</v>
      </c>
      <c r="J251" t="s">
        <v>40</v>
      </c>
      <c r="K251" t="s">
        <v>94</v>
      </c>
      <c r="L251">
        <v>7</v>
      </c>
      <c r="M251">
        <v>37740</v>
      </c>
      <c r="N251">
        <v>0.1</v>
      </c>
      <c r="O251">
        <v>25820</v>
      </c>
    </row>
    <row r="252" spans="1:15" x14ac:dyDescent="0.25">
      <c r="A252" t="s">
        <v>396</v>
      </c>
      <c r="B252">
        <v>45429</v>
      </c>
      <c r="C252" t="s">
        <v>37</v>
      </c>
      <c r="D252" t="s">
        <v>38</v>
      </c>
      <c r="E252" t="s">
        <v>39</v>
      </c>
      <c r="F252" t="s">
        <v>92</v>
      </c>
      <c r="G252" t="s">
        <v>27</v>
      </c>
      <c r="H252" t="s">
        <v>28</v>
      </c>
      <c r="I252" t="s">
        <v>141</v>
      </c>
      <c r="J252" t="s">
        <v>23</v>
      </c>
      <c r="K252" t="s">
        <v>119</v>
      </c>
      <c r="L252">
        <v>5</v>
      </c>
      <c r="M252">
        <v>15700</v>
      </c>
      <c r="N252">
        <v>0</v>
      </c>
      <c r="O252">
        <v>9720</v>
      </c>
    </row>
    <row r="253" spans="1:15" x14ac:dyDescent="0.25">
      <c r="A253" t="s">
        <v>397</v>
      </c>
      <c r="B253">
        <v>45430</v>
      </c>
      <c r="C253" t="s">
        <v>56</v>
      </c>
      <c r="D253" t="s">
        <v>133</v>
      </c>
      <c r="E253" t="s">
        <v>58</v>
      </c>
      <c r="F253" t="s">
        <v>19</v>
      </c>
      <c r="G253" t="s">
        <v>46</v>
      </c>
      <c r="H253" t="s">
        <v>179</v>
      </c>
      <c r="I253" t="s">
        <v>180</v>
      </c>
      <c r="J253" t="s">
        <v>40</v>
      </c>
      <c r="K253" t="s">
        <v>24</v>
      </c>
      <c r="L253">
        <v>9</v>
      </c>
      <c r="M253">
        <v>3760</v>
      </c>
      <c r="N253">
        <v>0.08</v>
      </c>
      <c r="O253">
        <v>2690</v>
      </c>
    </row>
    <row r="254" spans="1:15" x14ac:dyDescent="0.25">
      <c r="A254" t="s">
        <v>398</v>
      </c>
      <c r="B254">
        <v>45432</v>
      </c>
      <c r="C254" t="s">
        <v>76</v>
      </c>
      <c r="D254" t="s">
        <v>125</v>
      </c>
      <c r="E254" t="s">
        <v>78</v>
      </c>
      <c r="F254" t="s">
        <v>45</v>
      </c>
      <c r="G254" t="s">
        <v>20</v>
      </c>
      <c r="H254" t="s">
        <v>87</v>
      </c>
      <c r="I254" t="s">
        <v>88</v>
      </c>
      <c r="J254" t="s">
        <v>49</v>
      </c>
      <c r="K254" t="s">
        <v>24</v>
      </c>
      <c r="L254">
        <v>2</v>
      </c>
      <c r="M254">
        <v>33510</v>
      </c>
      <c r="N254">
        <v>0.18</v>
      </c>
      <c r="O254">
        <v>18940</v>
      </c>
    </row>
    <row r="255" spans="1:15" x14ac:dyDescent="0.25">
      <c r="A255" t="s">
        <v>399</v>
      </c>
      <c r="B255">
        <v>45432</v>
      </c>
      <c r="C255" t="s">
        <v>42</v>
      </c>
      <c r="D255" t="s">
        <v>43</v>
      </c>
      <c r="E255" t="s">
        <v>64</v>
      </c>
      <c r="F255" t="s">
        <v>19</v>
      </c>
      <c r="G255" t="s">
        <v>59</v>
      </c>
      <c r="H255" t="s">
        <v>154</v>
      </c>
      <c r="I255" t="s">
        <v>249</v>
      </c>
      <c r="J255" t="s">
        <v>49</v>
      </c>
      <c r="K255" t="s">
        <v>24</v>
      </c>
      <c r="L255">
        <v>3</v>
      </c>
      <c r="M255">
        <v>6780</v>
      </c>
      <c r="N255">
        <v>0.05</v>
      </c>
      <c r="O255">
        <v>4100</v>
      </c>
    </row>
    <row r="256" spans="1:15" x14ac:dyDescent="0.25">
      <c r="A256" t="s">
        <v>400</v>
      </c>
      <c r="B256">
        <v>45432</v>
      </c>
      <c r="C256" t="s">
        <v>76</v>
      </c>
      <c r="D256" t="s">
        <v>217</v>
      </c>
      <c r="E256" t="s">
        <v>170</v>
      </c>
      <c r="F256" t="s">
        <v>19</v>
      </c>
      <c r="G256" t="s">
        <v>27</v>
      </c>
      <c r="H256" t="s">
        <v>214</v>
      </c>
      <c r="I256" t="s">
        <v>215</v>
      </c>
      <c r="J256" t="s">
        <v>23</v>
      </c>
      <c r="K256" t="s">
        <v>24</v>
      </c>
      <c r="L256">
        <v>4</v>
      </c>
      <c r="M256">
        <v>33670</v>
      </c>
      <c r="N256">
        <v>0.18</v>
      </c>
      <c r="O256">
        <v>24630</v>
      </c>
    </row>
    <row r="257" spans="1:15" x14ac:dyDescent="0.25">
      <c r="A257" t="s">
        <v>401</v>
      </c>
      <c r="B257">
        <v>45433</v>
      </c>
      <c r="C257" t="s">
        <v>42</v>
      </c>
      <c r="D257" t="s">
        <v>146</v>
      </c>
      <c r="E257" t="s">
        <v>44</v>
      </c>
      <c r="F257" t="s">
        <v>19</v>
      </c>
      <c r="G257" t="s">
        <v>83</v>
      </c>
      <c r="H257" t="s">
        <v>84</v>
      </c>
      <c r="I257" t="s">
        <v>292</v>
      </c>
      <c r="J257" t="s">
        <v>23</v>
      </c>
      <c r="K257" t="s">
        <v>24</v>
      </c>
      <c r="L257">
        <v>3</v>
      </c>
      <c r="M257">
        <v>42180</v>
      </c>
      <c r="N257">
        <v>0.1</v>
      </c>
      <c r="O257">
        <v>33140</v>
      </c>
    </row>
    <row r="258" spans="1:15" x14ac:dyDescent="0.25">
      <c r="A258" t="s">
        <v>402</v>
      </c>
      <c r="B258">
        <v>45433</v>
      </c>
      <c r="C258" t="s">
        <v>76</v>
      </c>
      <c r="D258" t="s">
        <v>150</v>
      </c>
      <c r="E258" t="s">
        <v>170</v>
      </c>
      <c r="F258" t="s">
        <v>45</v>
      </c>
      <c r="G258" t="s">
        <v>20</v>
      </c>
      <c r="H258" t="s">
        <v>109</v>
      </c>
      <c r="I258" t="s">
        <v>110</v>
      </c>
      <c r="J258" t="s">
        <v>23</v>
      </c>
      <c r="K258" t="s">
        <v>24</v>
      </c>
      <c r="L258">
        <v>6</v>
      </c>
      <c r="M258">
        <v>69670</v>
      </c>
      <c r="N258">
        <v>0.1</v>
      </c>
      <c r="O258">
        <v>51820</v>
      </c>
    </row>
    <row r="259" spans="1:15" x14ac:dyDescent="0.25">
      <c r="A259" t="s">
        <v>403</v>
      </c>
      <c r="B259">
        <v>45435</v>
      </c>
      <c r="C259" t="s">
        <v>16</v>
      </c>
      <c r="D259" t="s">
        <v>191</v>
      </c>
      <c r="E259" t="s">
        <v>18</v>
      </c>
      <c r="F259" t="s">
        <v>19</v>
      </c>
      <c r="G259" t="s">
        <v>20</v>
      </c>
      <c r="H259" t="s">
        <v>109</v>
      </c>
      <c r="I259" t="s">
        <v>159</v>
      </c>
      <c r="J259" t="s">
        <v>23</v>
      </c>
      <c r="K259" t="s">
        <v>24</v>
      </c>
      <c r="L259">
        <v>4</v>
      </c>
      <c r="M259">
        <v>18530</v>
      </c>
      <c r="N259">
        <v>0.08</v>
      </c>
      <c r="O259">
        <v>11530</v>
      </c>
    </row>
    <row r="260" spans="1:15" x14ac:dyDescent="0.25">
      <c r="A260" t="s">
        <v>404</v>
      </c>
      <c r="B260">
        <v>45435</v>
      </c>
      <c r="C260" t="s">
        <v>42</v>
      </c>
      <c r="D260" t="s">
        <v>43</v>
      </c>
      <c r="E260" t="s">
        <v>405</v>
      </c>
      <c r="F260" t="s">
        <v>52</v>
      </c>
      <c r="G260" t="s">
        <v>59</v>
      </c>
      <c r="H260" t="s">
        <v>154</v>
      </c>
      <c r="I260" t="s">
        <v>249</v>
      </c>
      <c r="J260" t="s">
        <v>23</v>
      </c>
      <c r="K260" t="s">
        <v>24</v>
      </c>
      <c r="L260">
        <v>7</v>
      </c>
      <c r="M260">
        <v>7010</v>
      </c>
      <c r="N260">
        <v>0.15</v>
      </c>
      <c r="O260">
        <v>4360</v>
      </c>
    </row>
    <row r="261" spans="1:15" x14ac:dyDescent="0.25">
      <c r="A261" t="s">
        <v>406</v>
      </c>
      <c r="B261">
        <v>45435</v>
      </c>
      <c r="C261" t="s">
        <v>16</v>
      </c>
      <c r="D261" t="s">
        <v>31</v>
      </c>
      <c r="E261" t="s">
        <v>26</v>
      </c>
      <c r="F261" t="s">
        <v>92</v>
      </c>
      <c r="G261" t="s">
        <v>59</v>
      </c>
      <c r="H261" t="s">
        <v>69</v>
      </c>
      <c r="I261" t="s">
        <v>121</v>
      </c>
      <c r="J261" t="s">
        <v>23</v>
      </c>
      <c r="K261" t="s">
        <v>94</v>
      </c>
      <c r="L261">
        <v>26</v>
      </c>
      <c r="M261">
        <v>3560</v>
      </c>
      <c r="N261">
        <v>0.15</v>
      </c>
      <c r="O261">
        <v>2410</v>
      </c>
    </row>
    <row r="262" spans="1:15" x14ac:dyDescent="0.25">
      <c r="A262" t="s">
        <v>407</v>
      </c>
      <c r="B262">
        <v>45435</v>
      </c>
      <c r="C262" t="s">
        <v>37</v>
      </c>
      <c r="D262" t="s">
        <v>38</v>
      </c>
      <c r="E262" t="s">
        <v>68</v>
      </c>
      <c r="F262" t="s">
        <v>19</v>
      </c>
      <c r="G262" t="s">
        <v>20</v>
      </c>
      <c r="H262" t="s">
        <v>109</v>
      </c>
      <c r="I262" t="s">
        <v>110</v>
      </c>
      <c r="J262" t="s">
        <v>40</v>
      </c>
      <c r="K262" t="s">
        <v>119</v>
      </c>
      <c r="L262">
        <v>4</v>
      </c>
      <c r="M262">
        <v>70790</v>
      </c>
      <c r="N262">
        <v>0.05</v>
      </c>
      <c r="O262">
        <v>42470</v>
      </c>
    </row>
    <row r="263" spans="1:15" x14ac:dyDescent="0.25">
      <c r="A263" t="s">
        <v>408</v>
      </c>
      <c r="B263">
        <v>45436</v>
      </c>
      <c r="C263" t="s">
        <v>76</v>
      </c>
      <c r="D263" t="s">
        <v>217</v>
      </c>
      <c r="E263" t="s">
        <v>170</v>
      </c>
      <c r="F263" t="s">
        <v>19</v>
      </c>
      <c r="G263" t="s">
        <v>83</v>
      </c>
      <c r="H263" t="s">
        <v>184</v>
      </c>
      <c r="I263" t="s">
        <v>185</v>
      </c>
      <c r="J263" t="s">
        <v>40</v>
      </c>
      <c r="K263" t="s">
        <v>24</v>
      </c>
      <c r="L263">
        <v>13</v>
      </c>
      <c r="M263">
        <v>4690</v>
      </c>
      <c r="N263">
        <v>0.12</v>
      </c>
      <c r="O263">
        <v>3630</v>
      </c>
    </row>
    <row r="264" spans="1:15" x14ac:dyDescent="0.25">
      <c r="A264" t="s">
        <v>409</v>
      </c>
      <c r="B264">
        <v>45437</v>
      </c>
      <c r="C264" t="s">
        <v>76</v>
      </c>
      <c r="D264" t="s">
        <v>150</v>
      </c>
      <c r="E264" t="s">
        <v>170</v>
      </c>
      <c r="F264" t="s">
        <v>52</v>
      </c>
      <c r="G264" t="s">
        <v>20</v>
      </c>
      <c r="H264" t="s">
        <v>87</v>
      </c>
      <c r="I264" t="s">
        <v>88</v>
      </c>
      <c r="J264" t="s">
        <v>40</v>
      </c>
      <c r="K264" t="s">
        <v>35</v>
      </c>
      <c r="L264">
        <v>1</v>
      </c>
      <c r="M264">
        <v>31050</v>
      </c>
      <c r="N264">
        <v>0.25</v>
      </c>
      <c r="O264">
        <v>21730</v>
      </c>
    </row>
    <row r="265" spans="1:15" x14ac:dyDescent="0.25">
      <c r="A265" t="s">
        <v>410</v>
      </c>
      <c r="B265">
        <v>45437</v>
      </c>
      <c r="C265" t="s">
        <v>16</v>
      </c>
      <c r="D265" t="s">
        <v>17</v>
      </c>
      <c r="E265" t="s">
        <v>18</v>
      </c>
      <c r="F265" t="s">
        <v>19</v>
      </c>
      <c r="G265" t="s">
        <v>27</v>
      </c>
      <c r="H265" t="s">
        <v>79</v>
      </c>
      <c r="I265" t="s">
        <v>168</v>
      </c>
      <c r="J265" t="s">
        <v>49</v>
      </c>
      <c r="K265" t="s">
        <v>24</v>
      </c>
      <c r="L265">
        <v>15</v>
      </c>
      <c r="M265">
        <v>9390</v>
      </c>
      <c r="N265">
        <v>0</v>
      </c>
      <c r="O265">
        <v>5510</v>
      </c>
    </row>
    <row r="266" spans="1:15" x14ac:dyDescent="0.25">
      <c r="A266" t="s">
        <v>411</v>
      </c>
      <c r="B266">
        <v>45438</v>
      </c>
      <c r="C266" t="s">
        <v>56</v>
      </c>
      <c r="D266" t="s">
        <v>143</v>
      </c>
      <c r="E266" t="s">
        <v>134</v>
      </c>
      <c r="F266" t="s">
        <v>19</v>
      </c>
      <c r="G266" t="s">
        <v>46</v>
      </c>
      <c r="H266" t="s">
        <v>100</v>
      </c>
      <c r="I266" t="s">
        <v>101</v>
      </c>
      <c r="J266" t="s">
        <v>49</v>
      </c>
      <c r="K266" t="s">
        <v>94</v>
      </c>
      <c r="L266">
        <v>16</v>
      </c>
      <c r="M266">
        <v>1970</v>
      </c>
      <c r="N266">
        <v>0.18</v>
      </c>
      <c r="O266">
        <v>1260</v>
      </c>
    </row>
    <row r="267" spans="1:15" x14ac:dyDescent="0.25">
      <c r="A267" t="s">
        <v>412</v>
      </c>
      <c r="B267">
        <v>45440</v>
      </c>
      <c r="C267" t="s">
        <v>37</v>
      </c>
      <c r="D267" t="s">
        <v>38</v>
      </c>
      <c r="E267" t="s">
        <v>39</v>
      </c>
      <c r="F267" t="s">
        <v>52</v>
      </c>
      <c r="G267" t="s">
        <v>46</v>
      </c>
      <c r="H267" t="s">
        <v>47</v>
      </c>
      <c r="I267" t="s">
        <v>259</v>
      </c>
      <c r="J267" t="s">
        <v>23</v>
      </c>
      <c r="K267" t="s">
        <v>24</v>
      </c>
      <c r="L267">
        <v>33</v>
      </c>
      <c r="M267">
        <v>2830</v>
      </c>
      <c r="N267">
        <v>0</v>
      </c>
      <c r="O267">
        <v>2210</v>
      </c>
    </row>
    <row r="268" spans="1:15" x14ac:dyDescent="0.25">
      <c r="A268" t="s">
        <v>413</v>
      </c>
      <c r="B268">
        <v>45440</v>
      </c>
      <c r="C268" t="s">
        <v>76</v>
      </c>
      <c r="D268" t="s">
        <v>150</v>
      </c>
      <c r="E268" t="s">
        <v>170</v>
      </c>
      <c r="F268" t="s">
        <v>92</v>
      </c>
      <c r="G268" t="s">
        <v>59</v>
      </c>
      <c r="H268" t="s">
        <v>73</v>
      </c>
      <c r="I268" t="s">
        <v>113</v>
      </c>
      <c r="J268" t="s">
        <v>23</v>
      </c>
      <c r="K268" t="s">
        <v>24</v>
      </c>
      <c r="L268">
        <v>4</v>
      </c>
      <c r="M268">
        <v>32260</v>
      </c>
      <c r="N268">
        <v>0</v>
      </c>
      <c r="O268">
        <v>20440</v>
      </c>
    </row>
    <row r="269" spans="1:15" x14ac:dyDescent="0.25">
      <c r="A269" t="s">
        <v>414</v>
      </c>
      <c r="B269">
        <v>45441</v>
      </c>
      <c r="C269" t="s">
        <v>37</v>
      </c>
      <c r="D269" t="s">
        <v>115</v>
      </c>
      <c r="E269" t="s">
        <v>39</v>
      </c>
      <c r="F269" t="s">
        <v>45</v>
      </c>
      <c r="G269" t="s">
        <v>20</v>
      </c>
      <c r="H269" t="s">
        <v>21</v>
      </c>
      <c r="I269" t="s">
        <v>22</v>
      </c>
      <c r="J269" t="s">
        <v>40</v>
      </c>
      <c r="K269" t="s">
        <v>24</v>
      </c>
      <c r="L269">
        <v>30</v>
      </c>
      <c r="M269">
        <v>1750</v>
      </c>
      <c r="N269">
        <v>0.12</v>
      </c>
      <c r="O269">
        <v>1060</v>
      </c>
    </row>
    <row r="270" spans="1:15" x14ac:dyDescent="0.25">
      <c r="A270" t="s">
        <v>415</v>
      </c>
      <c r="B270">
        <v>45441</v>
      </c>
      <c r="C270" t="s">
        <v>42</v>
      </c>
      <c r="D270" t="s">
        <v>265</v>
      </c>
      <c r="E270" t="s">
        <v>416</v>
      </c>
      <c r="F270" t="s">
        <v>52</v>
      </c>
      <c r="G270" t="s">
        <v>83</v>
      </c>
      <c r="H270" t="s">
        <v>84</v>
      </c>
      <c r="I270" t="s">
        <v>85</v>
      </c>
      <c r="J270" t="s">
        <v>23</v>
      </c>
      <c r="K270" t="s">
        <v>24</v>
      </c>
      <c r="L270">
        <v>9</v>
      </c>
      <c r="M270">
        <v>2580</v>
      </c>
      <c r="N270">
        <v>0.15</v>
      </c>
      <c r="O270">
        <v>1600</v>
      </c>
    </row>
    <row r="271" spans="1:15" x14ac:dyDescent="0.25">
      <c r="A271" t="s">
        <v>417</v>
      </c>
      <c r="B271">
        <v>45442</v>
      </c>
      <c r="C271" t="s">
        <v>16</v>
      </c>
      <c r="D271" t="s">
        <v>17</v>
      </c>
      <c r="E271" t="s">
        <v>32</v>
      </c>
      <c r="F271" t="s">
        <v>19</v>
      </c>
      <c r="G271" t="s">
        <v>27</v>
      </c>
      <c r="H271" t="s">
        <v>53</v>
      </c>
      <c r="I271" t="s">
        <v>131</v>
      </c>
      <c r="J271" t="s">
        <v>23</v>
      </c>
      <c r="K271" t="s">
        <v>24</v>
      </c>
      <c r="L271">
        <v>4</v>
      </c>
      <c r="M271">
        <v>36630</v>
      </c>
      <c r="N271">
        <v>0</v>
      </c>
      <c r="O271">
        <v>20710</v>
      </c>
    </row>
    <row r="272" spans="1:15" x14ac:dyDescent="0.25">
      <c r="A272" t="s">
        <v>418</v>
      </c>
      <c r="B272">
        <v>45444</v>
      </c>
      <c r="C272" t="s">
        <v>56</v>
      </c>
      <c r="D272" t="s">
        <v>133</v>
      </c>
      <c r="E272" t="s">
        <v>58</v>
      </c>
      <c r="F272" t="s">
        <v>52</v>
      </c>
      <c r="G272" t="s">
        <v>46</v>
      </c>
      <c r="H272" t="s">
        <v>47</v>
      </c>
      <c r="I272" t="s">
        <v>259</v>
      </c>
      <c r="J272" t="s">
        <v>49</v>
      </c>
      <c r="K272" t="s">
        <v>24</v>
      </c>
      <c r="L272">
        <v>33</v>
      </c>
      <c r="M272">
        <v>2690</v>
      </c>
      <c r="N272">
        <v>0.15</v>
      </c>
      <c r="O272">
        <v>1670</v>
      </c>
    </row>
    <row r="273" spans="1:15" x14ac:dyDescent="0.25">
      <c r="A273" t="s">
        <v>419</v>
      </c>
      <c r="B273">
        <v>45445</v>
      </c>
      <c r="C273" t="s">
        <v>76</v>
      </c>
      <c r="D273" t="s">
        <v>217</v>
      </c>
      <c r="E273" t="s">
        <v>170</v>
      </c>
      <c r="F273" t="s">
        <v>45</v>
      </c>
      <c r="G273" t="s">
        <v>46</v>
      </c>
      <c r="H273" t="s">
        <v>179</v>
      </c>
      <c r="I273" t="s">
        <v>180</v>
      </c>
      <c r="J273" t="s">
        <v>49</v>
      </c>
      <c r="K273" t="s">
        <v>24</v>
      </c>
      <c r="L273">
        <v>8</v>
      </c>
      <c r="M273">
        <v>3830</v>
      </c>
      <c r="N273">
        <v>0.08</v>
      </c>
      <c r="O273">
        <v>2450</v>
      </c>
    </row>
    <row r="274" spans="1:15" x14ac:dyDescent="0.25">
      <c r="A274" t="s">
        <v>420</v>
      </c>
      <c r="B274">
        <v>45446</v>
      </c>
      <c r="C274" t="s">
        <v>56</v>
      </c>
      <c r="D274" t="s">
        <v>143</v>
      </c>
      <c r="E274" t="s">
        <v>134</v>
      </c>
      <c r="F274" t="s">
        <v>45</v>
      </c>
      <c r="G274" t="s">
        <v>83</v>
      </c>
      <c r="H274" t="s">
        <v>136</v>
      </c>
      <c r="I274" t="s">
        <v>137</v>
      </c>
      <c r="J274" t="s">
        <v>40</v>
      </c>
      <c r="K274" t="s">
        <v>24</v>
      </c>
      <c r="L274">
        <v>27</v>
      </c>
      <c r="M274">
        <v>1590</v>
      </c>
      <c r="N274">
        <v>0</v>
      </c>
      <c r="O274">
        <v>1220</v>
      </c>
    </row>
    <row r="275" spans="1:15" x14ac:dyDescent="0.25">
      <c r="A275" t="s">
        <v>421</v>
      </c>
      <c r="B275">
        <v>45448</v>
      </c>
      <c r="C275" t="s">
        <v>42</v>
      </c>
      <c r="D275" t="s">
        <v>130</v>
      </c>
      <c r="E275" t="s">
        <v>64</v>
      </c>
      <c r="F275" t="s">
        <v>92</v>
      </c>
      <c r="G275" t="s">
        <v>46</v>
      </c>
      <c r="H275" t="s">
        <v>47</v>
      </c>
      <c r="I275" t="s">
        <v>259</v>
      </c>
      <c r="J275" t="s">
        <v>40</v>
      </c>
      <c r="K275" t="s">
        <v>24</v>
      </c>
      <c r="L275">
        <v>55</v>
      </c>
      <c r="M275">
        <v>2790</v>
      </c>
      <c r="N275">
        <v>0.1</v>
      </c>
      <c r="O275">
        <v>2130</v>
      </c>
    </row>
    <row r="276" spans="1:15" x14ac:dyDescent="0.25">
      <c r="A276" t="s">
        <v>422</v>
      </c>
      <c r="B276">
        <v>45448</v>
      </c>
      <c r="C276" t="s">
        <v>56</v>
      </c>
      <c r="D276" t="s">
        <v>127</v>
      </c>
      <c r="E276" t="s">
        <v>134</v>
      </c>
      <c r="F276" t="s">
        <v>19</v>
      </c>
      <c r="G276" t="s">
        <v>20</v>
      </c>
      <c r="H276" t="s">
        <v>109</v>
      </c>
      <c r="I276" t="s">
        <v>171</v>
      </c>
      <c r="J276" t="s">
        <v>40</v>
      </c>
      <c r="K276" t="s">
        <v>24</v>
      </c>
      <c r="L276">
        <v>2</v>
      </c>
      <c r="M276">
        <v>21950</v>
      </c>
      <c r="N276">
        <v>0.2</v>
      </c>
      <c r="O276">
        <v>12440</v>
      </c>
    </row>
    <row r="277" spans="1:15" x14ac:dyDescent="0.25">
      <c r="A277" t="s">
        <v>423</v>
      </c>
      <c r="B277">
        <v>45448</v>
      </c>
      <c r="C277" t="s">
        <v>76</v>
      </c>
      <c r="D277" t="s">
        <v>150</v>
      </c>
      <c r="E277" t="s">
        <v>170</v>
      </c>
      <c r="F277" t="s">
        <v>45</v>
      </c>
      <c r="G277" t="s">
        <v>20</v>
      </c>
      <c r="H277" t="s">
        <v>21</v>
      </c>
      <c r="I277" t="s">
        <v>362</v>
      </c>
      <c r="J277" t="s">
        <v>40</v>
      </c>
      <c r="K277" t="s">
        <v>119</v>
      </c>
      <c r="L277">
        <v>13</v>
      </c>
      <c r="M277">
        <v>9320</v>
      </c>
      <c r="N277">
        <v>0</v>
      </c>
      <c r="O277">
        <v>6530</v>
      </c>
    </row>
    <row r="278" spans="1:15" x14ac:dyDescent="0.25">
      <c r="A278" t="s">
        <v>424</v>
      </c>
      <c r="B278">
        <v>45449</v>
      </c>
      <c r="C278" t="s">
        <v>42</v>
      </c>
      <c r="D278" t="s">
        <v>96</v>
      </c>
      <c r="E278" t="s">
        <v>97</v>
      </c>
      <c r="F278" t="s">
        <v>19</v>
      </c>
      <c r="G278" t="s">
        <v>27</v>
      </c>
      <c r="H278" t="s">
        <v>53</v>
      </c>
      <c r="I278" t="s">
        <v>54</v>
      </c>
      <c r="J278" t="s">
        <v>49</v>
      </c>
      <c r="K278" t="s">
        <v>119</v>
      </c>
      <c r="L278">
        <v>4</v>
      </c>
      <c r="M278">
        <v>45350</v>
      </c>
      <c r="N278">
        <v>0</v>
      </c>
      <c r="O278">
        <v>25500</v>
      </c>
    </row>
    <row r="279" spans="1:15" x14ac:dyDescent="0.25">
      <c r="A279" t="s">
        <v>425</v>
      </c>
      <c r="B279">
        <v>45449</v>
      </c>
      <c r="C279" t="s">
        <v>56</v>
      </c>
      <c r="D279" t="s">
        <v>103</v>
      </c>
      <c r="E279" t="s">
        <v>58</v>
      </c>
      <c r="F279" t="s">
        <v>19</v>
      </c>
      <c r="G279" t="s">
        <v>27</v>
      </c>
      <c r="H279" t="s">
        <v>53</v>
      </c>
      <c r="I279" t="s">
        <v>131</v>
      </c>
      <c r="J279" t="s">
        <v>49</v>
      </c>
      <c r="K279" t="s">
        <v>24</v>
      </c>
      <c r="L279">
        <v>1</v>
      </c>
      <c r="M279">
        <v>35630</v>
      </c>
      <c r="N279">
        <v>0</v>
      </c>
      <c r="O279">
        <v>23230</v>
      </c>
    </row>
    <row r="280" spans="1:15" x14ac:dyDescent="0.25">
      <c r="A280" t="s">
        <v>426</v>
      </c>
      <c r="B280">
        <v>45449</v>
      </c>
      <c r="C280" t="s">
        <v>42</v>
      </c>
      <c r="D280" t="s">
        <v>146</v>
      </c>
      <c r="E280" t="s">
        <v>64</v>
      </c>
      <c r="F280" t="s">
        <v>19</v>
      </c>
      <c r="G280" t="s">
        <v>27</v>
      </c>
      <c r="H280" t="s">
        <v>79</v>
      </c>
      <c r="I280" t="s">
        <v>168</v>
      </c>
      <c r="J280" t="s">
        <v>23</v>
      </c>
      <c r="K280" t="s">
        <v>24</v>
      </c>
      <c r="L280">
        <v>13</v>
      </c>
      <c r="M280">
        <v>9590</v>
      </c>
      <c r="N280">
        <v>0</v>
      </c>
      <c r="O280">
        <v>6070</v>
      </c>
    </row>
    <row r="281" spans="1:15" x14ac:dyDescent="0.25">
      <c r="A281" t="s">
        <v>427</v>
      </c>
      <c r="B281">
        <v>45450</v>
      </c>
      <c r="C281" t="s">
        <v>76</v>
      </c>
      <c r="D281" t="s">
        <v>125</v>
      </c>
      <c r="E281" t="s">
        <v>78</v>
      </c>
      <c r="F281" t="s">
        <v>19</v>
      </c>
      <c r="G281" t="s">
        <v>27</v>
      </c>
      <c r="H281" t="s">
        <v>53</v>
      </c>
      <c r="I281" t="s">
        <v>131</v>
      </c>
      <c r="J281" t="s">
        <v>40</v>
      </c>
      <c r="K281" t="s">
        <v>119</v>
      </c>
      <c r="L281">
        <v>1</v>
      </c>
      <c r="M281">
        <v>35690</v>
      </c>
      <c r="N281">
        <v>0.08</v>
      </c>
      <c r="O281">
        <v>21620</v>
      </c>
    </row>
    <row r="282" spans="1:15" x14ac:dyDescent="0.25">
      <c r="A282" t="s">
        <v>428</v>
      </c>
      <c r="B282">
        <v>45450</v>
      </c>
      <c r="C282" t="s">
        <v>76</v>
      </c>
      <c r="D282" t="s">
        <v>150</v>
      </c>
      <c r="E282" t="s">
        <v>78</v>
      </c>
      <c r="F282" t="s">
        <v>92</v>
      </c>
      <c r="G282" t="s">
        <v>46</v>
      </c>
      <c r="H282" t="s">
        <v>47</v>
      </c>
      <c r="I282" t="s">
        <v>93</v>
      </c>
      <c r="J282" t="s">
        <v>40</v>
      </c>
      <c r="K282" t="s">
        <v>119</v>
      </c>
      <c r="L282">
        <v>33</v>
      </c>
      <c r="M282">
        <v>1190</v>
      </c>
      <c r="N282">
        <v>0.08</v>
      </c>
      <c r="O282">
        <v>780</v>
      </c>
    </row>
    <row r="283" spans="1:15" x14ac:dyDescent="0.25">
      <c r="A283" t="s">
        <v>429</v>
      </c>
      <c r="B283">
        <v>45452</v>
      </c>
      <c r="C283" t="s">
        <v>16</v>
      </c>
      <c r="D283" t="s">
        <v>31</v>
      </c>
      <c r="E283" t="s">
        <v>32</v>
      </c>
      <c r="F283" t="s">
        <v>19</v>
      </c>
      <c r="G283" t="s">
        <v>59</v>
      </c>
      <c r="H283" t="s">
        <v>73</v>
      </c>
      <c r="I283" t="s">
        <v>74</v>
      </c>
      <c r="J283" t="s">
        <v>40</v>
      </c>
      <c r="K283" t="s">
        <v>24</v>
      </c>
      <c r="L283">
        <v>1</v>
      </c>
      <c r="M283">
        <v>44500</v>
      </c>
      <c r="N283">
        <v>0.2</v>
      </c>
      <c r="O283">
        <v>34200</v>
      </c>
    </row>
    <row r="284" spans="1:15" x14ac:dyDescent="0.25">
      <c r="A284" t="s">
        <v>430</v>
      </c>
      <c r="B284">
        <v>45453</v>
      </c>
      <c r="C284" t="s">
        <v>56</v>
      </c>
      <c r="D284" t="s">
        <v>57</v>
      </c>
      <c r="E284" t="s">
        <v>134</v>
      </c>
      <c r="F284" t="s">
        <v>52</v>
      </c>
      <c r="G284" t="s">
        <v>46</v>
      </c>
      <c r="H284" t="s">
        <v>47</v>
      </c>
      <c r="I284" t="s">
        <v>93</v>
      </c>
      <c r="J284" t="s">
        <v>49</v>
      </c>
      <c r="K284" t="s">
        <v>24</v>
      </c>
      <c r="L284">
        <v>16</v>
      </c>
      <c r="M284">
        <v>1270</v>
      </c>
      <c r="N284">
        <v>0.1</v>
      </c>
      <c r="O284">
        <v>760</v>
      </c>
    </row>
    <row r="285" spans="1:15" x14ac:dyDescent="0.25">
      <c r="A285" t="s">
        <v>431</v>
      </c>
      <c r="B285">
        <v>45453</v>
      </c>
      <c r="C285" t="s">
        <v>76</v>
      </c>
      <c r="D285" t="s">
        <v>112</v>
      </c>
      <c r="E285" t="s">
        <v>170</v>
      </c>
      <c r="F285" t="s">
        <v>19</v>
      </c>
      <c r="G285" t="s">
        <v>27</v>
      </c>
      <c r="H285" t="s">
        <v>53</v>
      </c>
      <c r="I285" t="s">
        <v>54</v>
      </c>
      <c r="J285" t="s">
        <v>23</v>
      </c>
      <c r="K285" t="s">
        <v>24</v>
      </c>
      <c r="L285">
        <v>4</v>
      </c>
      <c r="M285">
        <v>42380</v>
      </c>
      <c r="N285">
        <v>0.15</v>
      </c>
      <c r="O285">
        <v>24190</v>
      </c>
    </row>
    <row r="286" spans="1:15" x14ac:dyDescent="0.25">
      <c r="A286" t="s">
        <v>432</v>
      </c>
      <c r="B286">
        <v>45454</v>
      </c>
      <c r="C286" t="s">
        <v>56</v>
      </c>
      <c r="D286" t="s">
        <v>133</v>
      </c>
      <c r="E286" t="s">
        <v>134</v>
      </c>
      <c r="F286" t="s">
        <v>45</v>
      </c>
      <c r="G286" t="s">
        <v>27</v>
      </c>
      <c r="H286" t="s">
        <v>28</v>
      </c>
      <c r="I286" t="s">
        <v>141</v>
      </c>
      <c r="J286" t="s">
        <v>49</v>
      </c>
      <c r="K286" t="s">
        <v>24</v>
      </c>
      <c r="L286">
        <v>2</v>
      </c>
      <c r="M286">
        <v>16340</v>
      </c>
      <c r="N286">
        <v>0</v>
      </c>
      <c r="O286">
        <v>11730</v>
      </c>
    </row>
    <row r="287" spans="1:15" x14ac:dyDescent="0.25">
      <c r="A287" t="s">
        <v>433</v>
      </c>
      <c r="B287">
        <v>45454</v>
      </c>
      <c r="C287" t="s">
        <v>56</v>
      </c>
      <c r="D287" t="s">
        <v>103</v>
      </c>
      <c r="E287" t="s">
        <v>91</v>
      </c>
      <c r="F287" t="s">
        <v>19</v>
      </c>
      <c r="G287" t="s">
        <v>46</v>
      </c>
      <c r="H287" t="s">
        <v>100</v>
      </c>
      <c r="I287" t="s">
        <v>101</v>
      </c>
      <c r="J287" t="s">
        <v>23</v>
      </c>
      <c r="K287" t="s">
        <v>24</v>
      </c>
      <c r="L287">
        <v>37</v>
      </c>
      <c r="M287">
        <v>1960</v>
      </c>
      <c r="N287">
        <v>0.1</v>
      </c>
      <c r="O287">
        <v>1380</v>
      </c>
    </row>
    <row r="288" spans="1:15" x14ac:dyDescent="0.25">
      <c r="A288" t="s">
        <v>434</v>
      </c>
      <c r="B288">
        <v>45454</v>
      </c>
      <c r="C288" t="s">
        <v>16</v>
      </c>
      <c r="D288" t="s">
        <v>191</v>
      </c>
      <c r="E288" t="s">
        <v>18</v>
      </c>
      <c r="F288" t="s">
        <v>19</v>
      </c>
      <c r="G288" t="s">
        <v>27</v>
      </c>
      <c r="H288" t="s">
        <v>79</v>
      </c>
      <c r="I288" t="s">
        <v>80</v>
      </c>
      <c r="J288" t="s">
        <v>23</v>
      </c>
      <c r="K288" t="s">
        <v>24</v>
      </c>
      <c r="L288">
        <v>3</v>
      </c>
      <c r="M288">
        <v>4710</v>
      </c>
      <c r="N288">
        <v>0.1</v>
      </c>
      <c r="O288">
        <v>2960</v>
      </c>
    </row>
    <row r="289" spans="1:15" x14ac:dyDescent="0.25">
      <c r="A289" t="s">
        <v>435</v>
      </c>
      <c r="B289">
        <v>45454</v>
      </c>
      <c r="C289" t="s">
        <v>56</v>
      </c>
      <c r="D289" t="s">
        <v>127</v>
      </c>
      <c r="E289" t="s">
        <v>134</v>
      </c>
      <c r="F289" t="s">
        <v>45</v>
      </c>
      <c r="G289" t="s">
        <v>27</v>
      </c>
      <c r="H289" t="s">
        <v>53</v>
      </c>
      <c r="I289" t="s">
        <v>131</v>
      </c>
      <c r="J289" t="s">
        <v>40</v>
      </c>
      <c r="K289" t="s">
        <v>24</v>
      </c>
      <c r="L289">
        <v>7</v>
      </c>
      <c r="M289">
        <v>35050</v>
      </c>
      <c r="N289">
        <v>0.05</v>
      </c>
      <c r="O289">
        <v>22860</v>
      </c>
    </row>
    <row r="290" spans="1:15" x14ac:dyDescent="0.25">
      <c r="A290" t="s">
        <v>436</v>
      </c>
      <c r="B290">
        <v>45454</v>
      </c>
      <c r="C290" t="s">
        <v>56</v>
      </c>
      <c r="D290" t="s">
        <v>57</v>
      </c>
      <c r="E290" t="s">
        <v>134</v>
      </c>
      <c r="F290" t="s">
        <v>19</v>
      </c>
      <c r="G290" t="s">
        <v>20</v>
      </c>
      <c r="H290" t="s">
        <v>33</v>
      </c>
      <c r="I290" t="s">
        <v>182</v>
      </c>
      <c r="J290" t="s">
        <v>23</v>
      </c>
      <c r="K290" t="s">
        <v>24</v>
      </c>
      <c r="L290">
        <v>2</v>
      </c>
      <c r="M290">
        <v>112710</v>
      </c>
      <c r="N290">
        <v>0.1</v>
      </c>
      <c r="O290">
        <v>77910</v>
      </c>
    </row>
    <row r="291" spans="1:15" x14ac:dyDescent="0.25">
      <c r="A291" t="s">
        <v>437</v>
      </c>
      <c r="B291">
        <v>45455</v>
      </c>
      <c r="C291" t="s">
        <v>16</v>
      </c>
      <c r="D291" t="s">
        <v>31</v>
      </c>
      <c r="E291" t="s">
        <v>18</v>
      </c>
      <c r="F291" t="s">
        <v>19</v>
      </c>
      <c r="G291" t="s">
        <v>46</v>
      </c>
      <c r="H291" t="s">
        <v>179</v>
      </c>
      <c r="I291" t="s">
        <v>180</v>
      </c>
      <c r="J291" t="s">
        <v>40</v>
      </c>
      <c r="K291" t="s">
        <v>24</v>
      </c>
      <c r="L291">
        <v>5</v>
      </c>
      <c r="M291">
        <v>3640</v>
      </c>
      <c r="N291">
        <v>0.1</v>
      </c>
      <c r="O291">
        <v>2260</v>
      </c>
    </row>
    <row r="292" spans="1:15" x14ac:dyDescent="0.25">
      <c r="A292" t="s">
        <v>438</v>
      </c>
      <c r="B292">
        <v>45456</v>
      </c>
      <c r="C292" t="s">
        <v>37</v>
      </c>
      <c r="D292" t="s">
        <v>67</v>
      </c>
      <c r="E292" t="s">
        <v>39</v>
      </c>
      <c r="F292" t="s">
        <v>52</v>
      </c>
      <c r="G292" t="s">
        <v>27</v>
      </c>
      <c r="H292" t="s">
        <v>53</v>
      </c>
      <c r="I292" t="s">
        <v>54</v>
      </c>
      <c r="J292" t="s">
        <v>23</v>
      </c>
      <c r="K292" t="s">
        <v>24</v>
      </c>
      <c r="L292">
        <v>4</v>
      </c>
      <c r="M292">
        <v>42930</v>
      </c>
      <c r="N292">
        <v>0</v>
      </c>
      <c r="O292">
        <v>32080</v>
      </c>
    </row>
    <row r="293" spans="1:15" x14ac:dyDescent="0.25">
      <c r="A293" t="s">
        <v>439</v>
      </c>
      <c r="B293">
        <v>45456</v>
      </c>
      <c r="C293" t="s">
        <v>56</v>
      </c>
      <c r="D293" t="s">
        <v>127</v>
      </c>
      <c r="E293" t="s">
        <v>91</v>
      </c>
      <c r="F293" t="s">
        <v>19</v>
      </c>
      <c r="G293" t="s">
        <v>27</v>
      </c>
      <c r="H293" t="s">
        <v>28</v>
      </c>
      <c r="I293" t="s">
        <v>29</v>
      </c>
      <c r="J293" t="s">
        <v>40</v>
      </c>
      <c r="K293" t="s">
        <v>24</v>
      </c>
      <c r="L293">
        <v>8</v>
      </c>
      <c r="M293">
        <v>28000</v>
      </c>
      <c r="N293">
        <v>0.08</v>
      </c>
      <c r="O293">
        <v>22070</v>
      </c>
    </row>
    <row r="294" spans="1:15" x14ac:dyDescent="0.25">
      <c r="A294" t="s">
        <v>440</v>
      </c>
      <c r="B294">
        <v>45457</v>
      </c>
      <c r="C294" t="s">
        <v>16</v>
      </c>
      <c r="D294" t="s">
        <v>153</v>
      </c>
      <c r="E294" t="s">
        <v>32</v>
      </c>
      <c r="F294" t="s">
        <v>92</v>
      </c>
      <c r="G294" t="s">
        <v>46</v>
      </c>
      <c r="H294" t="s">
        <v>179</v>
      </c>
      <c r="I294" t="s">
        <v>221</v>
      </c>
      <c r="J294" t="s">
        <v>40</v>
      </c>
      <c r="K294" t="s">
        <v>24</v>
      </c>
      <c r="L294">
        <v>52</v>
      </c>
      <c r="M294">
        <v>1530</v>
      </c>
      <c r="N294">
        <v>0.08</v>
      </c>
      <c r="O294">
        <v>910</v>
      </c>
    </row>
    <row r="295" spans="1:15" x14ac:dyDescent="0.25">
      <c r="A295" t="s">
        <v>441</v>
      </c>
      <c r="B295">
        <v>45458</v>
      </c>
      <c r="C295" t="s">
        <v>42</v>
      </c>
      <c r="D295" t="s">
        <v>146</v>
      </c>
      <c r="E295" t="s">
        <v>97</v>
      </c>
      <c r="F295" t="s">
        <v>52</v>
      </c>
      <c r="G295" t="s">
        <v>27</v>
      </c>
      <c r="H295" t="s">
        <v>214</v>
      </c>
      <c r="I295" t="s">
        <v>215</v>
      </c>
      <c r="J295" t="s">
        <v>49</v>
      </c>
      <c r="K295" t="s">
        <v>24</v>
      </c>
      <c r="L295">
        <v>2</v>
      </c>
      <c r="M295">
        <v>35320</v>
      </c>
      <c r="N295">
        <v>0.08</v>
      </c>
      <c r="O295">
        <v>24320</v>
      </c>
    </row>
    <row r="296" spans="1:15" x14ac:dyDescent="0.25">
      <c r="A296" t="s">
        <v>442</v>
      </c>
      <c r="B296">
        <v>45458</v>
      </c>
      <c r="C296" t="s">
        <v>76</v>
      </c>
      <c r="D296" t="s">
        <v>77</v>
      </c>
      <c r="E296" t="s">
        <v>170</v>
      </c>
      <c r="F296" t="s">
        <v>45</v>
      </c>
      <c r="G296" t="s">
        <v>20</v>
      </c>
      <c r="H296" t="s">
        <v>87</v>
      </c>
      <c r="I296" t="s">
        <v>105</v>
      </c>
      <c r="J296" t="s">
        <v>40</v>
      </c>
      <c r="K296" t="s">
        <v>24</v>
      </c>
      <c r="L296">
        <v>4</v>
      </c>
      <c r="M296">
        <v>52400</v>
      </c>
      <c r="N296">
        <v>0</v>
      </c>
      <c r="O296">
        <v>29640</v>
      </c>
    </row>
    <row r="297" spans="1:15" x14ac:dyDescent="0.25">
      <c r="A297" t="s">
        <v>443</v>
      </c>
      <c r="B297">
        <v>45459</v>
      </c>
      <c r="C297" t="s">
        <v>16</v>
      </c>
      <c r="D297" t="s">
        <v>153</v>
      </c>
      <c r="E297" t="s">
        <v>26</v>
      </c>
      <c r="F297" t="s">
        <v>52</v>
      </c>
      <c r="G297" t="s">
        <v>27</v>
      </c>
      <c r="H297" t="s">
        <v>53</v>
      </c>
      <c r="I297" t="s">
        <v>131</v>
      </c>
      <c r="J297" t="s">
        <v>49</v>
      </c>
      <c r="K297" t="s">
        <v>24</v>
      </c>
      <c r="L297">
        <v>2</v>
      </c>
      <c r="M297">
        <v>38190</v>
      </c>
      <c r="N297">
        <v>0.1</v>
      </c>
      <c r="O297">
        <v>28700</v>
      </c>
    </row>
    <row r="298" spans="1:15" x14ac:dyDescent="0.25">
      <c r="A298" t="s">
        <v>444</v>
      </c>
      <c r="B298">
        <v>45460</v>
      </c>
      <c r="C298" t="s">
        <v>42</v>
      </c>
      <c r="D298" t="s">
        <v>123</v>
      </c>
      <c r="E298" t="s">
        <v>97</v>
      </c>
      <c r="F298" t="s">
        <v>92</v>
      </c>
      <c r="G298" t="s">
        <v>59</v>
      </c>
      <c r="H298" t="s">
        <v>60</v>
      </c>
      <c r="I298" t="s">
        <v>61</v>
      </c>
      <c r="J298" t="s">
        <v>49</v>
      </c>
      <c r="K298" t="s">
        <v>119</v>
      </c>
      <c r="L298">
        <v>11</v>
      </c>
      <c r="M298">
        <v>25660</v>
      </c>
      <c r="N298">
        <v>0.18</v>
      </c>
      <c r="O298">
        <v>14960</v>
      </c>
    </row>
    <row r="299" spans="1:15" x14ac:dyDescent="0.25">
      <c r="A299" t="s">
        <v>445</v>
      </c>
      <c r="B299">
        <v>45460</v>
      </c>
      <c r="C299" t="s">
        <v>16</v>
      </c>
      <c r="D299" t="s">
        <v>191</v>
      </c>
      <c r="E299" t="s">
        <v>32</v>
      </c>
      <c r="F299" t="s">
        <v>19</v>
      </c>
      <c r="G299" t="s">
        <v>20</v>
      </c>
      <c r="H299" t="s">
        <v>21</v>
      </c>
      <c r="I299" t="s">
        <v>65</v>
      </c>
      <c r="J299" t="s">
        <v>23</v>
      </c>
      <c r="K299" t="s">
        <v>24</v>
      </c>
      <c r="L299">
        <v>10</v>
      </c>
      <c r="M299">
        <v>8080</v>
      </c>
      <c r="N299">
        <v>0</v>
      </c>
      <c r="O299">
        <v>5640</v>
      </c>
    </row>
    <row r="300" spans="1:15" x14ac:dyDescent="0.25">
      <c r="A300" t="s">
        <v>446</v>
      </c>
      <c r="B300">
        <v>45461</v>
      </c>
      <c r="C300" t="s">
        <v>16</v>
      </c>
      <c r="D300" t="s">
        <v>153</v>
      </c>
      <c r="E300" t="s">
        <v>26</v>
      </c>
      <c r="F300" t="s">
        <v>52</v>
      </c>
      <c r="G300" t="s">
        <v>59</v>
      </c>
      <c r="H300" t="s">
        <v>154</v>
      </c>
      <c r="I300" t="s">
        <v>155</v>
      </c>
      <c r="J300" t="s">
        <v>23</v>
      </c>
      <c r="K300" t="s">
        <v>24</v>
      </c>
      <c r="L300">
        <v>3</v>
      </c>
      <c r="M300">
        <v>12470</v>
      </c>
      <c r="N300">
        <v>0</v>
      </c>
      <c r="O300">
        <v>8860</v>
      </c>
    </row>
    <row r="301" spans="1:15" x14ac:dyDescent="0.25">
      <c r="A301" t="s">
        <v>447</v>
      </c>
      <c r="B301">
        <v>45461</v>
      </c>
      <c r="C301" t="s">
        <v>37</v>
      </c>
      <c r="D301" t="s">
        <v>38</v>
      </c>
      <c r="E301" t="s">
        <v>39</v>
      </c>
      <c r="F301" t="s">
        <v>92</v>
      </c>
      <c r="G301" t="s">
        <v>46</v>
      </c>
      <c r="H301" t="s">
        <v>47</v>
      </c>
      <c r="I301" t="s">
        <v>48</v>
      </c>
      <c r="J301" t="s">
        <v>40</v>
      </c>
      <c r="K301" t="s">
        <v>24</v>
      </c>
      <c r="L301">
        <v>81</v>
      </c>
      <c r="M301">
        <v>1870</v>
      </c>
      <c r="N301">
        <v>0.05</v>
      </c>
      <c r="O301">
        <v>1070</v>
      </c>
    </row>
    <row r="302" spans="1:15" x14ac:dyDescent="0.25">
      <c r="A302" t="s">
        <v>448</v>
      </c>
      <c r="B302">
        <v>45462</v>
      </c>
      <c r="C302" t="s">
        <v>56</v>
      </c>
      <c r="D302" t="s">
        <v>143</v>
      </c>
      <c r="E302" t="s">
        <v>91</v>
      </c>
      <c r="F302" t="s">
        <v>92</v>
      </c>
      <c r="G302" t="s">
        <v>83</v>
      </c>
      <c r="H302" t="s">
        <v>136</v>
      </c>
      <c r="I302" t="s">
        <v>137</v>
      </c>
      <c r="J302" t="s">
        <v>23</v>
      </c>
      <c r="K302" t="s">
        <v>24</v>
      </c>
      <c r="L302">
        <v>16</v>
      </c>
      <c r="M302">
        <v>1640</v>
      </c>
      <c r="N302">
        <v>0.25</v>
      </c>
      <c r="O302">
        <v>1210</v>
      </c>
    </row>
    <row r="303" spans="1:15" x14ac:dyDescent="0.25">
      <c r="A303" t="s">
        <v>449</v>
      </c>
      <c r="B303">
        <v>45464</v>
      </c>
      <c r="C303" t="s">
        <v>56</v>
      </c>
      <c r="D303" t="s">
        <v>127</v>
      </c>
      <c r="E303" t="s">
        <v>134</v>
      </c>
      <c r="F303" t="s">
        <v>52</v>
      </c>
      <c r="G303" t="s">
        <v>20</v>
      </c>
      <c r="H303" t="s">
        <v>87</v>
      </c>
      <c r="I303" t="s">
        <v>88</v>
      </c>
      <c r="J303" t="s">
        <v>49</v>
      </c>
      <c r="K303" t="s">
        <v>24</v>
      </c>
      <c r="L303">
        <v>3</v>
      </c>
      <c r="M303">
        <v>31850</v>
      </c>
      <c r="N303">
        <v>0.15</v>
      </c>
      <c r="O303">
        <v>18780</v>
      </c>
    </row>
    <row r="304" spans="1:15" x14ac:dyDescent="0.25">
      <c r="A304" t="s">
        <v>450</v>
      </c>
      <c r="B304">
        <v>45465</v>
      </c>
      <c r="C304" t="s">
        <v>56</v>
      </c>
      <c r="D304" t="s">
        <v>57</v>
      </c>
      <c r="E304" t="s">
        <v>134</v>
      </c>
      <c r="F304" t="s">
        <v>52</v>
      </c>
      <c r="G304" t="s">
        <v>59</v>
      </c>
      <c r="H304" t="s">
        <v>69</v>
      </c>
      <c r="I304" t="s">
        <v>121</v>
      </c>
      <c r="J304" t="s">
        <v>23</v>
      </c>
      <c r="K304" t="s">
        <v>94</v>
      </c>
      <c r="L304">
        <v>11</v>
      </c>
      <c r="M304">
        <v>3470</v>
      </c>
      <c r="N304">
        <v>0.12</v>
      </c>
      <c r="O304">
        <v>2100</v>
      </c>
    </row>
    <row r="305" spans="1:15" x14ac:dyDescent="0.25">
      <c r="A305" t="s">
        <v>451</v>
      </c>
      <c r="B305">
        <v>45465</v>
      </c>
      <c r="C305" t="s">
        <v>42</v>
      </c>
      <c r="D305" t="s">
        <v>146</v>
      </c>
      <c r="E305" t="s">
        <v>64</v>
      </c>
      <c r="F305" t="s">
        <v>19</v>
      </c>
      <c r="G305" t="s">
        <v>27</v>
      </c>
      <c r="H305" t="s">
        <v>79</v>
      </c>
      <c r="I305" t="s">
        <v>262</v>
      </c>
      <c r="J305" t="s">
        <v>40</v>
      </c>
      <c r="K305" t="s">
        <v>24</v>
      </c>
      <c r="L305">
        <v>34</v>
      </c>
      <c r="M305">
        <v>2630</v>
      </c>
      <c r="N305">
        <v>0.1</v>
      </c>
      <c r="O305">
        <v>1720</v>
      </c>
    </row>
    <row r="306" spans="1:15" x14ac:dyDescent="0.25">
      <c r="A306" t="s">
        <v>452</v>
      </c>
      <c r="B306">
        <v>45465</v>
      </c>
      <c r="C306" t="s">
        <v>37</v>
      </c>
      <c r="D306" t="s">
        <v>166</v>
      </c>
      <c r="E306" t="s">
        <v>68</v>
      </c>
      <c r="F306" t="s">
        <v>19</v>
      </c>
      <c r="G306" t="s">
        <v>20</v>
      </c>
      <c r="H306" t="s">
        <v>87</v>
      </c>
      <c r="I306" t="s">
        <v>105</v>
      </c>
      <c r="J306" t="s">
        <v>23</v>
      </c>
      <c r="K306" t="s">
        <v>24</v>
      </c>
      <c r="L306">
        <v>1</v>
      </c>
      <c r="M306">
        <v>53190</v>
      </c>
      <c r="N306">
        <v>0.2</v>
      </c>
      <c r="O306">
        <v>34770</v>
      </c>
    </row>
    <row r="307" spans="1:15" x14ac:dyDescent="0.25">
      <c r="A307" t="s">
        <v>453</v>
      </c>
      <c r="B307">
        <v>45465</v>
      </c>
      <c r="C307" t="s">
        <v>42</v>
      </c>
      <c r="D307" t="s">
        <v>265</v>
      </c>
      <c r="E307" t="s">
        <v>44</v>
      </c>
      <c r="F307" t="s">
        <v>19</v>
      </c>
      <c r="G307" t="s">
        <v>46</v>
      </c>
      <c r="H307" t="s">
        <v>100</v>
      </c>
      <c r="I307" t="s">
        <v>177</v>
      </c>
      <c r="J307" t="s">
        <v>23</v>
      </c>
      <c r="K307" t="s">
        <v>24</v>
      </c>
      <c r="L307">
        <v>7</v>
      </c>
      <c r="M307">
        <v>2670</v>
      </c>
      <c r="N307">
        <v>0.08</v>
      </c>
      <c r="O307">
        <v>1560</v>
      </c>
    </row>
    <row r="308" spans="1:15" x14ac:dyDescent="0.25">
      <c r="A308" t="s">
        <v>454</v>
      </c>
      <c r="B308">
        <v>45465</v>
      </c>
      <c r="C308" t="s">
        <v>42</v>
      </c>
      <c r="D308" t="s">
        <v>146</v>
      </c>
      <c r="E308" t="s">
        <v>44</v>
      </c>
      <c r="F308" t="s">
        <v>92</v>
      </c>
      <c r="G308" t="s">
        <v>20</v>
      </c>
      <c r="H308" t="s">
        <v>21</v>
      </c>
      <c r="I308" t="s">
        <v>362</v>
      </c>
      <c r="J308" t="s">
        <v>23</v>
      </c>
      <c r="K308" t="s">
        <v>24</v>
      </c>
      <c r="L308">
        <v>5</v>
      </c>
      <c r="M308">
        <v>8960</v>
      </c>
      <c r="N308">
        <v>0.18</v>
      </c>
      <c r="O308">
        <v>6970</v>
      </c>
    </row>
    <row r="309" spans="1:15" x14ac:dyDescent="0.25">
      <c r="A309" t="s">
        <v>455</v>
      </c>
      <c r="B309">
        <v>45466</v>
      </c>
      <c r="C309" t="s">
        <v>37</v>
      </c>
      <c r="D309" t="s">
        <v>115</v>
      </c>
      <c r="E309" t="s">
        <v>39</v>
      </c>
      <c r="F309" t="s">
        <v>52</v>
      </c>
      <c r="G309" t="s">
        <v>46</v>
      </c>
      <c r="H309" t="s">
        <v>47</v>
      </c>
      <c r="I309" t="s">
        <v>93</v>
      </c>
      <c r="J309" t="s">
        <v>40</v>
      </c>
      <c r="K309" t="s">
        <v>24</v>
      </c>
      <c r="L309">
        <v>30</v>
      </c>
      <c r="M309">
        <v>1210</v>
      </c>
      <c r="N309">
        <v>0.1</v>
      </c>
      <c r="O309">
        <v>740</v>
      </c>
    </row>
    <row r="310" spans="1:15" x14ac:dyDescent="0.25">
      <c r="A310" t="s">
        <v>456</v>
      </c>
      <c r="B310">
        <v>45467</v>
      </c>
      <c r="C310" t="s">
        <v>16</v>
      </c>
      <c r="D310" t="s">
        <v>153</v>
      </c>
      <c r="E310" t="s">
        <v>26</v>
      </c>
      <c r="F310" t="s">
        <v>19</v>
      </c>
      <c r="G310" t="s">
        <v>46</v>
      </c>
      <c r="H310" t="s">
        <v>47</v>
      </c>
      <c r="I310" t="s">
        <v>93</v>
      </c>
      <c r="J310" t="s">
        <v>40</v>
      </c>
      <c r="K310" t="s">
        <v>24</v>
      </c>
      <c r="L310">
        <v>39</v>
      </c>
      <c r="M310">
        <v>1290</v>
      </c>
      <c r="N310">
        <v>0.05</v>
      </c>
      <c r="O310">
        <v>730</v>
      </c>
    </row>
    <row r="311" spans="1:15" x14ac:dyDescent="0.25">
      <c r="A311" t="s">
        <v>457</v>
      </c>
      <c r="B311">
        <v>45467</v>
      </c>
      <c r="C311" t="s">
        <v>42</v>
      </c>
      <c r="D311" t="s">
        <v>96</v>
      </c>
      <c r="E311" t="s">
        <v>44</v>
      </c>
      <c r="F311" t="s">
        <v>52</v>
      </c>
      <c r="G311" t="s">
        <v>20</v>
      </c>
      <c r="H311" t="s">
        <v>109</v>
      </c>
      <c r="I311" t="s">
        <v>110</v>
      </c>
      <c r="J311" t="s">
        <v>49</v>
      </c>
      <c r="K311" t="s">
        <v>24</v>
      </c>
      <c r="L311">
        <v>1</v>
      </c>
      <c r="M311">
        <v>69680</v>
      </c>
      <c r="N311">
        <v>0.18</v>
      </c>
      <c r="O311">
        <v>40690</v>
      </c>
    </row>
    <row r="312" spans="1:15" x14ac:dyDescent="0.25">
      <c r="A312" t="s">
        <v>458</v>
      </c>
      <c r="B312">
        <v>45468</v>
      </c>
      <c r="C312" t="s">
        <v>42</v>
      </c>
      <c r="D312" t="s">
        <v>265</v>
      </c>
      <c r="E312" t="s">
        <v>97</v>
      </c>
      <c r="F312" t="s">
        <v>92</v>
      </c>
      <c r="G312" t="s">
        <v>20</v>
      </c>
      <c r="H312" t="s">
        <v>109</v>
      </c>
      <c r="I312" t="s">
        <v>110</v>
      </c>
      <c r="J312" t="s">
        <v>23</v>
      </c>
      <c r="K312" t="s">
        <v>35</v>
      </c>
      <c r="L312">
        <v>5</v>
      </c>
      <c r="M312">
        <v>66670</v>
      </c>
      <c r="N312">
        <v>0.1</v>
      </c>
      <c r="O312">
        <v>39720</v>
      </c>
    </row>
    <row r="313" spans="1:15" x14ac:dyDescent="0.25">
      <c r="A313" t="s">
        <v>459</v>
      </c>
      <c r="B313">
        <v>45468</v>
      </c>
      <c r="C313" t="s">
        <v>16</v>
      </c>
      <c r="D313" t="s">
        <v>191</v>
      </c>
      <c r="E313" t="s">
        <v>32</v>
      </c>
      <c r="F313" t="s">
        <v>19</v>
      </c>
      <c r="G313" t="s">
        <v>20</v>
      </c>
      <c r="H313" t="s">
        <v>109</v>
      </c>
      <c r="I313" t="s">
        <v>110</v>
      </c>
      <c r="J313" t="s">
        <v>23</v>
      </c>
      <c r="K313" t="s">
        <v>24</v>
      </c>
      <c r="L313">
        <v>2</v>
      </c>
      <c r="M313">
        <v>67940</v>
      </c>
      <c r="N313">
        <v>0.05</v>
      </c>
      <c r="O313">
        <v>43450</v>
      </c>
    </row>
    <row r="314" spans="1:15" x14ac:dyDescent="0.25">
      <c r="A314" t="s">
        <v>460</v>
      </c>
      <c r="B314">
        <v>45469</v>
      </c>
      <c r="C314" t="s">
        <v>42</v>
      </c>
      <c r="D314" t="s">
        <v>130</v>
      </c>
      <c r="E314" t="s">
        <v>44</v>
      </c>
      <c r="F314" t="s">
        <v>19</v>
      </c>
      <c r="G314" t="s">
        <v>27</v>
      </c>
      <c r="H314" t="s">
        <v>53</v>
      </c>
      <c r="I314" t="s">
        <v>54</v>
      </c>
      <c r="J314" t="s">
        <v>40</v>
      </c>
      <c r="K314" t="s">
        <v>24</v>
      </c>
      <c r="L314">
        <v>2</v>
      </c>
      <c r="M314">
        <v>44630</v>
      </c>
      <c r="N314">
        <v>0.2</v>
      </c>
      <c r="O314">
        <v>27520</v>
      </c>
    </row>
    <row r="315" spans="1:15" x14ac:dyDescent="0.25">
      <c r="A315" t="s">
        <v>461</v>
      </c>
      <c r="B315">
        <v>45469</v>
      </c>
      <c r="C315" t="s">
        <v>42</v>
      </c>
      <c r="D315" t="s">
        <v>43</v>
      </c>
      <c r="E315" t="s">
        <v>64</v>
      </c>
      <c r="F315" t="s">
        <v>19</v>
      </c>
      <c r="G315" t="s">
        <v>46</v>
      </c>
      <c r="H315" t="s">
        <v>100</v>
      </c>
      <c r="I315" t="s">
        <v>101</v>
      </c>
      <c r="J315" t="s">
        <v>23</v>
      </c>
      <c r="K315" t="s">
        <v>24</v>
      </c>
      <c r="L315">
        <v>24</v>
      </c>
      <c r="M315">
        <v>1820</v>
      </c>
      <c r="N315">
        <v>0.08</v>
      </c>
      <c r="O315">
        <v>1250</v>
      </c>
    </row>
    <row r="316" spans="1:15" x14ac:dyDescent="0.25">
      <c r="A316" t="s">
        <v>462</v>
      </c>
      <c r="B316">
        <v>45469</v>
      </c>
      <c r="C316" t="s">
        <v>42</v>
      </c>
      <c r="D316" t="s">
        <v>130</v>
      </c>
      <c r="E316" t="s">
        <v>97</v>
      </c>
      <c r="F316" t="s">
        <v>19</v>
      </c>
      <c r="G316" t="s">
        <v>27</v>
      </c>
      <c r="H316" t="s">
        <v>28</v>
      </c>
      <c r="I316" t="s">
        <v>29</v>
      </c>
      <c r="J316" t="s">
        <v>23</v>
      </c>
      <c r="K316" t="s">
        <v>24</v>
      </c>
      <c r="L316">
        <v>2</v>
      </c>
      <c r="M316">
        <v>27660</v>
      </c>
      <c r="N316">
        <v>0.2</v>
      </c>
      <c r="O316">
        <v>17280</v>
      </c>
    </row>
    <row r="317" spans="1:15" x14ac:dyDescent="0.25">
      <c r="A317" t="s">
        <v>463</v>
      </c>
      <c r="B317">
        <v>45470</v>
      </c>
      <c r="C317" t="s">
        <v>37</v>
      </c>
      <c r="D317" t="s">
        <v>38</v>
      </c>
      <c r="E317" t="s">
        <v>39</v>
      </c>
      <c r="F317" t="s">
        <v>19</v>
      </c>
      <c r="G317" t="s">
        <v>83</v>
      </c>
      <c r="H317" t="s">
        <v>184</v>
      </c>
      <c r="I317" t="s">
        <v>185</v>
      </c>
      <c r="J317" t="s">
        <v>40</v>
      </c>
      <c r="K317" t="s">
        <v>94</v>
      </c>
      <c r="L317">
        <v>4</v>
      </c>
      <c r="M317">
        <v>4720</v>
      </c>
      <c r="N317">
        <v>0.05</v>
      </c>
      <c r="O317">
        <v>3150</v>
      </c>
    </row>
    <row r="318" spans="1:15" x14ac:dyDescent="0.25">
      <c r="A318" t="s">
        <v>464</v>
      </c>
      <c r="B318">
        <v>45471</v>
      </c>
      <c r="C318" t="s">
        <v>16</v>
      </c>
      <c r="D318" t="s">
        <v>82</v>
      </c>
      <c r="E318" t="s">
        <v>32</v>
      </c>
      <c r="F318" t="s">
        <v>92</v>
      </c>
      <c r="G318" t="s">
        <v>27</v>
      </c>
      <c r="H318" t="s">
        <v>79</v>
      </c>
      <c r="I318" t="s">
        <v>168</v>
      </c>
      <c r="J318" t="s">
        <v>40</v>
      </c>
      <c r="K318" t="s">
        <v>24</v>
      </c>
      <c r="L318">
        <v>10</v>
      </c>
      <c r="M318">
        <v>9840</v>
      </c>
      <c r="N318">
        <v>0</v>
      </c>
      <c r="O318">
        <v>6900</v>
      </c>
    </row>
    <row r="319" spans="1:15" x14ac:dyDescent="0.25">
      <c r="A319" t="s">
        <v>465</v>
      </c>
      <c r="B319">
        <v>45471</v>
      </c>
      <c r="C319" t="s">
        <v>76</v>
      </c>
      <c r="D319" t="s">
        <v>217</v>
      </c>
      <c r="E319" t="s">
        <v>170</v>
      </c>
      <c r="F319" t="s">
        <v>19</v>
      </c>
      <c r="G319" t="s">
        <v>20</v>
      </c>
      <c r="H319" t="s">
        <v>21</v>
      </c>
      <c r="I319" t="s">
        <v>362</v>
      </c>
      <c r="J319" t="s">
        <v>49</v>
      </c>
      <c r="K319" t="s">
        <v>24</v>
      </c>
      <c r="L319">
        <v>5</v>
      </c>
      <c r="M319">
        <v>9710</v>
      </c>
      <c r="N319">
        <v>0</v>
      </c>
      <c r="O319">
        <v>6780</v>
      </c>
    </row>
    <row r="320" spans="1:15" x14ac:dyDescent="0.25">
      <c r="A320" t="s">
        <v>466</v>
      </c>
      <c r="B320">
        <v>45472</v>
      </c>
      <c r="C320" t="s">
        <v>76</v>
      </c>
      <c r="D320" t="s">
        <v>99</v>
      </c>
      <c r="E320" t="s">
        <v>78</v>
      </c>
      <c r="F320" t="s">
        <v>92</v>
      </c>
      <c r="G320" t="s">
        <v>20</v>
      </c>
      <c r="H320" t="s">
        <v>87</v>
      </c>
      <c r="I320" t="s">
        <v>88</v>
      </c>
      <c r="J320" t="s">
        <v>40</v>
      </c>
      <c r="K320" t="s">
        <v>24</v>
      </c>
      <c r="L320">
        <v>5</v>
      </c>
      <c r="M320">
        <v>32340</v>
      </c>
      <c r="N320">
        <v>0.1</v>
      </c>
      <c r="O320">
        <v>20720</v>
      </c>
    </row>
    <row r="321" spans="1:15" x14ac:dyDescent="0.25">
      <c r="A321" t="s">
        <v>467</v>
      </c>
      <c r="B321">
        <v>45472</v>
      </c>
      <c r="C321" t="s">
        <v>42</v>
      </c>
      <c r="D321" t="s">
        <v>146</v>
      </c>
      <c r="E321" t="s">
        <v>44</v>
      </c>
      <c r="F321" t="s">
        <v>19</v>
      </c>
      <c r="G321" t="s">
        <v>27</v>
      </c>
      <c r="H321" t="s">
        <v>214</v>
      </c>
      <c r="I321" t="s">
        <v>252</v>
      </c>
      <c r="J321" t="s">
        <v>49</v>
      </c>
      <c r="K321" t="s">
        <v>24</v>
      </c>
      <c r="L321">
        <v>2</v>
      </c>
      <c r="M321">
        <v>14110</v>
      </c>
      <c r="N321">
        <v>0.08</v>
      </c>
      <c r="O321">
        <v>10180</v>
      </c>
    </row>
    <row r="322" spans="1:15" x14ac:dyDescent="0.25">
      <c r="A322" t="s">
        <v>468</v>
      </c>
      <c r="B322">
        <v>45474</v>
      </c>
      <c r="C322" t="s">
        <v>37</v>
      </c>
      <c r="D322" t="s">
        <v>161</v>
      </c>
      <c r="E322" t="s">
        <v>68</v>
      </c>
      <c r="F322" t="s">
        <v>19</v>
      </c>
      <c r="G322" t="s">
        <v>27</v>
      </c>
      <c r="H322" t="s">
        <v>53</v>
      </c>
      <c r="I322" t="s">
        <v>54</v>
      </c>
      <c r="J322" t="s">
        <v>23</v>
      </c>
      <c r="K322" t="s">
        <v>24</v>
      </c>
      <c r="L322">
        <v>4</v>
      </c>
      <c r="M322">
        <v>41560</v>
      </c>
      <c r="N322">
        <v>0.1</v>
      </c>
      <c r="O322">
        <v>29970</v>
      </c>
    </row>
    <row r="323" spans="1:15" x14ac:dyDescent="0.25">
      <c r="A323" t="s">
        <v>469</v>
      </c>
      <c r="B323">
        <v>45474</v>
      </c>
      <c r="C323" t="s">
        <v>76</v>
      </c>
      <c r="D323" t="s">
        <v>125</v>
      </c>
      <c r="E323" t="s">
        <v>170</v>
      </c>
      <c r="F323" t="s">
        <v>92</v>
      </c>
      <c r="G323" t="s">
        <v>20</v>
      </c>
      <c r="H323" t="s">
        <v>87</v>
      </c>
      <c r="I323" t="s">
        <v>105</v>
      </c>
      <c r="J323" t="s">
        <v>40</v>
      </c>
      <c r="K323" t="s">
        <v>24</v>
      </c>
      <c r="L323">
        <v>5</v>
      </c>
      <c r="M323">
        <v>49610</v>
      </c>
      <c r="N323">
        <v>0.05</v>
      </c>
      <c r="O323">
        <v>33490</v>
      </c>
    </row>
    <row r="324" spans="1:15" x14ac:dyDescent="0.25">
      <c r="A324" t="s">
        <v>470</v>
      </c>
      <c r="B324">
        <v>45475</v>
      </c>
      <c r="C324" t="s">
        <v>76</v>
      </c>
      <c r="D324" t="s">
        <v>77</v>
      </c>
      <c r="E324" t="s">
        <v>170</v>
      </c>
      <c r="F324" t="s">
        <v>92</v>
      </c>
      <c r="G324" t="s">
        <v>83</v>
      </c>
      <c r="H324" t="s">
        <v>184</v>
      </c>
      <c r="I324" t="s">
        <v>185</v>
      </c>
      <c r="J324" t="s">
        <v>49</v>
      </c>
      <c r="K324" t="s">
        <v>24</v>
      </c>
      <c r="L324">
        <v>19</v>
      </c>
      <c r="M324">
        <v>4570</v>
      </c>
      <c r="N324">
        <v>0.08</v>
      </c>
      <c r="O324">
        <v>2640</v>
      </c>
    </row>
    <row r="325" spans="1:15" x14ac:dyDescent="0.25">
      <c r="A325" t="s">
        <v>471</v>
      </c>
      <c r="B325">
        <v>45476</v>
      </c>
      <c r="C325" t="s">
        <v>76</v>
      </c>
      <c r="D325" t="s">
        <v>112</v>
      </c>
      <c r="E325" t="s">
        <v>170</v>
      </c>
      <c r="F325" t="s">
        <v>19</v>
      </c>
      <c r="G325" t="s">
        <v>27</v>
      </c>
      <c r="H325" t="s">
        <v>214</v>
      </c>
      <c r="I325" t="s">
        <v>215</v>
      </c>
      <c r="J325" t="s">
        <v>49</v>
      </c>
      <c r="K325" t="s">
        <v>24</v>
      </c>
      <c r="L325">
        <v>1</v>
      </c>
      <c r="M325">
        <v>33920</v>
      </c>
      <c r="N325">
        <v>0</v>
      </c>
      <c r="O325">
        <v>24340</v>
      </c>
    </row>
    <row r="326" spans="1:15" x14ac:dyDescent="0.25">
      <c r="A326" t="s">
        <v>472</v>
      </c>
      <c r="B326">
        <v>45476</v>
      </c>
      <c r="C326" t="s">
        <v>56</v>
      </c>
      <c r="D326" t="s">
        <v>103</v>
      </c>
      <c r="E326" t="s">
        <v>134</v>
      </c>
      <c r="F326" t="s">
        <v>19</v>
      </c>
      <c r="G326" t="s">
        <v>20</v>
      </c>
      <c r="H326" t="s">
        <v>87</v>
      </c>
      <c r="I326" t="s">
        <v>105</v>
      </c>
      <c r="J326" t="s">
        <v>49</v>
      </c>
      <c r="K326" t="s">
        <v>24</v>
      </c>
      <c r="L326">
        <v>3</v>
      </c>
      <c r="M326">
        <v>52070</v>
      </c>
      <c r="N326">
        <v>0.08</v>
      </c>
      <c r="O326">
        <v>37820</v>
      </c>
    </row>
    <row r="327" spans="1:15" x14ac:dyDescent="0.25">
      <c r="A327" t="s">
        <v>473</v>
      </c>
      <c r="B327">
        <v>45476</v>
      </c>
      <c r="C327" t="s">
        <v>16</v>
      </c>
      <c r="D327" t="s">
        <v>153</v>
      </c>
      <c r="E327" t="s">
        <v>18</v>
      </c>
      <c r="F327" t="s">
        <v>52</v>
      </c>
      <c r="G327" t="s">
        <v>20</v>
      </c>
      <c r="H327" t="s">
        <v>21</v>
      </c>
      <c r="I327" t="s">
        <v>22</v>
      </c>
      <c r="J327" t="s">
        <v>23</v>
      </c>
      <c r="K327" t="s">
        <v>24</v>
      </c>
      <c r="L327">
        <v>33</v>
      </c>
      <c r="M327">
        <v>1860</v>
      </c>
      <c r="N327">
        <v>0.15</v>
      </c>
      <c r="O327">
        <v>1200</v>
      </c>
    </row>
    <row r="328" spans="1:15" x14ac:dyDescent="0.25">
      <c r="A328" t="s">
        <v>474</v>
      </c>
      <c r="B328">
        <v>45477</v>
      </c>
      <c r="C328" t="s">
        <v>56</v>
      </c>
      <c r="D328" t="s">
        <v>127</v>
      </c>
      <c r="E328" t="s">
        <v>58</v>
      </c>
      <c r="F328" t="s">
        <v>19</v>
      </c>
      <c r="G328" t="s">
        <v>20</v>
      </c>
      <c r="H328" t="s">
        <v>109</v>
      </c>
      <c r="I328" t="s">
        <v>110</v>
      </c>
      <c r="J328" t="s">
        <v>49</v>
      </c>
      <c r="K328" t="s">
        <v>24</v>
      </c>
      <c r="L328">
        <v>1</v>
      </c>
      <c r="M328">
        <v>69710</v>
      </c>
      <c r="N328">
        <v>0.05</v>
      </c>
      <c r="O328">
        <v>44850</v>
      </c>
    </row>
    <row r="329" spans="1:15" x14ac:dyDescent="0.25">
      <c r="A329" t="s">
        <v>475</v>
      </c>
      <c r="B329">
        <v>45478</v>
      </c>
      <c r="C329" t="s">
        <v>76</v>
      </c>
      <c r="D329" t="s">
        <v>217</v>
      </c>
      <c r="E329" t="s">
        <v>78</v>
      </c>
      <c r="F329" t="s">
        <v>45</v>
      </c>
      <c r="G329" t="s">
        <v>20</v>
      </c>
      <c r="H329" t="s">
        <v>21</v>
      </c>
      <c r="I329" t="s">
        <v>65</v>
      </c>
      <c r="J329" t="s">
        <v>40</v>
      </c>
      <c r="K329" t="s">
        <v>24</v>
      </c>
      <c r="L329">
        <v>25</v>
      </c>
      <c r="M329">
        <v>8860</v>
      </c>
      <c r="N329">
        <v>0.08</v>
      </c>
      <c r="O329">
        <v>6980</v>
      </c>
    </row>
    <row r="330" spans="1:15" x14ac:dyDescent="0.25">
      <c r="A330" t="s">
        <v>476</v>
      </c>
      <c r="B330">
        <v>45478</v>
      </c>
      <c r="C330" t="s">
        <v>56</v>
      </c>
      <c r="D330" t="s">
        <v>143</v>
      </c>
      <c r="E330" t="s">
        <v>134</v>
      </c>
      <c r="F330" t="s">
        <v>92</v>
      </c>
      <c r="G330" t="s">
        <v>59</v>
      </c>
      <c r="H330" t="s">
        <v>60</v>
      </c>
      <c r="I330" t="s">
        <v>61</v>
      </c>
      <c r="J330" t="s">
        <v>40</v>
      </c>
      <c r="K330" t="s">
        <v>24</v>
      </c>
      <c r="L330">
        <v>14</v>
      </c>
      <c r="M330">
        <v>24810</v>
      </c>
      <c r="N330">
        <v>0.12</v>
      </c>
      <c r="O330">
        <v>16950</v>
      </c>
    </row>
    <row r="331" spans="1:15" x14ac:dyDescent="0.25">
      <c r="A331" t="s">
        <v>477</v>
      </c>
      <c r="B331">
        <v>45479</v>
      </c>
      <c r="C331" t="s">
        <v>37</v>
      </c>
      <c r="D331" t="s">
        <v>213</v>
      </c>
      <c r="E331" t="s">
        <v>39</v>
      </c>
      <c r="F331" t="s">
        <v>92</v>
      </c>
      <c r="G331" t="s">
        <v>20</v>
      </c>
      <c r="H331" t="s">
        <v>109</v>
      </c>
      <c r="I331" t="s">
        <v>159</v>
      </c>
      <c r="J331" t="s">
        <v>23</v>
      </c>
      <c r="K331" t="s">
        <v>94</v>
      </c>
      <c r="L331">
        <v>7</v>
      </c>
      <c r="M331">
        <v>17420</v>
      </c>
      <c r="N331">
        <v>0.05</v>
      </c>
      <c r="O331">
        <v>9850</v>
      </c>
    </row>
    <row r="332" spans="1:15" x14ac:dyDescent="0.25">
      <c r="A332" t="s">
        <v>478</v>
      </c>
      <c r="B332">
        <v>45479</v>
      </c>
      <c r="C332" t="s">
        <v>42</v>
      </c>
      <c r="D332" t="s">
        <v>265</v>
      </c>
      <c r="E332" t="s">
        <v>64</v>
      </c>
      <c r="F332" t="s">
        <v>19</v>
      </c>
      <c r="G332" t="s">
        <v>59</v>
      </c>
      <c r="H332" t="s">
        <v>154</v>
      </c>
      <c r="I332" t="s">
        <v>155</v>
      </c>
      <c r="J332" t="s">
        <v>23</v>
      </c>
      <c r="K332" t="s">
        <v>35</v>
      </c>
      <c r="L332">
        <v>6</v>
      </c>
      <c r="M332">
        <v>12290</v>
      </c>
      <c r="N332">
        <v>0.15</v>
      </c>
      <c r="O332">
        <v>9430</v>
      </c>
    </row>
    <row r="333" spans="1:15" x14ac:dyDescent="0.25">
      <c r="A333" t="s">
        <v>479</v>
      </c>
      <c r="B333">
        <v>45479</v>
      </c>
      <c r="C333" t="s">
        <v>16</v>
      </c>
      <c r="D333" t="s">
        <v>31</v>
      </c>
      <c r="E333" t="s">
        <v>32</v>
      </c>
      <c r="F333" t="s">
        <v>92</v>
      </c>
      <c r="G333" t="s">
        <v>20</v>
      </c>
      <c r="H333" t="s">
        <v>87</v>
      </c>
      <c r="I333" t="s">
        <v>105</v>
      </c>
      <c r="J333" t="s">
        <v>23</v>
      </c>
      <c r="K333" t="s">
        <v>24</v>
      </c>
      <c r="L333">
        <v>3</v>
      </c>
      <c r="M333">
        <v>49530</v>
      </c>
      <c r="N333">
        <v>0.05</v>
      </c>
      <c r="O333">
        <v>36810</v>
      </c>
    </row>
    <row r="334" spans="1:15" x14ac:dyDescent="0.25">
      <c r="A334" t="s">
        <v>480</v>
      </c>
      <c r="B334">
        <v>45482</v>
      </c>
      <c r="C334" t="s">
        <v>42</v>
      </c>
      <c r="D334" t="s">
        <v>265</v>
      </c>
      <c r="E334" t="s">
        <v>64</v>
      </c>
      <c r="F334" t="s">
        <v>19</v>
      </c>
      <c r="G334" t="s">
        <v>27</v>
      </c>
      <c r="H334" t="s">
        <v>53</v>
      </c>
      <c r="I334" t="s">
        <v>131</v>
      </c>
      <c r="J334" t="s">
        <v>40</v>
      </c>
      <c r="K334" t="s">
        <v>24</v>
      </c>
      <c r="L334">
        <v>2</v>
      </c>
      <c r="M334">
        <v>37740</v>
      </c>
      <c r="N334">
        <v>0.2</v>
      </c>
      <c r="O334">
        <v>22580</v>
      </c>
    </row>
    <row r="335" spans="1:15" x14ac:dyDescent="0.25">
      <c r="A335" t="s">
        <v>481</v>
      </c>
      <c r="B335">
        <v>45482</v>
      </c>
      <c r="C335" t="s">
        <v>37</v>
      </c>
      <c r="D335" t="s">
        <v>213</v>
      </c>
      <c r="E335" t="s">
        <v>39</v>
      </c>
      <c r="F335" t="s">
        <v>92</v>
      </c>
      <c r="G335" t="s">
        <v>20</v>
      </c>
      <c r="H335" t="s">
        <v>109</v>
      </c>
      <c r="I335" t="s">
        <v>110</v>
      </c>
      <c r="J335" t="s">
        <v>40</v>
      </c>
      <c r="K335" t="s">
        <v>24</v>
      </c>
      <c r="L335">
        <v>5</v>
      </c>
      <c r="M335">
        <v>70790</v>
      </c>
      <c r="N335">
        <v>0.1</v>
      </c>
      <c r="O335">
        <v>50940</v>
      </c>
    </row>
    <row r="336" spans="1:15" x14ac:dyDescent="0.25">
      <c r="A336" t="s">
        <v>482</v>
      </c>
      <c r="B336">
        <v>45483</v>
      </c>
      <c r="C336" t="s">
        <v>56</v>
      </c>
      <c r="D336" t="s">
        <v>57</v>
      </c>
      <c r="E336" t="s">
        <v>91</v>
      </c>
      <c r="F336" t="s">
        <v>19</v>
      </c>
      <c r="G336" t="s">
        <v>46</v>
      </c>
      <c r="H336" t="s">
        <v>47</v>
      </c>
      <c r="I336" t="s">
        <v>48</v>
      </c>
      <c r="J336" t="s">
        <v>40</v>
      </c>
      <c r="K336" t="s">
        <v>24</v>
      </c>
      <c r="L336">
        <v>19</v>
      </c>
      <c r="M336">
        <v>1910</v>
      </c>
      <c r="N336">
        <v>0.05</v>
      </c>
      <c r="O336">
        <v>1200</v>
      </c>
    </row>
    <row r="337" spans="1:15" x14ac:dyDescent="0.25">
      <c r="A337" t="s">
        <v>483</v>
      </c>
      <c r="B337">
        <v>45483</v>
      </c>
      <c r="C337" t="s">
        <v>16</v>
      </c>
      <c r="D337" t="s">
        <v>191</v>
      </c>
      <c r="E337" t="s">
        <v>18</v>
      </c>
      <c r="F337" t="s">
        <v>45</v>
      </c>
      <c r="G337" t="s">
        <v>46</v>
      </c>
      <c r="H337" t="s">
        <v>100</v>
      </c>
      <c r="I337" t="s">
        <v>177</v>
      </c>
      <c r="J337" t="s">
        <v>23</v>
      </c>
      <c r="K337" t="s">
        <v>24</v>
      </c>
      <c r="L337">
        <v>83</v>
      </c>
      <c r="M337">
        <v>2660</v>
      </c>
      <c r="N337">
        <v>0</v>
      </c>
      <c r="O337">
        <v>1960</v>
      </c>
    </row>
    <row r="338" spans="1:15" x14ac:dyDescent="0.25">
      <c r="A338" t="s">
        <v>484</v>
      </c>
      <c r="B338">
        <v>45483</v>
      </c>
      <c r="C338" t="s">
        <v>56</v>
      </c>
      <c r="D338" t="s">
        <v>143</v>
      </c>
      <c r="E338" t="s">
        <v>91</v>
      </c>
      <c r="F338" t="s">
        <v>19</v>
      </c>
      <c r="G338" t="s">
        <v>46</v>
      </c>
      <c r="H338" t="s">
        <v>100</v>
      </c>
      <c r="I338" t="s">
        <v>177</v>
      </c>
      <c r="J338" t="s">
        <v>40</v>
      </c>
      <c r="K338" t="s">
        <v>24</v>
      </c>
      <c r="L338">
        <v>19</v>
      </c>
      <c r="M338">
        <v>2510</v>
      </c>
      <c r="N338">
        <v>0.15</v>
      </c>
      <c r="O338">
        <v>1740</v>
      </c>
    </row>
    <row r="339" spans="1:15" x14ac:dyDescent="0.25">
      <c r="A339" t="s">
        <v>485</v>
      </c>
      <c r="B339">
        <v>45484</v>
      </c>
      <c r="C339" t="s">
        <v>16</v>
      </c>
      <c r="D339" t="s">
        <v>17</v>
      </c>
      <c r="E339" t="s">
        <v>18</v>
      </c>
      <c r="F339" t="s">
        <v>19</v>
      </c>
      <c r="G339" t="s">
        <v>27</v>
      </c>
      <c r="H339" t="s">
        <v>79</v>
      </c>
      <c r="I339" t="s">
        <v>262</v>
      </c>
      <c r="J339" t="s">
        <v>23</v>
      </c>
      <c r="K339" t="s">
        <v>24</v>
      </c>
      <c r="L339">
        <v>21</v>
      </c>
      <c r="M339">
        <v>2600</v>
      </c>
      <c r="N339">
        <v>0.2</v>
      </c>
      <c r="O339">
        <v>1960</v>
      </c>
    </row>
    <row r="340" spans="1:15" x14ac:dyDescent="0.25">
      <c r="A340" t="s">
        <v>486</v>
      </c>
      <c r="B340">
        <v>45485</v>
      </c>
      <c r="C340" t="s">
        <v>56</v>
      </c>
      <c r="D340" t="s">
        <v>143</v>
      </c>
      <c r="E340" t="s">
        <v>91</v>
      </c>
      <c r="F340" t="s">
        <v>19</v>
      </c>
      <c r="G340" t="s">
        <v>27</v>
      </c>
      <c r="H340" t="s">
        <v>79</v>
      </c>
      <c r="I340" t="s">
        <v>168</v>
      </c>
      <c r="J340" t="s">
        <v>23</v>
      </c>
      <c r="K340" t="s">
        <v>24</v>
      </c>
      <c r="L340">
        <v>7</v>
      </c>
      <c r="M340">
        <v>9070</v>
      </c>
      <c r="N340">
        <v>0.2</v>
      </c>
      <c r="O340">
        <v>5610</v>
      </c>
    </row>
    <row r="341" spans="1:15" x14ac:dyDescent="0.25">
      <c r="A341" t="s">
        <v>487</v>
      </c>
      <c r="B341">
        <v>45485</v>
      </c>
      <c r="C341" t="s">
        <v>42</v>
      </c>
      <c r="D341" t="s">
        <v>130</v>
      </c>
      <c r="E341" t="s">
        <v>44</v>
      </c>
      <c r="F341" t="s">
        <v>19</v>
      </c>
      <c r="G341" t="s">
        <v>83</v>
      </c>
      <c r="H341" t="s">
        <v>184</v>
      </c>
      <c r="I341" t="s">
        <v>185</v>
      </c>
      <c r="J341" t="s">
        <v>40</v>
      </c>
      <c r="K341" t="s">
        <v>24</v>
      </c>
      <c r="L341">
        <v>3</v>
      </c>
      <c r="M341">
        <v>4800</v>
      </c>
      <c r="N341">
        <v>0</v>
      </c>
      <c r="O341">
        <v>3270</v>
      </c>
    </row>
    <row r="342" spans="1:15" x14ac:dyDescent="0.25">
      <c r="A342" t="s">
        <v>488</v>
      </c>
      <c r="B342">
        <v>45486</v>
      </c>
      <c r="C342" t="s">
        <v>42</v>
      </c>
      <c r="D342" t="s">
        <v>123</v>
      </c>
      <c r="E342" t="s">
        <v>64</v>
      </c>
      <c r="F342" t="s">
        <v>52</v>
      </c>
      <c r="G342" t="s">
        <v>20</v>
      </c>
      <c r="H342" t="s">
        <v>109</v>
      </c>
      <c r="I342" t="s">
        <v>159</v>
      </c>
      <c r="J342" t="s">
        <v>23</v>
      </c>
      <c r="K342" t="s">
        <v>35</v>
      </c>
      <c r="L342">
        <v>7</v>
      </c>
      <c r="M342">
        <v>19070</v>
      </c>
      <c r="N342">
        <v>0</v>
      </c>
      <c r="O342">
        <v>14760</v>
      </c>
    </row>
    <row r="343" spans="1:15" x14ac:dyDescent="0.25">
      <c r="A343" t="s">
        <v>489</v>
      </c>
      <c r="B343">
        <v>45486</v>
      </c>
      <c r="C343" t="s">
        <v>56</v>
      </c>
      <c r="D343" t="s">
        <v>72</v>
      </c>
      <c r="E343" t="s">
        <v>91</v>
      </c>
      <c r="F343" t="s">
        <v>52</v>
      </c>
      <c r="G343" t="s">
        <v>20</v>
      </c>
      <c r="H343" t="s">
        <v>87</v>
      </c>
      <c r="I343" t="s">
        <v>88</v>
      </c>
      <c r="J343" t="s">
        <v>40</v>
      </c>
      <c r="K343" t="s">
        <v>24</v>
      </c>
      <c r="L343">
        <v>1</v>
      </c>
      <c r="M343">
        <v>34280</v>
      </c>
      <c r="N343">
        <v>0.18</v>
      </c>
      <c r="O343">
        <v>19700</v>
      </c>
    </row>
    <row r="344" spans="1:15" x14ac:dyDescent="0.25">
      <c r="A344" t="s">
        <v>490</v>
      </c>
      <c r="B344">
        <v>45486</v>
      </c>
      <c r="C344" t="s">
        <v>56</v>
      </c>
      <c r="D344" t="s">
        <v>57</v>
      </c>
      <c r="E344" t="s">
        <v>134</v>
      </c>
      <c r="F344" t="s">
        <v>92</v>
      </c>
      <c r="G344" t="s">
        <v>46</v>
      </c>
      <c r="H344" t="s">
        <v>100</v>
      </c>
      <c r="I344" t="s">
        <v>177</v>
      </c>
      <c r="J344" t="s">
        <v>23</v>
      </c>
      <c r="K344" t="s">
        <v>94</v>
      </c>
      <c r="L344">
        <v>57</v>
      </c>
      <c r="M344">
        <v>2480</v>
      </c>
      <c r="N344">
        <v>0.08</v>
      </c>
      <c r="O344">
        <v>1810</v>
      </c>
    </row>
    <row r="345" spans="1:15" x14ac:dyDescent="0.25">
      <c r="A345" t="s">
        <v>491</v>
      </c>
      <c r="B345">
        <v>45487</v>
      </c>
      <c r="C345" t="s">
        <v>42</v>
      </c>
      <c r="D345" t="s">
        <v>123</v>
      </c>
      <c r="E345" t="s">
        <v>64</v>
      </c>
      <c r="F345" t="s">
        <v>19</v>
      </c>
      <c r="G345" t="s">
        <v>20</v>
      </c>
      <c r="H345" t="s">
        <v>33</v>
      </c>
      <c r="I345" t="s">
        <v>139</v>
      </c>
      <c r="J345" t="s">
        <v>23</v>
      </c>
      <c r="K345" t="s">
        <v>24</v>
      </c>
      <c r="L345">
        <v>2</v>
      </c>
      <c r="M345">
        <v>65370</v>
      </c>
      <c r="N345">
        <v>0.12</v>
      </c>
      <c r="O345">
        <v>40810</v>
      </c>
    </row>
    <row r="346" spans="1:15" x14ac:dyDescent="0.25">
      <c r="A346" t="s">
        <v>492</v>
      </c>
      <c r="B346">
        <v>45487</v>
      </c>
      <c r="C346" t="s">
        <v>56</v>
      </c>
      <c r="D346" t="s">
        <v>133</v>
      </c>
      <c r="E346" t="s">
        <v>91</v>
      </c>
      <c r="F346" t="s">
        <v>19</v>
      </c>
      <c r="G346" t="s">
        <v>27</v>
      </c>
      <c r="H346" t="s">
        <v>53</v>
      </c>
      <c r="I346" t="s">
        <v>131</v>
      </c>
      <c r="J346" t="s">
        <v>23</v>
      </c>
      <c r="K346" t="s">
        <v>24</v>
      </c>
      <c r="L346">
        <v>4</v>
      </c>
      <c r="M346">
        <v>38620</v>
      </c>
      <c r="N346">
        <v>0</v>
      </c>
      <c r="O346">
        <v>30170</v>
      </c>
    </row>
    <row r="347" spans="1:15" x14ac:dyDescent="0.25">
      <c r="A347" t="s">
        <v>493</v>
      </c>
      <c r="B347">
        <v>45488</v>
      </c>
      <c r="C347" t="s">
        <v>16</v>
      </c>
      <c r="D347" t="s">
        <v>17</v>
      </c>
      <c r="E347" t="s">
        <v>26</v>
      </c>
      <c r="F347" t="s">
        <v>45</v>
      </c>
      <c r="G347" t="s">
        <v>46</v>
      </c>
      <c r="H347" t="s">
        <v>47</v>
      </c>
      <c r="I347" t="s">
        <v>48</v>
      </c>
      <c r="J347" t="s">
        <v>40</v>
      </c>
      <c r="K347" t="s">
        <v>35</v>
      </c>
      <c r="L347">
        <v>54</v>
      </c>
      <c r="M347">
        <v>1920</v>
      </c>
      <c r="N347">
        <v>0.05</v>
      </c>
      <c r="O347">
        <v>1190</v>
      </c>
    </row>
    <row r="348" spans="1:15" x14ac:dyDescent="0.25">
      <c r="A348" t="s">
        <v>494</v>
      </c>
      <c r="B348">
        <v>45489</v>
      </c>
      <c r="C348" t="s">
        <v>56</v>
      </c>
      <c r="D348" t="s">
        <v>133</v>
      </c>
      <c r="E348" t="s">
        <v>58</v>
      </c>
      <c r="F348" t="s">
        <v>19</v>
      </c>
      <c r="G348" t="s">
        <v>20</v>
      </c>
      <c r="H348" t="s">
        <v>33</v>
      </c>
      <c r="I348" t="s">
        <v>182</v>
      </c>
      <c r="J348" t="s">
        <v>23</v>
      </c>
      <c r="K348" t="s">
        <v>24</v>
      </c>
      <c r="L348">
        <v>2</v>
      </c>
      <c r="M348">
        <v>101670</v>
      </c>
      <c r="N348">
        <v>0.05</v>
      </c>
      <c r="O348">
        <v>79680</v>
      </c>
    </row>
    <row r="349" spans="1:15" x14ac:dyDescent="0.25">
      <c r="A349" t="s">
        <v>495</v>
      </c>
      <c r="B349">
        <v>45489</v>
      </c>
      <c r="C349" t="s">
        <v>16</v>
      </c>
      <c r="D349" t="s">
        <v>82</v>
      </c>
      <c r="E349" t="s">
        <v>32</v>
      </c>
      <c r="F349" t="s">
        <v>92</v>
      </c>
      <c r="G349" t="s">
        <v>20</v>
      </c>
      <c r="H349" t="s">
        <v>87</v>
      </c>
      <c r="I349" t="s">
        <v>88</v>
      </c>
      <c r="J349" t="s">
        <v>23</v>
      </c>
      <c r="K349" t="s">
        <v>119</v>
      </c>
      <c r="L349">
        <v>3</v>
      </c>
      <c r="M349">
        <v>34490</v>
      </c>
      <c r="N349">
        <v>0.15</v>
      </c>
      <c r="O349">
        <v>21420</v>
      </c>
    </row>
    <row r="350" spans="1:15" x14ac:dyDescent="0.25">
      <c r="A350" t="s">
        <v>496</v>
      </c>
      <c r="B350">
        <v>45490</v>
      </c>
      <c r="C350" t="s">
        <v>56</v>
      </c>
      <c r="D350" t="s">
        <v>72</v>
      </c>
      <c r="E350" t="s">
        <v>58</v>
      </c>
      <c r="F350" t="s">
        <v>19</v>
      </c>
      <c r="G350" t="s">
        <v>20</v>
      </c>
      <c r="H350" t="s">
        <v>21</v>
      </c>
      <c r="I350" t="s">
        <v>65</v>
      </c>
      <c r="J350" t="s">
        <v>23</v>
      </c>
      <c r="K350" t="s">
        <v>24</v>
      </c>
      <c r="L350">
        <v>7</v>
      </c>
      <c r="M350">
        <v>8280</v>
      </c>
      <c r="N350">
        <v>0.15</v>
      </c>
      <c r="O350">
        <v>5660</v>
      </c>
    </row>
    <row r="351" spans="1:15" x14ac:dyDescent="0.25">
      <c r="A351" t="s">
        <v>497</v>
      </c>
      <c r="B351">
        <v>45490</v>
      </c>
      <c r="C351" t="s">
        <v>76</v>
      </c>
      <c r="D351" t="s">
        <v>77</v>
      </c>
      <c r="E351" t="s">
        <v>78</v>
      </c>
      <c r="F351" t="s">
        <v>45</v>
      </c>
      <c r="G351" t="s">
        <v>59</v>
      </c>
      <c r="H351" t="s">
        <v>73</v>
      </c>
      <c r="I351" t="s">
        <v>74</v>
      </c>
      <c r="J351" t="s">
        <v>40</v>
      </c>
      <c r="K351" t="s">
        <v>119</v>
      </c>
      <c r="L351">
        <v>5</v>
      </c>
      <c r="M351">
        <v>48430</v>
      </c>
      <c r="N351">
        <v>0.08</v>
      </c>
      <c r="O351">
        <v>35670</v>
      </c>
    </row>
    <row r="352" spans="1:15" x14ac:dyDescent="0.25">
      <c r="A352" t="s">
        <v>498</v>
      </c>
      <c r="B352">
        <v>45490</v>
      </c>
      <c r="C352" t="s">
        <v>56</v>
      </c>
      <c r="D352" t="s">
        <v>103</v>
      </c>
      <c r="E352" t="s">
        <v>134</v>
      </c>
      <c r="F352" t="s">
        <v>45</v>
      </c>
      <c r="G352" t="s">
        <v>59</v>
      </c>
      <c r="H352" t="s">
        <v>154</v>
      </c>
      <c r="I352" t="s">
        <v>155</v>
      </c>
      <c r="J352" t="s">
        <v>49</v>
      </c>
      <c r="K352" t="s">
        <v>24</v>
      </c>
      <c r="L352">
        <v>4</v>
      </c>
      <c r="M352">
        <v>12120</v>
      </c>
      <c r="N352">
        <v>0</v>
      </c>
      <c r="O352">
        <v>8240</v>
      </c>
    </row>
    <row r="353" spans="1:15" x14ac:dyDescent="0.25">
      <c r="A353" t="s">
        <v>499</v>
      </c>
      <c r="B353">
        <v>45491</v>
      </c>
      <c r="C353" t="s">
        <v>76</v>
      </c>
      <c r="D353" t="s">
        <v>99</v>
      </c>
      <c r="E353" t="s">
        <v>170</v>
      </c>
      <c r="F353" t="s">
        <v>19</v>
      </c>
      <c r="G353" t="s">
        <v>20</v>
      </c>
      <c r="H353" t="s">
        <v>33</v>
      </c>
      <c r="I353" t="s">
        <v>34</v>
      </c>
      <c r="J353" t="s">
        <v>40</v>
      </c>
      <c r="K353" t="s">
        <v>119</v>
      </c>
      <c r="L353">
        <v>3</v>
      </c>
      <c r="M353">
        <v>52720</v>
      </c>
      <c r="N353">
        <v>0.18</v>
      </c>
      <c r="O353">
        <v>35460</v>
      </c>
    </row>
    <row r="354" spans="1:15" x14ac:dyDescent="0.25">
      <c r="A354" t="s">
        <v>500</v>
      </c>
      <c r="B354">
        <v>45493</v>
      </c>
      <c r="C354" t="s">
        <v>56</v>
      </c>
      <c r="D354" t="s">
        <v>127</v>
      </c>
      <c r="E354" t="s">
        <v>58</v>
      </c>
      <c r="F354" t="s">
        <v>92</v>
      </c>
      <c r="G354" t="s">
        <v>20</v>
      </c>
      <c r="H354" t="s">
        <v>33</v>
      </c>
      <c r="I354" t="s">
        <v>139</v>
      </c>
      <c r="J354" t="s">
        <v>23</v>
      </c>
      <c r="K354" t="s">
        <v>24</v>
      </c>
      <c r="L354">
        <v>6</v>
      </c>
      <c r="M354">
        <v>64250</v>
      </c>
      <c r="N354">
        <v>0.08</v>
      </c>
      <c r="O354">
        <v>38650</v>
      </c>
    </row>
    <row r="355" spans="1:15" x14ac:dyDescent="0.25">
      <c r="A355" t="s">
        <v>501</v>
      </c>
      <c r="B355">
        <v>45493</v>
      </c>
      <c r="C355" t="s">
        <v>42</v>
      </c>
      <c r="D355" t="s">
        <v>96</v>
      </c>
      <c r="E355" t="s">
        <v>44</v>
      </c>
      <c r="F355" t="s">
        <v>19</v>
      </c>
      <c r="G355" t="s">
        <v>20</v>
      </c>
      <c r="H355" t="s">
        <v>109</v>
      </c>
      <c r="I355" t="s">
        <v>171</v>
      </c>
      <c r="J355" t="s">
        <v>23</v>
      </c>
      <c r="K355" t="s">
        <v>24</v>
      </c>
      <c r="L355">
        <v>3</v>
      </c>
      <c r="M355">
        <v>22700</v>
      </c>
      <c r="N355">
        <v>0.2</v>
      </c>
      <c r="O355">
        <v>13680</v>
      </c>
    </row>
    <row r="356" spans="1:15" x14ac:dyDescent="0.25">
      <c r="A356" t="s">
        <v>502</v>
      </c>
      <c r="B356">
        <v>45493</v>
      </c>
      <c r="C356" t="s">
        <v>56</v>
      </c>
      <c r="D356" t="s">
        <v>57</v>
      </c>
      <c r="E356" t="s">
        <v>58</v>
      </c>
      <c r="F356" t="s">
        <v>19</v>
      </c>
      <c r="G356" t="s">
        <v>46</v>
      </c>
      <c r="H356" t="s">
        <v>100</v>
      </c>
      <c r="I356" t="s">
        <v>101</v>
      </c>
      <c r="J356" t="s">
        <v>40</v>
      </c>
      <c r="K356" t="s">
        <v>24</v>
      </c>
      <c r="L356">
        <v>10</v>
      </c>
      <c r="M356">
        <v>2010</v>
      </c>
      <c r="N356">
        <v>0</v>
      </c>
      <c r="O356">
        <v>1180</v>
      </c>
    </row>
    <row r="357" spans="1:15" x14ac:dyDescent="0.25">
      <c r="A357" t="s">
        <v>503</v>
      </c>
      <c r="B357">
        <v>45494</v>
      </c>
      <c r="C357" t="s">
        <v>16</v>
      </c>
      <c r="D357" t="s">
        <v>31</v>
      </c>
      <c r="E357" t="s">
        <v>26</v>
      </c>
      <c r="F357" t="s">
        <v>19</v>
      </c>
      <c r="G357" t="s">
        <v>20</v>
      </c>
      <c r="H357" t="s">
        <v>109</v>
      </c>
      <c r="I357" t="s">
        <v>110</v>
      </c>
      <c r="J357" t="s">
        <v>23</v>
      </c>
      <c r="K357" t="s">
        <v>35</v>
      </c>
      <c r="L357">
        <v>3</v>
      </c>
      <c r="M357">
        <v>67020</v>
      </c>
      <c r="N357">
        <v>0.12</v>
      </c>
      <c r="O357">
        <v>40940</v>
      </c>
    </row>
    <row r="358" spans="1:15" x14ac:dyDescent="0.25">
      <c r="A358" t="s">
        <v>504</v>
      </c>
      <c r="B358">
        <v>45495</v>
      </c>
      <c r="C358" t="s">
        <v>42</v>
      </c>
      <c r="D358" t="s">
        <v>96</v>
      </c>
      <c r="E358" t="s">
        <v>97</v>
      </c>
      <c r="F358" t="s">
        <v>19</v>
      </c>
      <c r="G358" t="s">
        <v>20</v>
      </c>
      <c r="H358" t="s">
        <v>33</v>
      </c>
      <c r="I358" t="s">
        <v>34</v>
      </c>
      <c r="J358" t="s">
        <v>23</v>
      </c>
      <c r="K358" t="s">
        <v>94</v>
      </c>
      <c r="L358">
        <v>4</v>
      </c>
      <c r="M358">
        <v>58280</v>
      </c>
      <c r="N358">
        <v>0.05</v>
      </c>
      <c r="O358">
        <v>43450</v>
      </c>
    </row>
    <row r="359" spans="1:15" x14ac:dyDescent="0.25">
      <c r="A359" t="s">
        <v>505</v>
      </c>
      <c r="B359">
        <v>45497</v>
      </c>
      <c r="C359" t="s">
        <v>56</v>
      </c>
      <c r="D359" t="s">
        <v>57</v>
      </c>
      <c r="E359" t="s">
        <v>134</v>
      </c>
      <c r="F359" t="s">
        <v>19</v>
      </c>
      <c r="G359" t="s">
        <v>27</v>
      </c>
      <c r="H359" t="s">
        <v>79</v>
      </c>
      <c r="I359" t="s">
        <v>168</v>
      </c>
      <c r="J359" t="s">
        <v>23</v>
      </c>
      <c r="K359" t="s">
        <v>24</v>
      </c>
      <c r="L359">
        <v>4</v>
      </c>
      <c r="M359">
        <v>9640</v>
      </c>
      <c r="N359">
        <v>0.05</v>
      </c>
      <c r="O359">
        <v>6570</v>
      </c>
    </row>
    <row r="360" spans="1:15" x14ac:dyDescent="0.25">
      <c r="A360" t="s">
        <v>506</v>
      </c>
      <c r="B360">
        <v>45497</v>
      </c>
      <c r="C360" t="s">
        <v>56</v>
      </c>
      <c r="D360" t="s">
        <v>72</v>
      </c>
      <c r="E360" t="s">
        <v>58</v>
      </c>
      <c r="F360" t="s">
        <v>19</v>
      </c>
      <c r="G360" t="s">
        <v>59</v>
      </c>
      <c r="H360" t="s">
        <v>69</v>
      </c>
      <c r="I360" t="s">
        <v>70</v>
      </c>
      <c r="J360" t="s">
        <v>40</v>
      </c>
      <c r="K360" t="s">
        <v>24</v>
      </c>
      <c r="L360">
        <v>3</v>
      </c>
      <c r="M360">
        <v>28390</v>
      </c>
      <c r="N360">
        <v>0.05</v>
      </c>
      <c r="O360">
        <v>21830</v>
      </c>
    </row>
    <row r="361" spans="1:15" x14ac:dyDescent="0.25">
      <c r="A361" t="s">
        <v>507</v>
      </c>
      <c r="B361">
        <v>45497</v>
      </c>
      <c r="C361" t="s">
        <v>16</v>
      </c>
      <c r="D361" t="s">
        <v>153</v>
      </c>
      <c r="E361" t="s">
        <v>18</v>
      </c>
      <c r="F361" t="s">
        <v>19</v>
      </c>
      <c r="G361" t="s">
        <v>20</v>
      </c>
      <c r="H361" t="s">
        <v>33</v>
      </c>
      <c r="I361" t="s">
        <v>139</v>
      </c>
      <c r="J361" t="s">
        <v>40</v>
      </c>
      <c r="K361" t="s">
        <v>24</v>
      </c>
      <c r="L361">
        <v>2</v>
      </c>
      <c r="M361">
        <v>60040</v>
      </c>
      <c r="N361">
        <v>0.05</v>
      </c>
      <c r="O361">
        <v>40970</v>
      </c>
    </row>
    <row r="362" spans="1:15" x14ac:dyDescent="0.25">
      <c r="A362" t="s">
        <v>508</v>
      </c>
      <c r="B362">
        <v>45498</v>
      </c>
      <c r="C362" t="s">
        <v>16</v>
      </c>
      <c r="D362" t="s">
        <v>153</v>
      </c>
      <c r="E362" t="s">
        <v>32</v>
      </c>
      <c r="F362" t="s">
        <v>19</v>
      </c>
      <c r="G362" t="s">
        <v>46</v>
      </c>
      <c r="H362" t="s">
        <v>47</v>
      </c>
      <c r="I362" t="s">
        <v>48</v>
      </c>
      <c r="J362" t="s">
        <v>23</v>
      </c>
      <c r="K362" t="s">
        <v>119</v>
      </c>
      <c r="L362">
        <v>33</v>
      </c>
      <c r="M362">
        <v>1940</v>
      </c>
      <c r="N362">
        <v>0.2</v>
      </c>
      <c r="O362">
        <v>1230</v>
      </c>
    </row>
    <row r="363" spans="1:15" x14ac:dyDescent="0.25">
      <c r="A363" t="s">
        <v>509</v>
      </c>
      <c r="B363">
        <v>45498</v>
      </c>
      <c r="C363" t="s">
        <v>56</v>
      </c>
      <c r="D363" t="s">
        <v>72</v>
      </c>
      <c r="E363" t="s">
        <v>58</v>
      </c>
      <c r="F363" t="s">
        <v>92</v>
      </c>
      <c r="G363" t="s">
        <v>46</v>
      </c>
      <c r="H363" t="s">
        <v>100</v>
      </c>
      <c r="I363" t="s">
        <v>177</v>
      </c>
      <c r="J363" t="s">
        <v>23</v>
      </c>
      <c r="K363" t="s">
        <v>94</v>
      </c>
      <c r="L363">
        <v>66</v>
      </c>
      <c r="M363">
        <v>2620</v>
      </c>
      <c r="N363">
        <v>0.05</v>
      </c>
      <c r="O363">
        <v>1500</v>
      </c>
    </row>
    <row r="364" spans="1:15" x14ac:dyDescent="0.25">
      <c r="A364" t="s">
        <v>510</v>
      </c>
      <c r="B364">
        <v>45499</v>
      </c>
      <c r="C364" t="s">
        <v>16</v>
      </c>
      <c r="D364" t="s">
        <v>17</v>
      </c>
      <c r="E364" t="s">
        <v>32</v>
      </c>
      <c r="F364" t="s">
        <v>19</v>
      </c>
      <c r="G364" t="s">
        <v>83</v>
      </c>
      <c r="H364" t="s">
        <v>136</v>
      </c>
      <c r="I364" t="s">
        <v>307</v>
      </c>
      <c r="J364" t="s">
        <v>40</v>
      </c>
      <c r="K364" t="s">
        <v>24</v>
      </c>
      <c r="L364">
        <v>10</v>
      </c>
      <c r="M364">
        <v>880</v>
      </c>
      <c r="N364">
        <v>0.18</v>
      </c>
      <c r="O364">
        <v>610</v>
      </c>
    </row>
    <row r="365" spans="1:15" x14ac:dyDescent="0.25">
      <c r="A365" t="s">
        <v>511</v>
      </c>
      <c r="B365">
        <v>45499</v>
      </c>
      <c r="C365" t="s">
        <v>16</v>
      </c>
      <c r="D365" t="s">
        <v>31</v>
      </c>
      <c r="E365" t="s">
        <v>32</v>
      </c>
      <c r="F365" t="s">
        <v>52</v>
      </c>
      <c r="G365" t="s">
        <v>20</v>
      </c>
      <c r="H365" t="s">
        <v>87</v>
      </c>
      <c r="I365" t="s">
        <v>105</v>
      </c>
      <c r="J365" t="s">
        <v>40</v>
      </c>
      <c r="K365" t="s">
        <v>24</v>
      </c>
      <c r="L365">
        <v>2</v>
      </c>
      <c r="M365">
        <v>55720</v>
      </c>
      <c r="N365">
        <v>0.1</v>
      </c>
      <c r="O365">
        <v>40740</v>
      </c>
    </row>
    <row r="366" spans="1:15" x14ac:dyDescent="0.25">
      <c r="A366" t="s">
        <v>512</v>
      </c>
      <c r="B366">
        <v>45502</v>
      </c>
      <c r="C366" t="s">
        <v>56</v>
      </c>
      <c r="D366" t="s">
        <v>72</v>
      </c>
      <c r="E366" t="s">
        <v>91</v>
      </c>
      <c r="F366" t="s">
        <v>92</v>
      </c>
      <c r="G366" t="s">
        <v>83</v>
      </c>
      <c r="H366" t="s">
        <v>84</v>
      </c>
      <c r="I366" t="s">
        <v>85</v>
      </c>
      <c r="J366" t="s">
        <v>49</v>
      </c>
      <c r="K366" t="s">
        <v>24</v>
      </c>
      <c r="L366">
        <v>34</v>
      </c>
      <c r="M366">
        <v>2480</v>
      </c>
      <c r="N366">
        <v>0.08</v>
      </c>
      <c r="O366">
        <v>1680</v>
      </c>
    </row>
    <row r="367" spans="1:15" x14ac:dyDescent="0.25">
      <c r="A367" t="s">
        <v>513</v>
      </c>
      <c r="B367">
        <v>45502</v>
      </c>
      <c r="C367" t="s">
        <v>37</v>
      </c>
      <c r="D367" t="s">
        <v>38</v>
      </c>
      <c r="E367" t="s">
        <v>68</v>
      </c>
      <c r="F367" t="s">
        <v>19</v>
      </c>
      <c r="G367" t="s">
        <v>46</v>
      </c>
      <c r="H367" t="s">
        <v>47</v>
      </c>
      <c r="I367" t="s">
        <v>259</v>
      </c>
      <c r="J367" t="s">
        <v>49</v>
      </c>
      <c r="K367" t="s">
        <v>24</v>
      </c>
      <c r="L367">
        <v>7</v>
      </c>
      <c r="M367">
        <v>3020</v>
      </c>
      <c r="N367">
        <v>0.08</v>
      </c>
      <c r="O367">
        <v>1700</v>
      </c>
    </row>
    <row r="368" spans="1:15" x14ac:dyDescent="0.25">
      <c r="A368" t="s">
        <v>514</v>
      </c>
      <c r="B368">
        <v>45502</v>
      </c>
      <c r="C368" t="s">
        <v>16</v>
      </c>
      <c r="D368" t="s">
        <v>153</v>
      </c>
      <c r="E368" t="s">
        <v>26</v>
      </c>
      <c r="F368" t="s">
        <v>92</v>
      </c>
      <c r="G368" t="s">
        <v>27</v>
      </c>
      <c r="H368" t="s">
        <v>214</v>
      </c>
      <c r="I368" t="s">
        <v>215</v>
      </c>
      <c r="J368" t="s">
        <v>23</v>
      </c>
      <c r="K368" t="s">
        <v>119</v>
      </c>
      <c r="L368">
        <v>4</v>
      </c>
      <c r="M368">
        <v>35090</v>
      </c>
      <c r="N368">
        <v>0.08</v>
      </c>
      <c r="O368">
        <v>20180</v>
      </c>
    </row>
    <row r="369" spans="1:15" x14ac:dyDescent="0.25">
      <c r="A369" t="s">
        <v>515</v>
      </c>
      <c r="B369">
        <v>45503</v>
      </c>
      <c r="C369" t="s">
        <v>16</v>
      </c>
      <c r="D369" t="s">
        <v>82</v>
      </c>
      <c r="E369" t="s">
        <v>18</v>
      </c>
      <c r="F369" t="s">
        <v>52</v>
      </c>
      <c r="G369" t="s">
        <v>27</v>
      </c>
      <c r="H369" t="s">
        <v>79</v>
      </c>
      <c r="I369" t="s">
        <v>262</v>
      </c>
      <c r="J369" t="s">
        <v>23</v>
      </c>
      <c r="K369" t="s">
        <v>24</v>
      </c>
      <c r="L369">
        <v>38</v>
      </c>
      <c r="M369">
        <v>2470</v>
      </c>
      <c r="N369">
        <v>0.08</v>
      </c>
      <c r="O369">
        <v>1510</v>
      </c>
    </row>
    <row r="370" spans="1:15" x14ac:dyDescent="0.25">
      <c r="A370" t="s">
        <v>516</v>
      </c>
      <c r="B370">
        <v>45503</v>
      </c>
      <c r="C370" t="s">
        <v>42</v>
      </c>
      <c r="D370" t="s">
        <v>130</v>
      </c>
      <c r="E370" t="s">
        <v>44</v>
      </c>
      <c r="F370" t="s">
        <v>19</v>
      </c>
      <c r="G370" t="s">
        <v>46</v>
      </c>
      <c r="H370" t="s">
        <v>100</v>
      </c>
      <c r="I370" t="s">
        <v>177</v>
      </c>
      <c r="J370" t="s">
        <v>49</v>
      </c>
      <c r="K370" t="s">
        <v>119</v>
      </c>
      <c r="L370">
        <v>16</v>
      </c>
      <c r="M370">
        <v>2630</v>
      </c>
      <c r="N370">
        <v>0.12</v>
      </c>
      <c r="O370">
        <v>1590</v>
      </c>
    </row>
    <row r="371" spans="1:15" x14ac:dyDescent="0.25">
      <c r="A371" t="s">
        <v>517</v>
      </c>
      <c r="B371">
        <v>45503</v>
      </c>
      <c r="C371" t="s">
        <v>56</v>
      </c>
      <c r="D371" t="s">
        <v>133</v>
      </c>
      <c r="E371" t="s">
        <v>91</v>
      </c>
      <c r="F371" t="s">
        <v>19</v>
      </c>
      <c r="G371" t="s">
        <v>20</v>
      </c>
      <c r="H371" t="s">
        <v>21</v>
      </c>
      <c r="I371" t="s">
        <v>22</v>
      </c>
      <c r="J371" t="s">
        <v>40</v>
      </c>
      <c r="K371" t="s">
        <v>24</v>
      </c>
      <c r="L371">
        <v>33</v>
      </c>
      <c r="M371">
        <v>1910</v>
      </c>
      <c r="N371">
        <v>0.08</v>
      </c>
      <c r="O371">
        <v>1130</v>
      </c>
    </row>
    <row r="372" spans="1:15" x14ac:dyDescent="0.25">
      <c r="A372" t="s">
        <v>518</v>
      </c>
      <c r="B372">
        <v>45503</v>
      </c>
      <c r="C372" t="s">
        <v>56</v>
      </c>
      <c r="D372" t="s">
        <v>143</v>
      </c>
      <c r="E372" t="s">
        <v>58</v>
      </c>
      <c r="F372" t="s">
        <v>19</v>
      </c>
      <c r="G372" t="s">
        <v>20</v>
      </c>
      <c r="H372" t="s">
        <v>109</v>
      </c>
      <c r="I372" t="s">
        <v>171</v>
      </c>
      <c r="J372" t="s">
        <v>23</v>
      </c>
      <c r="K372" t="s">
        <v>24</v>
      </c>
      <c r="L372">
        <v>8</v>
      </c>
      <c r="M372">
        <v>23320</v>
      </c>
      <c r="N372">
        <v>0.1</v>
      </c>
      <c r="O372">
        <v>17080</v>
      </c>
    </row>
    <row r="373" spans="1:15" x14ac:dyDescent="0.25">
      <c r="A373" t="s">
        <v>519</v>
      </c>
      <c r="B373">
        <v>45504</v>
      </c>
      <c r="C373" t="s">
        <v>56</v>
      </c>
      <c r="D373" t="s">
        <v>72</v>
      </c>
      <c r="E373" t="s">
        <v>91</v>
      </c>
      <c r="F373" t="s">
        <v>52</v>
      </c>
      <c r="G373" t="s">
        <v>27</v>
      </c>
      <c r="H373" t="s">
        <v>79</v>
      </c>
      <c r="I373" t="s">
        <v>80</v>
      </c>
      <c r="J373" t="s">
        <v>23</v>
      </c>
      <c r="K373" t="s">
        <v>24</v>
      </c>
      <c r="L373">
        <v>7</v>
      </c>
      <c r="M373">
        <v>4450</v>
      </c>
      <c r="N373">
        <v>0.18</v>
      </c>
      <c r="O373">
        <v>3450</v>
      </c>
    </row>
    <row r="374" spans="1:15" x14ac:dyDescent="0.25">
      <c r="A374" t="s">
        <v>520</v>
      </c>
      <c r="B374">
        <v>45505</v>
      </c>
      <c r="C374" t="s">
        <v>76</v>
      </c>
      <c r="D374" t="s">
        <v>150</v>
      </c>
      <c r="E374" t="s">
        <v>78</v>
      </c>
      <c r="F374" t="s">
        <v>52</v>
      </c>
      <c r="G374" t="s">
        <v>27</v>
      </c>
      <c r="H374" t="s">
        <v>53</v>
      </c>
      <c r="I374" t="s">
        <v>131</v>
      </c>
      <c r="J374" t="s">
        <v>40</v>
      </c>
      <c r="K374" t="s">
        <v>24</v>
      </c>
      <c r="L374">
        <v>3</v>
      </c>
      <c r="M374">
        <v>38230</v>
      </c>
      <c r="N374">
        <v>0</v>
      </c>
      <c r="O374">
        <v>24740</v>
      </c>
    </row>
    <row r="375" spans="1:15" x14ac:dyDescent="0.25">
      <c r="A375" t="s">
        <v>521</v>
      </c>
      <c r="B375">
        <v>45506</v>
      </c>
      <c r="C375" t="s">
        <v>37</v>
      </c>
      <c r="D375" t="s">
        <v>213</v>
      </c>
      <c r="E375" t="s">
        <v>39</v>
      </c>
      <c r="F375" t="s">
        <v>52</v>
      </c>
      <c r="G375" t="s">
        <v>27</v>
      </c>
      <c r="H375" t="s">
        <v>79</v>
      </c>
      <c r="I375" t="s">
        <v>80</v>
      </c>
      <c r="J375" t="s">
        <v>40</v>
      </c>
      <c r="K375" t="s">
        <v>24</v>
      </c>
      <c r="L375">
        <v>4</v>
      </c>
      <c r="M375">
        <v>4670</v>
      </c>
      <c r="N375">
        <v>0.08</v>
      </c>
      <c r="O375">
        <v>2890</v>
      </c>
    </row>
    <row r="376" spans="1:15" x14ac:dyDescent="0.25">
      <c r="A376" t="s">
        <v>522</v>
      </c>
      <c r="B376">
        <v>45506</v>
      </c>
      <c r="C376" t="s">
        <v>37</v>
      </c>
      <c r="D376" t="s">
        <v>166</v>
      </c>
      <c r="E376" t="s">
        <v>39</v>
      </c>
      <c r="F376" t="s">
        <v>92</v>
      </c>
      <c r="G376" t="s">
        <v>20</v>
      </c>
      <c r="H376" t="s">
        <v>21</v>
      </c>
      <c r="I376" t="s">
        <v>362</v>
      </c>
      <c r="J376" t="s">
        <v>49</v>
      </c>
      <c r="K376" t="s">
        <v>24</v>
      </c>
      <c r="L376">
        <v>4</v>
      </c>
      <c r="M376">
        <v>9180</v>
      </c>
      <c r="N376">
        <v>0.18</v>
      </c>
      <c r="O376">
        <v>5910</v>
      </c>
    </row>
    <row r="377" spans="1:15" x14ac:dyDescent="0.25">
      <c r="A377" t="s">
        <v>523</v>
      </c>
      <c r="B377">
        <v>45506</v>
      </c>
      <c r="C377" t="s">
        <v>42</v>
      </c>
      <c r="D377" t="s">
        <v>43</v>
      </c>
      <c r="E377" t="s">
        <v>44</v>
      </c>
      <c r="F377" t="s">
        <v>92</v>
      </c>
      <c r="G377" t="s">
        <v>20</v>
      </c>
      <c r="H377" t="s">
        <v>109</v>
      </c>
      <c r="I377" t="s">
        <v>171</v>
      </c>
      <c r="J377" t="s">
        <v>40</v>
      </c>
      <c r="K377" t="s">
        <v>94</v>
      </c>
      <c r="L377">
        <v>4</v>
      </c>
      <c r="M377">
        <v>22610</v>
      </c>
      <c r="N377">
        <v>0.1</v>
      </c>
      <c r="O377">
        <v>17390</v>
      </c>
    </row>
    <row r="378" spans="1:15" x14ac:dyDescent="0.25">
      <c r="A378" t="s">
        <v>524</v>
      </c>
      <c r="B378">
        <v>45506</v>
      </c>
      <c r="C378" t="s">
        <v>42</v>
      </c>
      <c r="D378" t="s">
        <v>123</v>
      </c>
      <c r="E378" t="s">
        <v>97</v>
      </c>
      <c r="F378" t="s">
        <v>19</v>
      </c>
      <c r="G378" t="s">
        <v>20</v>
      </c>
      <c r="H378" t="s">
        <v>33</v>
      </c>
      <c r="I378" t="s">
        <v>34</v>
      </c>
      <c r="J378" t="s">
        <v>23</v>
      </c>
      <c r="K378" t="s">
        <v>24</v>
      </c>
      <c r="L378">
        <v>2</v>
      </c>
      <c r="M378">
        <v>52450</v>
      </c>
      <c r="N378">
        <v>0.25</v>
      </c>
      <c r="O378">
        <v>40310</v>
      </c>
    </row>
    <row r="379" spans="1:15" x14ac:dyDescent="0.25">
      <c r="A379" t="s">
        <v>525</v>
      </c>
      <c r="B379">
        <v>45508</v>
      </c>
      <c r="C379" t="s">
        <v>56</v>
      </c>
      <c r="D379" t="s">
        <v>72</v>
      </c>
      <c r="E379" t="s">
        <v>134</v>
      </c>
      <c r="F379" t="s">
        <v>19</v>
      </c>
      <c r="G379" t="s">
        <v>59</v>
      </c>
      <c r="H379" t="s">
        <v>73</v>
      </c>
      <c r="I379" t="s">
        <v>113</v>
      </c>
      <c r="J379" t="s">
        <v>40</v>
      </c>
      <c r="K379" t="s">
        <v>24</v>
      </c>
      <c r="L379">
        <v>2</v>
      </c>
      <c r="M379">
        <v>34500</v>
      </c>
      <c r="N379">
        <v>0.05</v>
      </c>
      <c r="O379">
        <v>26810</v>
      </c>
    </row>
    <row r="380" spans="1:15" x14ac:dyDescent="0.25">
      <c r="A380" t="s">
        <v>526</v>
      </c>
      <c r="B380">
        <v>45508</v>
      </c>
      <c r="C380" t="s">
        <v>42</v>
      </c>
      <c r="D380" t="s">
        <v>146</v>
      </c>
      <c r="E380" t="s">
        <v>97</v>
      </c>
      <c r="F380" t="s">
        <v>19</v>
      </c>
      <c r="G380" t="s">
        <v>83</v>
      </c>
      <c r="H380" t="s">
        <v>84</v>
      </c>
      <c r="I380" t="s">
        <v>292</v>
      </c>
      <c r="J380" t="s">
        <v>40</v>
      </c>
      <c r="K380" t="s">
        <v>24</v>
      </c>
      <c r="L380">
        <v>4</v>
      </c>
      <c r="M380">
        <v>41080</v>
      </c>
      <c r="N380">
        <v>0.08</v>
      </c>
      <c r="O380">
        <v>32200</v>
      </c>
    </row>
    <row r="381" spans="1:15" x14ac:dyDescent="0.25">
      <c r="A381" t="s">
        <v>527</v>
      </c>
      <c r="B381">
        <v>45508</v>
      </c>
      <c r="C381" t="s">
        <v>37</v>
      </c>
      <c r="D381" t="s">
        <v>166</v>
      </c>
      <c r="E381" t="s">
        <v>68</v>
      </c>
      <c r="F381" t="s">
        <v>19</v>
      </c>
      <c r="G381" t="s">
        <v>20</v>
      </c>
      <c r="H381" t="s">
        <v>87</v>
      </c>
      <c r="I381" t="s">
        <v>88</v>
      </c>
      <c r="J381" t="s">
        <v>40</v>
      </c>
      <c r="K381" t="s">
        <v>119</v>
      </c>
      <c r="L381">
        <v>4</v>
      </c>
      <c r="M381">
        <v>33400</v>
      </c>
      <c r="N381">
        <v>0.1</v>
      </c>
      <c r="O381">
        <v>24430</v>
      </c>
    </row>
    <row r="382" spans="1:15" x14ac:dyDescent="0.25">
      <c r="A382" t="s">
        <v>528</v>
      </c>
      <c r="B382">
        <v>45509</v>
      </c>
      <c r="C382" t="s">
        <v>56</v>
      </c>
      <c r="D382" t="s">
        <v>143</v>
      </c>
      <c r="E382" t="s">
        <v>58</v>
      </c>
      <c r="F382" t="s">
        <v>19</v>
      </c>
      <c r="G382" t="s">
        <v>46</v>
      </c>
      <c r="H382" t="s">
        <v>100</v>
      </c>
      <c r="I382" t="s">
        <v>101</v>
      </c>
      <c r="J382" t="s">
        <v>23</v>
      </c>
      <c r="K382" t="s">
        <v>24</v>
      </c>
      <c r="L382">
        <v>21</v>
      </c>
      <c r="M382">
        <v>1980</v>
      </c>
      <c r="N382">
        <v>0.25</v>
      </c>
      <c r="O382">
        <v>1480</v>
      </c>
    </row>
    <row r="383" spans="1:15" x14ac:dyDescent="0.25">
      <c r="A383" t="s">
        <v>529</v>
      </c>
      <c r="B383">
        <v>45511</v>
      </c>
      <c r="C383" t="s">
        <v>56</v>
      </c>
      <c r="D383" t="s">
        <v>133</v>
      </c>
      <c r="E383" t="s">
        <v>58</v>
      </c>
      <c r="F383" t="s">
        <v>19</v>
      </c>
      <c r="G383" t="s">
        <v>59</v>
      </c>
      <c r="H383" t="s">
        <v>73</v>
      </c>
      <c r="I383" t="s">
        <v>74</v>
      </c>
      <c r="J383" t="s">
        <v>40</v>
      </c>
      <c r="K383" t="s">
        <v>94</v>
      </c>
      <c r="L383">
        <v>3</v>
      </c>
      <c r="M383">
        <v>47810</v>
      </c>
      <c r="N383">
        <v>0.2</v>
      </c>
      <c r="O383">
        <v>31850</v>
      </c>
    </row>
    <row r="384" spans="1:15" x14ac:dyDescent="0.25">
      <c r="A384" t="s">
        <v>530</v>
      </c>
      <c r="B384">
        <v>45511</v>
      </c>
      <c r="C384" t="s">
        <v>16</v>
      </c>
      <c r="D384" t="s">
        <v>82</v>
      </c>
      <c r="E384" t="s">
        <v>32</v>
      </c>
      <c r="F384" t="s">
        <v>19</v>
      </c>
      <c r="G384" t="s">
        <v>59</v>
      </c>
      <c r="H384" t="s">
        <v>69</v>
      </c>
      <c r="I384" t="s">
        <v>121</v>
      </c>
      <c r="J384" t="s">
        <v>23</v>
      </c>
      <c r="K384" t="s">
        <v>24</v>
      </c>
      <c r="L384">
        <v>6</v>
      </c>
      <c r="M384">
        <v>3680</v>
      </c>
      <c r="N384">
        <v>0.12</v>
      </c>
      <c r="O384">
        <v>2770</v>
      </c>
    </row>
    <row r="385" spans="1:15" x14ac:dyDescent="0.25">
      <c r="A385" t="s">
        <v>531</v>
      </c>
      <c r="B385">
        <v>45512</v>
      </c>
      <c r="C385" t="s">
        <v>37</v>
      </c>
      <c r="D385" t="s">
        <v>38</v>
      </c>
      <c r="E385" t="s">
        <v>39</v>
      </c>
      <c r="F385" t="s">
        <v>92</v>
      </c>
      <c r="G385" t="s">
        <v>46</v>
      </c>
      <c r="H385" t="s">
        <v>47</v>
      </c>
      <c r="I385" t="s">
        <v>48</v>
      </c>
      <c r="J385" t="s">
        <v>23</v>
      </c>
      <c r="K385" t="s">
        <v>24</v>
      </c>
      <c r="L385">
        <v>63</v>
      </c>
      <c r="M385">
        <v>1770</v>
      </c>
      <c r="N385">
        <v>0</v>
      </c>
      <c r="O385">
        <v>1250</v>
      </c>
    </row>
    <row r="386" spans="1:15" x14ac:dyDescent="0.25">
      <c r="A386" t="s">
        <v>532</v>
      </c>
      <c r="B386">
        <v>45513</v>
      </c>
      <c r="C386" t="s">
        <v>16</v>
      </c>
      <c r="D386" t="s">
        <v>153</v>
      </c>
      <c r="E386" t="s">
        <v>26</v>
      </c>
      <c r="F386" t="s">
        <v>92</v>
      </c>
      <c r="G386" t="s">
        <v>27</v>
      </c>
      <c r="H386" t="s">
        <v>79</v>
      </c>
      <c r="I386" t="s">
        <v>168</v>
      </c>
      <c r="J386" t="s">
        <v>49</v>
      </c>
      <c r="K386" t="s">
        <v>24</v>
      </c>
      <c r="L386">
        <v>26</v>
      </c>
      <c r="M386">
        <v>9610</v>
      </c>
      <c r="N386">
        <v>0</v>
      </c>
      <c r="O386">
        <v>6900</v>
      </c>
    </row>
    <row r="387" spans="1:15" x14ac:dyDescent="0.25">
      <c r="A387" t="s">
        <v>533</v>
      </c>
      <c r="B387">
        <v>45513</v>
      </c>
      <c r="C387" t="s">
        <v>42</v>
      </c>
      <c r="D387" t="s">
        <v>43</v>
      </c>
      <c r="E387" t="s">
        <v>97</v>
      </c>
      <c r="F387" t="s">
        <v>92</v>
      </c>
      <c r="G387" t="s">
        <v>46</v>
      </c>
      <c r="H387" t="s">
        <v>179</v>
      </c>
      <c r="I387" t="s">
        <v>180</v>
      </c>
      <c r="J387" t="s">
        <v>40</v>
      </c>
      <c r="K387" t="s">
        <v>94</v>
      </c>
      <c r="L387">
        <v>18</v>
      </c>
      <c r="M387">
        <v>3690</v>
      </c>
      <c r="N387">
        <v>0.12</v>
      </c>
      <c r="O387">
        <v>2600</v>
      </c>
    </row>
    <row r="388" spans="1:15" x14ac:dyDescent="0.25">
      <c r="A388" t="s">
        <v>534</v>
      </c>
      <c r="B388">
        <v>45514</v>
      </c>
      <c r="C388" t="s">
        <v>42</v>
      </c>
      <c r="D388" t="s">
        <v>123</v>
      </c>
      <c r="E388" t="s">
        <v>44</v>
      </c>
      <c r="F388" t="s">
        <v>52</v>
      </c>
      <c r="G388" t="s">
        <v>20</v>
      </c>
      <c r="H388" t="s">
        <v>109</v>
      </c>
      <c r="I388" t="s">
        <v>171</v>
      </c>
      <c r="J388" t="s">
        <v>40</v>
      </c>
      <c r="K388" t="s">
        <v>24</v>
      </c>
      <c r="L388">
        <v>1</v>
      </c>
      <c r="M388">
        <v>22950</v>
      </c>
      <c r="N388">
        <v>0.05</v>
      </c>
      <c r="O388">
        <v>15940</v>
      </c>
    </row>
    <row r="389" spans="1:15" x14ac:dyDescent="0.25">
      <c r="A389" t="s">
        <v>535</v>
      </c>
      <c r="B389">
        <v>45514</v>
      </c>
      <c r="C389" t="s">
        <v>42</v>
      </c>
      <c r="D389" t="s">
        <v>123</v>
      </c>
      <c r="E389" t="s">
        <v>44</v>
      </c>
      <c r="F389" t="s">
        <v>45</v>
      </c>
      <c r="G389" t="s">
        <v>83</v>
      </c>
      <c r="H389" t="s">
        <v>184</v>
      </c>
      <c r="I389" t="s">
        <v>185</v>
      </c>
      <c r="J389" t="s">
        <v>23</v>
      </c>
      <c r="K389" t="s">
        <v>24</v>
      </c>
      <c r="L389">
        <v>15</v>
      </c>
      <c r="M389">
        <v>4520</v>
      </c>
      <c r="N389">
        <v>0.05</v>
      </c>
      <c r="O389">
        <v>2830</v>
      </c>
    </row>
    <row r="390" spans="1:15" x14ac:dyDescent="0.25">
      <c r="A390" t="s">
        <v>536</v>
      </c>
      <c r="B390">
        <v>45515</v>
      </c>
      <c r="C390" t="s">
        <v>56</v>
      </c>
      <c r="D390" t="s">
        <v>143</v>
      </c>
      <c r="E390" t="s">
        <v>58</v>
      </c>
      <c r="F390" t="s">
        <v>19</v>
      </c>
      <c r="G390" t="s">
        <v>20</v>
      </c>
      <c r="H390" t="s">
        <v>109</v>
      </c>
      <c r="I390" t="s">
        <v>159</v>
      </c>
      <c r="J390" t="s">
        <v>49</v>
      </c>
      <c r="K390" t="s">
        <v>24</v>
      </c>
      <c r="L390">
        <v>5</v>
      </c>
      <c r="M390">
        <v>19100</v>
      </c>
      <c r="N390">
        <v>0.25</v>
      </c>
      <c r="O390">
        <v>12730</v>
      </c>
    </row>
    <row r="391" spans="1:15" x14ac:dyDescent="0.25">
      <c r="A391" t="s">
        <v>537</v>
      </c>
      <c r="B391">
        <v>45515</v>
      </c>
      <c r="C391" t="s">
        <v>56</v>
      </c>
      <c r="D391" t="s">
        <v>57</v>
      </c>
      <c r="E391" t="s">
        <v>134</v>
      </c>
      <c r="F391" t="s">
        <v>92</v>
      </c>
      <c r="G391" t="s">
        <v>59</v>
      </c>
      <c r="H391" t="s">
        <v>60</v>
      </c>
      <c r="I391" t="s">
        <v>200</v>
      </c>
      <c r="J391" t="s">
        <v>40</v>
      </c>
      <c r="K391" t="s">
        <v>24</v>
      </c>
      <c r="L391">
        <v>9</v>
      </c>
      <c r="M391">
        <v>8810</v>
      </c>
      <c r="N391">
        <v>0.18</v>
      </c>
      <c r="O391">
        <v>6050</v>
      </c>
    </row>
    <row r="392" spans="1:15" x14ac:dyDescent="0.25">
      <c r="A392" t="s">
        <v>538</v>
      </c>
      <c r="B392">
        <v>45516</v>
      </c>
      <c r="C392" t="s">
        <v>56</v>
      </c>
      <c r="D392" t="s">
        <v>57</v>
      </c>
      <c r="E392" t="s">
        <v>134</v>
      </c>
      <c r="F392" t="s">
        <v>19</v>
      </c>
      <c r="G392" t="s">
        <v>20</v>
      </c>
      <c r="H392" t="s">
        <v>33</v>
      </c>
      <c r="I392" t="s">
        <v>139</v>
      </c>
      <c r="J392" t="s">
        <v>40</v>
      </c>
      <c r="K392" t="s">
        <v>24</v>
      </c>
      <c r="L392">
        <v>4</v>
      </c>
      <c r="M392">
        <v>59750</v>
      </c>
      <c r="N392">
        <v>0</v>
      </c>
      <c r="O392">
        <v>41570</v>
      </c>
    </row>
    <row r="393" spans="1:15" x14ac:dyDescent="0.25">
      <c r="A393" t="s">
        <v>539</v>
      </c>
      <c r="B393">
        <v>45516</v>
      </c>
      <c r="C393" t="s">
        <v>37</v>
      </c>
      <c r="D393" t="s">
        <v>115</v>
      </c>
      <c r="E393" t="s">
        <v>39</v>
      </c>
      <c r="F393" t="s">
        <v>19</v>
      </c>
      <c r="G393" t="s">
        <v>59</v>
      </c>
      <c r="H393" t="s">
        <v>60</v>
      </c>
      <c r="I393" t="s">
        <v>61</v>
      </c>
      <c r="J393" t="s">
        <v>23</v>
      </c>
      <c r="K393" t="s">
        <v>94</v>
      </c>
      <c r="L393">
        <v>7</v>
      </c>
      <c r="M393">
        <v>25140</v>
      </c>
      <c r="N393">
        <v>0.08</v>
      </c>
      <c r="O393">
        <v>18680</v>
      </c>
    </row>
    <row r="394" spans="1:15" x14ac:dyDescent="0.25">
      <c r="A394" t="s">
        <v>540</v>
      </c>
      <c r="B394">
        <v>45517</v>
      </c>
      <c r="C394" t="s">
        <v>16</v>
      </c>
      <c r="D394" t="s">
        <v>191</v>
      </c>
      <c r="E394" t="s">
        <v>26</v>
      </c>
      <c r="F394" t="s">
        <v>52</v>
      </c>
      <c r="G394" t="s">
        <v>20</v>
      </c>
      <c r="H394" t="s">
        <v>21</v>
      </c>
      <c r="I394" t="s">
        <v>362</v>
      </c>
      <c r="J394" t="s">
        <v>23</v>
      </c>
      <c r="K394" t="s">
        <v>24</v>
      </c>
      <c r="L394">
        <v>12</v>
      </c>
      <c r="M394">
        <v>9780</v>
      </c>
      <c r="N394">
        <v>0.18</v>
      </c>
      <c r="O394">
        <v>5960</v>
      </c>
    </row>
    <row r="395" spans="1:15" x14ac:dyDescent="0.25">
      <c r="A395" t="s">
        <v>541</v>
      </c>
      <c r="B395">
        <v>45518</v>
      </c>
      <c r="C395" t="s">
        <v>56</v>
      </c>
      <c r="D395" t="s">
        <v>103</v>
      </c>
      <c r="E395" t="s">
        <v>58</v>
      </c>
      <c r="F395" t="s">
        <v>19</v>
      </c>
      <c r="G395" t="s">
        <v>59</v>
      </c>
      <c r="H395" t="s">
        <v>60</v>
      </c>
      <c r="I395" t="s">
        <v>200</v>
      </c>
      <c r="J395" t="s">
        <v>40</v>
      </c>
      <c r="K395" t="s">
        <v>24</v>
      </c>
      <c r="L395">
        <v>3</v>
      </c>
      <c r="M395">
        <v>8340</v>
      </c>
      <c r="N395">
        <v>0.1</v>
      </c>
      <c r="O395">
        <v>4920</v>
      </c>
    </row>
    <row r="396" spans="1:15" x14ac:dyDescent="0.25">
      <c r="A396" t="s">
        <v>542</v>
      </c>
      <c r="B396">
        <v>45519</v>
      </c>
      <c r="C396" t="s">
        <v>76</v>
      </c>
      <c r="D396" t="s">
        <v>150</v>
      </c>
      <c r="E396" t="s">
        <v>170</v>
      </c>
      <c r="F396" t="s">
        <v>19</v>
      </c>
      <c r="G396" t="s">
        <v>83</v>
      </c>
      <c r="H396" t="s">
        <v>84</v>
      </c>
      <c r="I396" t="s">
        <v>292</v>
      </c>
      <c r="J396" t="s">
        <v>40</v>
      </c>
      <c r="K396" t="s">
        <v>119</v>
      </c>
      <c r="L396">
        <v>4</v>
      </c>
      <c r="M396">
        <v>44560</v>
      </c>
      <c r="N396">
        <v>0.08</v>
      </c>
      <c r="O396">
        <v>32270</v>
      </c>
    </row>
    <row r="397" spans="1:15" x14ac:dyDescent="0.25">
      <c r="A397" t="s">
        <v>543</v>
      </c>
      <c r="B397">
        <v>45519</v>
      </c>
      <c r="C397" t="s">
        <v>16</v>
      </c>
      <c r="D397" t="s">
        <v>153</v>
      </c>
      <c r="E397" t="s">
        <v>32</v>
      </c>
      <c r="F397" t="s">
        <v>52</v>
      </c>
      <c r="G397" t="s">
        <v>27</v>
      </c>
      <c r="H397" t="s">
        <v>53</v>
      </c>
      <c r="I397" t="s">
        <v>131</v>
      </c>
      <c r="J397" t="s">
        <v>40</v>
      </c>
      <c r="K397" t="s">
        <v>24</v>
      </c>
      <c r="L397">
        <v>3</v>
      </c>
      <c r="M397">
        <v>36110</v>
      </c>
      <c r="N397">
        <v>0.05</v>
      </c>
      <c r="O397">
        <v>26300</v>
      </c>
    </row>
    <row r="398" spans="1:15" x14ac:dyDescent="0.25">
      <c r="A398" t="s">
        <v>544</v>
      </c>
      <c r="B398">
        <v>45520</v>
      </c>
      <c r="C398" t="s">
        <v>76</v>
      </c>
      <c r="D398" t="s">
        <v>125</v>
      </c>
      <c r="E398" t="s">
        <v>78</v>
      </c>
      <c r="F398" t="s">
        <v>19</v>
      </c>
      <c r="G398" t="s">
        <v>83</v>
      </c>
      <c r="H398" t="s">
        <v>84</v>
      </c>
      <c r="I398" t="s">
        <v>292</v>
      </c>
      <c r="J398" t="s">
        <v>40</v>
      </c>
      <c r="K398" t="s">
        <v>35</v>
      </c>
      <c r="L398">
        <v>3</v>
      </c>
      <c r="M398">
        <v>40600</v>
      </c>
      <c r="N398">
        <v>0.25</v>
      </c>
      <c r="O398">
        <v>25400</v>
      </c>
    </row>
    <row r="399" spans="1:15" x14ac:dyDescent="0.25">
      <c r="A399" t="s">
        <v>545</v>
      </c>
      <c r="B399">
        <v>45520</v>
      </c>
      <c r="C399" t="s">
        <v>56</v>
      </c>
      <c r="D399" t="s">
        <v>127</v>
      </c>
      <c r="E399" t="s">
        <v>91</v>
      </c>
      <c r="F399" t="s">
        <v>19</v>
      </c>
      <c r="G399" t="s">
        <v>46</v>
      </c>
      <c r="H399" t="s">
        <v>179</v>
      </c>
      <c r="I399" t="s">
        <v>221</v>
      </c>
      <c r="J399" t="s">
        <v>40</v>
      </c>
      <c r="K399" t="s">
        <v>24</v>
      </c>
      <c r="L399">
        <v>39</v>
      </c>
      <c r="M399">
        <v>1630</v>
      </c>
      <c r="N399">
        <v>0.08</v>
      </c>
      <c r="O399">
        <v>1140</v>
      </c>
    </row>
    <row r="400" spans="1:15" x14ac:dyDescent="0.25">
      <c r="A400" t="s">
        <v>546</v>
      </c>
      <c r="B400">
        <v>45520</v>
      </c>
      <c r="C400" t="s">
        <v>16</v>
      </c>
      <c r="D400" t="s">
        <v>31</v>
      </c>
      <c r="E400" t="s">
        <v>18</v>
      </c>
      <c r="F400" t="s">
        <v>92</v>
      </c>
      <c r="G400" t="s">
        <v>46</v>
      </c>
      <c r="H400" t="s">
        <v>179</v>
      </c>
      <c r="I400" t="s">
        <v>180</v>
      </c>
      <c r="J400" t="s">
        <v>23</v>
      </c>
      <c r="K400" t="s">
        <v>24</v>
      </c>
      <c r="L400">
        <v>16</v>
      </c>
      <c r="M400">
        <v>3880</v>
      </c>
      <c r="N400">
        <v>0.12</v>
      </c>
      <c r="O400">
        <v>2730</v>
      </c>
    </row>
    <row r="401" spans="1:15" x14ac:dyDescent="0.25">
      <c r="A401" t="s">
        <v>547</v>
      </c>
      <c r="B401">
        <v>45520</v>
      </c>
      <c r="C401" t="s">
        <v>42</v>
      </c>
      <c r="D401" t="s">
        <v>43</v>
      </c>
      <c r="E401" t="s">
        <v>97</v>
      </c>
      <c r="F401" t="s">
        <v>45</v>
      </c>
      <c r="G401" t="s">
        <v>20</v>
      </c>
      <c r="H401" t="s">
        <v>21</v>
      </c>
      <c r="I401" t="s">
        <v>22</v>
      </c>
      <c r="J401" t="s">
        <v>40</v>
      </c>
      <c r="K401" t="s">
        <v>24</v>
      </c>
      <c r="L401">
        <v>74</v>
      </c>
      <c r="M401">
        <v>1810</v>
      </c>
      <c r="N401">
        <v>0.05</v>
      </c>
      <c r="O401">
        <v>1340</v>
      </c>
    </row>
    <row r="402" spans="1:15" x14ac:dyDescent="0.25">
      <c r="A402" t="s">
        <v>548</v>
      </c>
      <c r="B402">
        <v>45520</v>
      </c>
      <c r="C402" t="s">
        <v>76</v>
      </c>
      <c r="D402" t="s">
        <v>77</v>
      </c>
      <c r="E402" t="s">
        <v>170</v>
      </c>
      <c r="F402" t="s">
        <v>19</v>
      </c>
      <c r="G402" t="s">
        <v>59</v>
      </c>
      <c r="H402" t="s">
        <v>69</v>
      </c>
      <c r="I402" t="s">
        <v>70</v>
      </c>
      <c r="J402" t="s">
        <v>40</v>
      </c>
      <c r="K402" t="s">
        <v>24</v>
      </c>
      <c r="L402">
        <v>7</v>
      </c>
      <c r="M402">
        <v>27620</v>
      </c>
      <c r="N402">
        <v>0.25</v>
      </c>
      <c r="O402">
        <v>16330</v>
      </c>
    </row>
    <row r="403" spans="1:15" x14ac:dyDescent="0.25">
      <c r="A403" t="s">
        <v>549</v>
      </c>
      <c r="B403">
        <v>45521</v>
      </c>
      <c r="C403" t="s">
        <v>42</v>
      </c>
      <c r="D403" t="s">
        <v>43</v>
      </c>
      <c r="E403" t="s">
        <v>44</v>
      </c>
      <c r="F403" t="s">
        <v>52</v>
      </c>
      <c r="G403" t="s">
        <v>46</v>
      </c>
      <c r="H403" t="s">
        <v>47</v>
      </c>
      <c r="I403" t="s">
        <v>259</v>
      </c>
      <c r="J403" t="s">
        <v>23</v>
      </c>
      <c r="K403" t="s">
        <v>24</v>
      </c>
      <c r="L403">
        <v>12</v>
      </c>
      <c r="M403">
        <v>2830</v>
      </c>
      <c r="N403">
        <v>0</v>
      </c>
      <c r="O403">
        <v>1700</v>
      </c>
    </row>
    <row r="404" spans="1:15" x14ac:dyDescent="0.25">
      <c r="A404" t="s">
        <v>550</v>
      </c>
      <c r="B404">
        <v>45521</v>
      </c>
      <c r="C404" t="s">
        <v>56</v>
      </c>
      <c r="D404" t="s">
        <v>133</v>
      </c>
      <c r="E404" t="s">
        <v>58</v>
      </c>
      <c r="F404" t="s">
        <v>19</v>
      </c>
      <c r="G404" t="s">
        <v>59</v>
      </c>
      <c r="H404" t="s">
        <v>154</v>
      </c>
      <c r="I404" t="s">
        <v>249</v>
      </c>
      <c r="J404" t="s">
        <v>49</v>
      </c>
      <c r="K404" t="s">
        <v>24</v>
      </c>
      <c r="L404">
        <v>3</v>
      </c>
      <c r="M404">
        <v>7010</v>
      </c>
      <c r="N404">
        <v>0.12</v>
      </c>
      <c r="O404">
        <v>4790</v>
      </c>
    </row>
    <row r="405" spans="1:15" x14ac:dyDescent="0.25">
      <c r="A405" t="s">
        <v>551</v>
      </c>
      <c r="B405">
        <v>45522</v>
      </c>
      <c r="C405" t="s">
        <v>37</v>
      </c>
      <c r="D405" t="s">
        <v>213</v>
      </c>
      <c r="E405" t="s">
        <v>39</v>
      </c>
      <c r="F405" t="s">
        <v>19</v>
      </c>
      <c r="G405" t="s">
        <v>27</v>
      </c>
      <c r="H405" t="s">
        <v>79</v>
      </c>
      <c r="I405" t="s">
        <v>262</v>
      </c>
      <c r="J405" t="s">
        <v>23</v>
      </c>
      <c r="K405" t="s">
        <v>24</v>
      </c>
      <c r="L405">
        <v>33</v>
      </c>
      <c r="M405">
        <v>2510</v>
      </c>
      <c r="N405">
        <v>0.18</v>
      </c>
      <c r="O405">
        <v>1840</v>
      </c>
    </row>
    <row r="406" spans="1:15" x14ac:dyDescent="0.25">
      <c r="A406" t="s">
        <v>552</v>
      </c>
      <c r="B406">
        <v>45523</v>
      </c>
      <c r="C406" t="s">
        <v>16</v>
      </c>
      <c r="D406" t="s">
        <v>51</v>
      </c>
      <c r="E406" t="s">
        <v>18</v>
      </c>
      <c r="F406" t="s">
        <v>19</v>
      </c>
      <c r="G406" t="s">
        <v>20</v>
      </c>
      <c r="H406" t="s">
        <v>21</v>
      </c>
      <c r="I406" t="s">
        <v>65</v>
      </c>
      <c r="J406" t="s">
        <v>23</v>
      </c>
      <c r="K406" t="s">
        <v>24</v>
      </c>
      <c r="L406">
        <v>4</v>
      </c>
      <c r="M406">
        <v>8480</v>
      </c>
      <c r="N406">
        <v>0</v>
      </c>
      <c r="O406">
        <v>5630</v>
      </c>
    </row>
    <row r="407" spans="1:15" x14ac:dyDescent="0.25">
      <c r="A407" t="s">
        <v>553</v>
      </c>
      <c r="B407">
        <v>45523</v>
      </c>
      <c r="C407" t="s">
        <v>16</v>
      </c>
      <c r="D407" t="s">
        <v>153</v>
      </c>
      <c r="E407" t="s">
        <v>18</v>
      </c>
      <c r="F407" t="s">
        <v>52</v>
      </c>
      <c r="G407" t="s">
        <v>20</v>
      </c>
      <c r="H407" t="s">
        <v>21</v>
      </c>
      <c r="I407" t="s">
        <v>362</v>
      </c>
      <c r="J407" t="s">
        <v>40</v>
      </c>
      <c r="K407" t="s">
        <v>24</v>
      </c>
      <c r="L407">
        <v>10</v>
      </c>
      <c r="M407">
        <v>8950</v>
      </c>
      <c r="N407">
        <v>0.1</v>
      </c>
      <c r="O407">
        <v>6480</v>
      </c>
    </row>
    <row r="408" spans="1:15" x14ac:dyDescent="0.25">
      <c r="A408" t="s">
        <v>554</v>
      </c>
      <c r="B408">
        <v>45524</v>
      </c>
      <c r="C408" t="s">
        <v>42</v>
      </c>
      <c r="D408" t="s">
        <v>130</v>
      </c>
      <c r="E408" t="s">
        <v>97</v>
      </c>
      <c r="F408" t="s">
        <v>19</v>
      </c>
      <c r="G408" t="s">
        <v>27</v>
      </c>
      <c r="H408" t="s">
        <v>79</v>
      </c>
      <c r="I408" t="s">
        <v>80</v>
      </c>
      <c r="J408" t="s">
        <v>40</v>
      </c>
      <c r="K408" t="s">
        <v>24</v>
      </c>
      <c r="L408">
        <v>3</v>
      </c>
      <c r="M408">
        <v>4530</v>
      </c>
      <c r="N408">
        <v>0</v>
      </c>
      <c r="O408">
        <v>3160</v>
      </c>
    </row>
    <row r="409" spans="1:15" x14ac:dyDescent="0.25">
      <c r="A409" t="s">
        <v>555</v>
      </c>
      <c r="B409">
        <v>45524</v>
      </c>
      <c r="C409" t="s">
        <v>16</v>
      </c>
      <c r="D409" t="s">
        <v>31</v>
      </c>
      <c r="E409" t="s">
        <v>18</v>
      </c>
      <c r="F409" t="s">
        <v>92</v>
      </c>
      <c r="G409" t="s">
        <v>20</v>
      </c>
      <c r="H409" t="s">
        <v>109</v>
      </c>
      <c r="I409" t="s">
        <v>110</v>
      </c>
      <c r="J409" t="s">
        <v>49</v>
      </c>
      <c r="K409" t="s">
        <v>24</v>
      </c>
      <c r="L409">
        <v>6</v>
      </c>
      <c r="M409">
        <v>69070</v>
      </c>
      <c r="N409">
        <v>0.08</v>
      </c>
      <c r="O409">
        <v>46570</v>
      </c>
    </row>
    <row r="410" spans="1:15" x14ac:dyDescent="0.25">
      <c r="A410" t="s">
        <v>556</v>
      </c>
      <c r="B410">
        <v>45525</v>
      </c>
      <c r="C410" t="s">
        <v>16</v>
      </c>
      <c r="D410" t="s">
        <v>51</v>
      </c>
      <c r="E410" t="s">
        <v>18</v>
      </c>
      <c r="F410" t="s">
        <v>19</v>
      </c>
      <c r="G410" t="s">
        <v>46</v>
      </c>
      <c r="H410" t="s">
        <v>179</v>
      </c>
      <c r="I410" t="s">
        <v>236</v>
      </c>
      <c r="J410" t="s">
        <v>23</v>
      </c>
      <c r="K410" t="s">
        <v>24</v>
      </c>
      <c r="L410">
        <v>40</v>
      </c>
      <c r="M410">
        <v>2110</v>
      </c>
      <c r="N410">
        <v>0</v>
      </c>
      <c r="O410">
        <v>1250</v>
      </c>
    </row>
    <row r="411" spans="1:15" x14ac:dyDescent="0.25">
      <c r="A411" t="s">
        <v>557</v>
      </c>
      <c r="B411">
        <v>45525</v>
      </c>
      <c r="C411" t="s">
        <v>37</v>
      </c>
      <c r="D411" t="s">
        <v>166</v>
      </c>
      <c r="E411" t="s">
        <v>68</v>
      </c>
      <c r="F411" t="s">
        <v>92</v>
      </c>
      <c r="G411" t="s">
        <v>83</v>
      </c>
      <c r="H411" t="s">
        <v>84</v>
      </c>
      <c r="I411" t="s">
        <v>292</v>
      </c>
      <c r="J411" t="s">
        <v>23</v>
      </c>
      <c r="K411" t="s">
        <v>24</v>
      </c>
      <c r="L411">
        <v>2</v>
      </c>
      <c r="M411">
        <v>43590</v>
      </c>
      <c r="N411">
        <v>0</v>
      </c>
      <c r="O411">
        <v>25640</v>
      </c>
    </row>
    <row r="412" spans="1:15" x14ac:dyDescent="0.25">
      <c r="A412" t="s">
        <v>558</v>
      </c>
      <c r="B412">
        <v>45525</v>
      </c>
      <c r="C412" t="s">
        <v>56</v>
      </c>
      <c r="D412" t="s">
        <v>57</v>
      </c>
      <c r="E412" t="s">
        <v>58</v>
      </c>
      <c r="F412" t="s">
        <v>52</v>
      </c>
      <c r="G412" t="s">
        <v>59</v>
      </c>
      <c r="H412" t="s">
        <v>73</v>
      </c>
      <c r="I412" t="s">
        <v>113</v>
      </c>
      <c r="J412" t="s">
        <v>49</v>
      </c>
      <c r="K412" t="s">
        <v>24</v>
      </c>
      <c r="L412">
        <v>3</v>
      </c>
      <c r="M412">
        <v>34000</v>
      </c>
      <c r="N412">
        <v>0.1</v>
      </c>
      <c r="O412">
        <v>20980</v>
      </c>
    </row>
    <row r="413" spans="1:15" x14ac:dyDescent="0.25">
      <c r="A413" t="s">
        <v>559</v>
      </c>
      <c r="B413">
        <v>45525</v>
      </c>
      <c r="C413" t="s">
        <v>56</v>
      </c>
      <c r="D413" t="s">
        <v>127</v>
      </c>
      <c r="E413" t="s">
        <v>134</v>
      </c>
      <c r="F413" t="s">
        <v>45</v>
      </c>
      <c r="G413" t="s">
        <v>27</v>
      </c>
      <c r="H413" t="s">
        <v>53</v>
      </c>
      <c r="I413" t="s">
        <v>131</v>
      </c>
      <c r="J413" t="s">
        <v>23</v>
      </c>
      <c r="K413" t="s">
        <v>94</v>
      </c>
      <c r="L413">
        <v>2</v>
      </c>
      <c r="M413">
        <v>38780</v>
      </c>
      <c r="N413">
        <v>0.05</v>
      </c>
      <c r="O413">
        <v>25420</v>
      </c>
    </row>
    <row r="414" spans="1:15" x14ac:dyDescent="0.25">
      <c r="A414" t="s">
        <v>560</v>
      </c>
      <c r="B414">
        <v>45526</v>
      </c>
      <c r="C414" t="s">
        <v>37</v>
      </c>
      <c r="D414" t="s">
        <v>38</v>
      </c>
      <c r="E414" t="s">
        <v>39</v>
      </c>
      <c r="F414" t="s">
        <v>19</v>
      </c>
      <c r="G414" t="s">
        <v>27</v>
      </c>
      <c r="H414" t="s">
        <v>28</v>
      </c>
      <c r="I414" t="s">
        <v>29</v>
      </c>
      <c r="J414" t="s">
        <v>40</v>
      </c>
      <c r="K414" t="s">
        <v>24</v>
      </c>
      <c r="L414">
        <v>5</v>
      </c>
      <c r="M414">
        <v>29470</v>
      </c>
      <c r="N414">
        <v>0.15</v>
      </c>
      <c r="O414">
        <v>18440</v>
      </c>
    </row>
    <row r="415" spans="1:15" x14ac:dyDescent="0.25">
      <c r="A415" t="s">
        <v>561</v>
      </c>
      <c r="B415">
        <v>45527</v>
      </c>
      <c r="C415" t="s">
        <v>16</v>
      </c>
      <c r="D415" t="s">
        <v>31</v>
      </c>
      <c r="E415" t="s">
        <v>26</v>
      </c>
      <c r="F415" t="s">
        <v>19</v>
      </c>
      <c r="G415" t="s">
        <v>59</v>
      </c>
      <c r="H415" t="s">
        <v>60</v>
      </c>
      <c r="I415" t="s">
        <v>200</v>
      </c>
      <c r="J415" t="s">
        <v>40</v>
      </c>
      <c r="K415" t="s">
        <v>24</v>
      </c>
      <c r="L415">
        <v>7</v>
      </c>
      <c r="M415">
        <v>8460</v>
      </c>
      <c r="N415">
        <v>0.15</v>
      </c>
      <c r="O415">
        <v>6630</v>
      </c>
    </row>
    <row r="416" spans="1:15" x14ac:dyDescent="0.25">
      <c r="A416" t="s">
        <v>562</v>
      </c>
      <c r="B416">
        <v>45527</v>
      </c>
      <c r="C416" t="s">
        <v>42</v>
      </c>
      <c r="D416" t="s">
        <v>130</v>
      </c>
      <c r="E416" t="s">
        <v>97</v>
      </c>
      <c r="F416" t="s">
        <v>52</v>
      </c>
      <c r="G416" t="s">
        <v>59</v>
      </c>
      <c r="H416" t="s">
        <v>154</v>
      </c>
      <c r="I416" t="s">
        <v>249</v>
      </c>
      <c r="J416" t="s">
        <v>23</v>
      </c>
      <c r="K416" t="s">
        <v>119</v>
      </c>
      <c r="L416">
        <v>2</v>
      </c>
      <c r="M416">
        <v>7010</v>
      </c>
      <c r="N416">
        <v>0.1</v>
      </c>
      <c r="O416">
        <v>4510</v>
      </c>
    </row>
    <row r="417" spans="1:15" x14ac:dyDescent="0.25">
      <c r="A417" t="s">
        <v>563</v>
      </c>
      <c r="B417">
        <v>45528</v>
      </c>
      <c r="C417" t="s">
        <v>76</v>
      </c>
      <c r="D417" t="s">
        <v>77</v>
      </c>
      <c r="E417" t="s">
        <v>170</v>
      </c>
      <c r="F417" t="s">
        <v>52</v>
      </c>
      <c r="G417" t="s">
        <v>46</v>
      </c>
      <c r="H417" t="s">
        <v>179</v>
      </c>
      <c r="I417" t="s">
        <v>236</v>
      </c>
      <c r="J417" t="s">
        <v>23</v>
      </c>
      <c r="K417" t="s">
        <v>24</v>
      </c>
      <c r="L417">
        <v>16</v>
      </c>
      <c r="M417">
        <v>2150</v>
      </c>
      <c r="N417">
        <v>0.05</v>
      </c>
      <c r="O417">
        <v>1390</v>
      </c>
    </row>
    <row r="418" spans="1:15" x14ac:dyDescent="0.25">
      <c r="A418" t="s">
        <v>564</v>
      </c>
      <c r="B418">
        <v>45528</v>
      </c>
      <c r="C418" t="s">
        <v>16</v>
      </c>
      <c r="D418" t="s">
        <v>51</v>
      </c>
      <c r="E418" t="s">
        <v>32</v>
      </c>
      <c r="F418" t="s">
        <v>52</v>
      </c>
      <c r="G418" t="s">
        <v>59</v>
      </c>
      <c r="H418" t="s">
        <v>73</v>
      </c>
      <c r="I418" t="s">
        <v>74</v>
      </c>
      <c r="J418" t="s">
        <v>49</v>
      </c>
      <c r="K418" t="s">
        <v>24</v>
      </c>
      <c r="L418">
        <v>2</v>
      </c>
      <c r="M418">
        <v>44000</v>
      </c>
      <c r="N418">
        <v>0</v>
      </c>
      <c r="O418">
        <v>25720</v>
      </c>
    </row>
    <row r="419" spans="1:15" x14ac:dyDescent="0.25">
      <c r="A419" t="s">
        <v>565</v>
      </c>
      <c r="B419">
        <v>45528</v>
      </c>
      <c r="C419" t="s">
        <v>37</v>
      </c>
      <c r="D419" t="s">
        <v>67</v>
      </c>
      <c r="E419" t="s">
        <v>68</v>
      </c>
      <c r="F419" t="s">
        <v>52</v>
      </c>
      <c r="G419" t="s">
        <v>20</v>
      </c>
      <c r="H419" t="s">
        <v>33</v>
      </c>
      <c r="I419" t="s">
        <v>139</v>
      </c>
      <c r="J419" t="s">
        <v>23</v>
      </c>
      <c r="K419" t="s">
        <v>24</v>
      </c>
      <c r="L419">
        <v>3</v>
      </c>
      <c r="M419">
        <v>63430</v>
      </c>
      <c r="N419">
        <v>0.15</v>
      </c>
      <c r="O419">
        <v>44370</v>
      </c>
    </row>
    <row r="420" spans="1:15" x14ac:dyDescent="0.25">
      <c r="A420" t="s">
        <v>566</v>
      </c>
      <c r="B420">
        <v>45528</v>
      </c>
      <c r="C420" t="s">
        <v>42</v>
      </c>
      <c r="D420" t="s">
        <v>43</v>
      </c>
      <c r="E420" t="s">
        <v>44</v>
      </c>
      <c r="F420" t="s">
        <v>45</v>
      </c>
      <c r="G420" t="s">
        <v>20</v>
      </c>
      <c r="H420" t="s">
        <v>109</v>
      </c>
      <c r="I420" t="s">
        <v>110</v>
      </c>
      <c r="J420" t="s">
        <v>49</v>
      </c>
      <c r="K420" t="s">
        <v>24</v>
      </c>
      <c r="L420">
        <v>4</v>
      </c>
      <c r="M420">
        <v>69570</v>
      </c>
      <c r="N420">
        <v>0</v>
      </c>
      <c r="O420">
        <v>44630</v>
      </c>
    </row>
    <row r="421" spans="1:15" x14ac:dyDescent="0.25">
      <c r="A421" t="s">
        <v>567</v>
      </c>
      <c r="B421">
        <v>45528</v>
      </c>
      <c r="C421" t="s">
        <v>16</v>
      </c>
      <c r="D421" t="s">
        <v>153</v>
      </c>
      <c r="E421" t="s">
        <v>32</v>
      </c>
      <c r="F421" t="s">
        <v>19</v>
      </c>
      <c r="G421" t="s">
        <v>59</v>
      </c>
      <c r="H421" t="s">
        <v>69</v>
      </c>
      <c r="I421" t="s">
        <v>70</v>
      </c>
      <c r="J421" t="s">
        <v>23</v>
      </c>
      <c r="K421" t="s">
        <v>24</v>
      </c>
      <c r="L421">
        <v>3</v>
      </c>
      <c r="M421">
        <v>28010</v>
      </c>
      <c r="N421">
        <v>0.15</v>
      </c>
      <c r="O421">
        <v>16230</v>
      </c>
    </row>
    <row r="422" spans="1:15" x14ac:dyDescent="0.25">
      <c r="A422" t="s">
        <v>568</v>
      </c>
      <c r="B422">
        <v>45531</v>
      </c>
      <c r="C422" t="s">
        <v>37</v>
      </c>
      <c r="D422" t="s">
        <v>213</v>
      </c>
      <c r="E422" t="s">
        <v>68</v>
      </c>
      <c r="F422" t="s">
        <v>52</v>
      </c>
      <c r="G422" t="s">
        <v>59</v>
      </c>
      <c r="H422" t="s">
        <v>69</v>
      </c>
      <c r="I422" t="s">
        <v>121</v>
      </c>
      <c r="J422" t="s">
        <v>23</v>
      </c>
      <c r="K422" t="s">
        <v>94</v>
      </c>
      <c r="L422">
        <v>7</v>
      </c>
      <c r="M422">
        <v>3590</v>
      </c>
      <c r="N422">
        <v>0.1</v>
      </c>
      <c r="O422">
        <v>2550</v>
      </c>
    </row>
    <row r="423" spans="1:15" x14ac:dyDescent="0.25">
      <c r="A423" t="s">
        <v>569</v>
      </c>
      <c r="B423">
        <v>45531</v>
      </c>
      <c r="C423" t="s">
        <v>42</v>
      </c>
      <c r="D423" t="s">
        <v>130</v>
      </c>
      <c r="E423" t="s">
        <v>44</v>
      </c>
      <c r="F423" t="s">
        <v>19</v>
      </c>
      <c r="G423" t="s">
        <v>20</v>
      </c>
      <c r="H423" t="s">
        <v>87</v>
      </c>
      <c r="I423" t="s">
        <v>105</v>
      </c>
      <c r="J423" t="s">
        <v>49</v>
      </c>
      <c r="K423" t="s">
        <v>24</v>
      </c>
      <c r="L423">
        <v>4</v>
      </c>
      <c r="M423">
        <v>55930</v>
      </c>
      <c r="N423">
        <v>0.05</v>
      </c>
      <c r="O423">
        <v>36900</v>
      </c>
    </row>
    <row r="424" spans="1:15" x14ac:dyDescent="0.25">
      <c r="A424" t="s">
        <v>570</v>
      </c>
      <c r="B424">
        <v>45533</v>
      </c>
      <c r="C424" t="s">
        <v>37</v>
      </c>
      <c r="D424" t="s">
        <v>38</v>
      </c>
      <c r="E424" t="s">
        <v>68</v>
      </c>
      <c r="F424" t="s">
        <v>19</v>
      </c>
      <c r="G424" t="s">
        <v>20</v>
      </c>
      <c r="H424" t="s">
        <v>109</v>
      </c>
      <c r="I424" t="s">
        <v>110</v>
      </c>
      <c r="J424" t="s">
        <v>40</v>
      </c>
      <c r="K424" t="s">
        <v>24</v>
      </c>
      <c r="L424">
        <v>3</v>
      </c>
      <c r="M424">
        <v>71940</v>
      </c>
      <c r="N424">
        <v>0.1</v>
      </c>
      <c r="O424">
        <v>55830</v>
      </c>
    </row>
    <row r="425" spans="1:15" x14ac:dyDescent="0.25">
      <c r="A425" t="s">
        <v>571</v>
      </c>
      <c r="B425">
        <v>45534</v>
      </c>
      <c r="C425" t="s">
        <v>56</v>
      </c>
      <c r="D425" t="s">
        <v>57</v>
      </c>
      <c r="E425" t="s">
        <v>134</v>
      </c>
      <c r="F425" t="s">
        <v>19</v>
      </c>
      <c r="G425" t="s">
        <v>59</v>
      </c>
      <c r="H425" t="s">
        <v>154</v>
      </c>
      <c r="I425" t="s">
        <v>155</v>
      </c>
      <c r="J425" t="s">
        <v>23</v>
      </c>
      <c r="K425" t="s">
        <v>24</v>
      </c>
      <c r="L425">
        <v>5</v>
      </c>
      <c r="M425">
        <v>12430</v>
      </c>
      <c r="N425">
        <v>0</v>
      </c>
      <c r="O425">
        <v>9200</v>
      </c>
    </row>
    <row r="426" spans="1:15" x14ac:dyDescent="0.25">
      <c r="A426" t="s">
        <v>572</v>
      </c>
      <c r="B426">
        <v>45534</v>
      </c>
      <c r="C426" t="s">
        <v>56</v>
      </c>
      <c r="D426" t="s">
        <v>143</v>
      </c>
      <c r="E426" t="s">
        <v>91</v>
      </c>
      <c r="F426" t="s">
        <v>45</v>
      </c>
      <c r="G426" t="s">
        <v>59</v>
      </c>
      <c r="H426" t="s">
        <v>73</v>
      </c>
      <c r="I426" t="s">
        <v>74</v>
      </c>
      <c r="J426" t="s">
        <v>23</v>
      </c>
      <c r="K426" t="s">
        <v>24</v>
      </c>
      <c r="L426">
        <v>2</v>
      </c>
      <c r="M426">
        <v>46260</v>
      </c>
      <c r="N426">
        <v>0.08</v>
      </c>
      <c r="O426">
        <v>36480</v>
      </c>
    </row>
    <row r="427" spans="1:15" x14ac:dyDescent="0.25">
      <c r="A427" t="s">
        <v>573</v>
      </c>
      <c r="B427">
        <v>45534</v>
      </c>
      <c r="C427" t="s">
        <v>37</v>
      </c>
      <c r="D427" t="s">
        <v>161</v>
      </c>
      <c r="E427" t="s">
        <v>39</v>
      </c>
      <c r="F427" t="s">
        <v>92</v>
      </c>
      <c r="G427" t="s">
        <v>59</v>
      </c>
      <c r="H427" t="s">
        <v>69</v>
      </c>
      <c r="I427" t="s">
        <v>121</v>
      </c>
      <c r="J427" t="s">
        <v>40</v>
      </c>
      <c r="K427" t="s">
        <v>24</v>
      </c>
      <c r="L427">
        <v>25</v>
      </c>
      <c r="M427">
        <v>3710</v>
      </c>
      <c r="N427">
        <v>0.15</v>
      </c>
      <c r="O427">
        <v>2750</v>
      </c>
    </row>
    <row r="428" spans="1:15" x14ac:dyDescent="0.25">
      <c r="A428" t="s">
        <v>574</v>
      </c>
      <c r="B428">
        <v>45534</v>
      </c>
      <c r="C428" t="s">
        <v>56</v>
      </c>
      <c r="D428" t="s">
        <v>72</v>
      </c>
      <c r="E428" t="s">
        <v>134</v>
      </c>
      <c r="F428" t="s">
        <v>52</v>
      </c>
      <c r="G428" t="s">
        <v>20</v>
      </c>
      <c r="H428" t="s">
        <v>109</v>
      </c>
      <c r="I428" t="s">
        <v>171</v>
      </c>
      <c r="J428" t="s">
        <v>23</v>
      </c>
      <c r="K428" t="s">
        <v>24</v>
      </c>
      <c r="L428">
        <v>2</v>
      </c>
      <c r="M428">
        <v>23560</v>
      </c>
      <c r="N428">
        <v>0.15</v>
      </c>
      <c r="O428">
        <v>13710</v>
      </c>
    </row>
    <row r="429" spans="1:15" x14ac:dyDescent="0.25">
      <c r="A429" t="s">
        <v>575</v>
      </c>
      <c r="B429">
        <v>45534</v>
      </c>
      <c r="C429" t="s">
        <v>42</v>
      </c>
      <c r="D429" t="s">
        <v>146</v>
      </c>
      <c r="E429" t="s">
        <v>64</v>
      </c>
      <c r="F429" t="s">
        <v>19</v>
      </c>
      <c r="G429" t="s">
        <v>59</v>
      </c>
      <c r="H429" t="s">
        <v>73</v>
      </c>
      <c r="I429" t="s">
        <v>74</v>
      </c>
      <c r="J429" t="s">
        <v>49</v>
      </c>
      <c r="K429" t="s">
        <v>24</v>
      </c>
      <c r="L429">
        <v>1</v>
      </c>
      <c r="M429">
        <v>43550</v>
      </c>
      <c r="N429">
        <v>0.12</v>
      </c>
      <c r="O429">
        <v>29910</v>
      </c>
    </row>
    <row r="430" spans="1:15" x14ac:dyDescent="0.25">
      <c r="A430" t="s">
        <v>576</v>
      </c>
      <c r="B430">
        <v>45535</v>
      </c>
      <c r="C430" t="s">
        <v>37</v>
      </c>
      <c r="D430" t="s">
        <v>67</v>
      </c>
      <c r="E430" t="s">
        <v>68</v>
      </c>
      <c r="F430" t="s">
        <v>52</v>
      </c>
      <c r="G430" t="s">
        <v>20</v>
      </c>
      <c r="H430" t="s">
        <v>21</v>
      </c>
      <c r="I430" t="s">
        <v>22</v>
      </c>
      <c r="J430" t="s">
        <v>23</v>
      </c>
      <c r="K430" t="s">
        <v>24</v>
      </c>
      <c r="L430">
        <v>7</v>
      </c>
      <c r="M430">
        <v>1840</v>
      </c>
      <c r="N430">
        <v>0.05</v>
      </c>
      <c r="O430">
        <v>1190</v>
      </c>
    </row>
    <row r="431" spans="1:15" x14ac:dyDescent="0.25">
      <c r="A431" t="s">
        <v>577</v>
      </c>
      <c r="B431">
        <v>45536</v>
      </c>
      <c r="C431" t="s">
        <v>76</v>
      </c>
      <c r="D431" t="s">
        <v>217</v>
      </c>
      <c r="E431" t="s">
        <v>170</v>
      </c>
      <c r="F431" t="s">
        <v>19</v>
      </c>
      <c r="G431" t="s">
        <v>27</v>
      </c>
      <c r="H431" t="s">
        <v>53</v>
      </c>
      <c r="I431" t="s">
        <v>54</v>
      </c>
      <c r="J431" t="s">
        <v>23</v>
      </c>
      <c r="K431" t="s">
        <v>24</v>
      </c>
      <c r="L431">
        <v>2</v>
      </c>
      <c r="M431">
        <v>41580</v>
      </c>
      <c r="N431">
        <v>0.05</v>
      </c>
      <c r="O431">
        <v>27260</v>
      </c>
    </row>
    <row r="432" spans="1:15" x14ac:dyDescent="0.25">
      <c r="A432" t="s">
        <v>578</v>
      </c>
      <c r="B432">
        <v>45538</v>
      </c>
      <c r="C432" t="s">
        <v>56</v>
      </c>
      <c r="D432" t="s">
        <v>57</v>
      </c>
      <c r="E432" t="s">
        <v>134</v>
      </c>
      <c r="F432" t="s">
        <v>19</v>
      </c>
      <c r="G432" t="s">
        <v>83</v>
      </c>
      <c r="H432" t="s">
        <v>136</v>
      </c>
      <c r="I432" t="s">
        <v>137</v>
      </c>
      <c r="J432" t="s">
        <v>49</v>
      </c>
      <c r="K432" t="s">
        <v>24</v>
      </c>
      <c r="L432">
        <v>8</v>
      </c>
      <c r="M432">
        <v>1710</v>
      </c>
      <c r="N432">
        <v>0.15</v>
      </c>
      <c r="O432">
        <v>1110</v>
      </c>
    </row>
    <row r="433" spans="1:15" x14ac:dyDescent="0.25">
      <c r="A433" t="s">
        <v>579</v>
      </c>
      <c r="B433">
        <v>45539</v>
      </c>
      <c r="C433" t="s">
        <v>42</v>
      </c>
      <c r="D433" t="s">
        <v>96</v>
      </c>
      <c r="E433" t="s">
        <v>64</v>
      </c>
      <c r="F433" t="s">
        <v>92</v>
      </c>
      <c r="G433" t="s">
        <v>46</v>
      </c>
      <c r="H433" t="s">
        <v>179</v>
      </c>
      <c r="I433" t="s">
        <v>236</v>
      </c>
      <c r="J433" t="s">
        <v>23</v>
      </c>
      <c r="K433" t="s">
        <v>24</v>
      </c>
      <c r="L433">
        <v>73</v>
      </c>
      <c r="M433">
        <v>2140</v>
      </c>
      <c r="N433">
        <v>0.12</v>
      </c>
      <c r="O433">
        <v>1480</v>
      </c>
    </row>
    <row r="434" spans="1:15" x14ac:dyDescent="0.25">
      <c r="A434" t="s">
        <v>580</v>
      </c>
      <c r="B434">
        <v>45539</v>
      </c>
      <c r="C434" t="s">
        <v>42</v>
      </c>
      <c r="D434" t="s">
        <v>265</v>
      </c>
      <c r="E434" t="s">
        <v>64</v>
      </c>
      <c r="F434" t="s">
        <v>52</v>
      </c>
      <c r="G434" t="s">
        <v>83</v>
      </c>
      <c r="H434" t="s">
        <v>184</v>
      </c>
      <c r="I434" t="s">
        <v>185</v>
      </c>
      <c r="J434" t="s">
        <v>40</v>
      </c>
      <c r="K434" t="s">
        <v>24</v>
      </c>
      <c r="L434">
        <v>4</v>
      </c>
      <c r="M434">
        <v>4350</v>
      </c>
      <c r="N434">
        <v>0.1</v>
      </c>
      <c r="O434">
        <v>3230</v>
      </c>
    </row>
    <row r="435" spans="1:15" x14ac:dyDescent="0.25">
      <c r="A435" t="s">
        <v>581</v>
      </c>
      <c r="B435">
        <v>45539</v>
      </c>
      <c r="C435" t="s">
        <v>42</v>
      </c>
      <c r="D435" t="s">
        <v>130</v>
      </c>
      <c r="E435" t="s">
        <v>44</v>
      </c>
      <c r="F435" t="s">
        <v>19</v>
      </c>
      <c r="G435" t="s">
        <v>20</v>
      </c>
      <c r="H435" t="s">
        <v>33</v>
      </c>
      <c r="I435" t="s">
        <v>34</v>
      </c>
      <c r="J435" t="s">
        <v>49</v>
      </c>
      <c r="K435" t="s">
        <v>24</v>
      </c>
      <c r="L435">
        <v>3</v>
      </c>
      <c r="M435">
        <v>55730</v>
      </c>
      <c r="N435">
        <v>0.1</v>
      </c>
      <c r="O435">
        <v>43320</v>
      </c>
    </row>
    <row r="436" spans="1:15" x14ac:dyDescent="0.25">
      <c r="A436" t="s">
        <v>582</v>
      </c>
      <c r="B436">
        <v>45539</v>
      </c>
      <c r="C436" t="s">
        <v>42</v>
      </c>
      <c r="D436" t="s">
        <v>123</v>
      </c>
      <c r="E436" t="s">
        <v>97</v>
      </c>
      <c r="F436" t="s">
        <v>92</v>
      </c>
      <c r="G436" t="s">
        <v>27</v>
      </c>
      <c r="H436" t="s">
        <v>214</v>
      </c>
      <c r="I436" t="s">
        <v>215</v>
      </c>
      <c r="J436" t="s">
        <v>40</v>
      </c>
      <c r="K436" t="s">
        <v>35</v>
      </c>
      <c r="L436">
        <v>2</v>
      </c>
      <c r="M436">
        <v>34050</v>
      </c>
      <c r="N436">
        <v>0.18</v>
      </c>
      <c r="O436">
        <v>24970</v>
      </c>
    </row>
    <row r="437" spans="1:15" x14ac:dyDescent="0.25">
      <c r="A437" t="s">
        <v>583</v>
      </c>
      <c r="B437">
        <v>45539</v>
      </c>
      <c r="C437" t="s">
        <v>37</v>
      </c>
      <c r="D437" t="s">
        <v>67</v>
      </c>
      <c r="E437" t="s">
        <v>68</v>
      </c>
      <c r="F437" t="s">
        <v>52</v>
      </c>
      <c r="G437" t="s">
        <v>20</v>
      </c>
      <c r="H437" t="s">
        <v>33</v>
      </c>
      <c r="I437" t="s">
        <v>34</v>
      </c>
      <c r="J437" t="s">
        <v>40</v>
      </c>
      <c r="K437" t="s">
        <v>24</v>
      </c>
      <c r="L437">
        <v>2</v>
      </c>
      <c r="M437">
        <v>58990</v>
      </c>
      <c r="N437">
        <v>0.08</v>
      </c>
      <c r="O437">
        <v>45110</v>
      </c>
    </row>
    <row r="438" spans="1:15" x14ac:dyDescent="0.25">
      <c r="A438" t="s">
        <v>584</v>
      </c>
      <c r="B438">
        <v>45539</v>
      </c>
      <c r="C438" t="s">
        <v>56</v>
      </c>
      <c r="D438" t="s">
        <v>143</v>
      </c>
      <c r="E438" t="s">
        <v>58</v>
      </c>
      <c r="F438" t="s">
        <v>52</v>
      </c>
      <c r="G438" t="s">
        <v>27</v>
      </c>
      <c r="H438" t="s">
        <v>79</v>
      </c>
      <c r="I438" t="s">
        <v>262</v>
      </c>
      <c r="J438" t="s">
        <v>49</v>
      </c>
      <c r="K438" t="s">
        <v>24</v>
      </c>
      <c r="L438">
        <v>26</v>
      </c>
      <c r="M438">
        <v>2480</v>
      </c>
      <c r="N438">
        <v>0.12</v>
      </c>
      <c r="O438">
        <v>1670</v>
      </c>
    </row>
    <row r="439" spans="1:15" x14ac:dyDescent="0.25">
      <c r="A439" t="s">
        <v>585</v>
      </c>
      <c r="B439">
        <v>45539</v>
      </c>
      <c r="C439" t="s">
        <v>37</v>
      </c>
      <c r="D439" t="s">
        <v>38</v>
      </c>
      <c r="E439" t="s">
        <v>68</v>
      </c>
      <c r="F439" t="s">
        <v>52</v>
      </c>
      <c r="G439" t="s">
        <v>59</v>
      </c>
      <c r="H439" t="s">
        <v>154</v>
      </c>
      <c r="I439" t="s">
        <v>249</v>
      </c>
      <c r="J439" t="s">
        <v>49</v>
      </c>
      <c r="K439" t="s">
        <v>24</v>
      </c>
      <c r="L439">
        <v>15</v>
      </c>
      <c r="M439">
        <v>6920</v>
      </c>
      <c r="N439">
        <v>0.15</v>
      </c>
      <c r="O439">
        <v>4900</v>
      </c>
    </row>
    <row r="440" spans="1:15" x14ac:dyDescent="0.25">
      <c r="A440" t="s">
        <v>586</v>
      </c>
      <c r="B440">
        <v>45541</v>
      </c>
      <c r="C440" t="s">
        <v>37</v>
      </c>
      <c r="D440" t="s">
        <v>67</v>
      </c>
      <c r="E440" t="s">
        <v>68</v>
      </c>
      <c r="F440" t="s">
        <v>92</v>
      </c>
      <c r="G440" t="s">
        <v>59</v>
      </c>
      <c r="H440" t="s">
        <v>154</v>
      </c>
      <c r="I440" t="s">
        <v>155</v>
      </c>
      <c r="J440" t="s">
        <v>40</v>
      </c>
      <c r="K440" t="s">
        <v>24</v>
      </c>
      <c r="L440">
        <v>13</v>
      </c>
      <c r="M440">
        <v>11980</v>
      </c>
      <c r="N440">
        <v>0.15</v>
      </c>
      <c r="O440">
        <v>9220</v>
      </c>
    </row>
    <row r="441" spans="1:15" x14ac:dyDescent="0.25">
      <c r="A441" t="s">
        <v>587</v>
      </c>
      <c r="B441">
        <v>45541</v>
      </c>
      <c r="C441" t="s">
        <v>37</v>
      </c>
      <c r="D441" t="s">
        <v>67</v>
      </c>
      <c r="E441" t="s">
        <v>39</v>
      </c>
      <c r="F441" t="s">
        <v>92</v>
      </c>
      <c r="G441" t="s">
        <v>27</v>
      </c>
      <c r="H441" t="s">
        <v>28</v>
      </c>
      <c r="I441" t="s">
        <v>141</v>
      </c>
      <c r="J441" t="s">
        <v>49</v>
      </c>
      <c r="K441" t="s">
        <v>24</v>
      </c>
      <c r="L441">
        <v>10</v>
      </c>
      <c r="M441">
        <v>17270</v>
      </c>
      <c r="N441">
        <v>0.1</v>
      </c>
      <c r="O441">
        <v>10670</v>
      </c>
    </row>
    <row r="442" spans="1:15" x14ac:dyDescent="0.25">
      <c r="A442" t="s">
        <v>588</v>
      </c>
      <c r="B442">
        <v>45542</v>
      </c>
      <c r="C442" t="s">
        <v>42</v>
      </c>
      <c r="D442" t="s">
        <v>130</v>
      </c>
      <c r="E442" t="s">
        <v>44</v>
      </c>
      <c r="F442" t="s">
        <v>19</v>
      </c>
      <c r="G442" t="s">
        <v>20</v>
      </c>
      <c r="H442" t="s">
        <v>109</v>
      </c>
      <c r="I442" t="s">
        <v>171</v>
      </c>
      <c r="J442" t="s">
        <v>23</v>
      </c>
      <c r="K442" t="s">
        <v>24</v>
      </c>
      <c r="L442">
        <v>4</v>
      </c>
      <c r="M442">
        <v>22280</v>
      </c>
      <c r="N442">
        <v>0.08</v>
      </c>
      <c r="O442">
        <v>16160</v>
      </c>
    </row>
    <row r="443" spans="1:15" x14ac:dyDescent="0.25">
      <c r="A443" t="s">
        <v>589</v>
      </c>
      <c r="B443">
        <v>45542</v>
      </c>
      <c r="C443" t="s">
        <v>76</v>
      </c>
      <c r="D443" t="s">
        <v>77</v>
      </c>
      <c r="E443" t="s">
        <v>78</v>
      </c>
      <c r="F443" t="s">
        <v>92</v>
      </c>
      <c r="G443" t="s">
        <v>20</v>
      </c>
      <c r="H443" t="s">
        <v>109</v>
      </c>
      <c r="I443" t="s">
        <v>159</v>
      </c>
      <c r="J443" t="s">
        <v>23</v>
      </c>
      <c r="K443" t="s">
        <v>24</v>
      </c>
      <c r="L443">
        <v>1</v>
      </c>
      <c r="M443">
        <v>17280</v>
      </c>
      <c r="N443">
        <v>0</v>
      </c>
      <c r="O443">
        <v>9770</v>
      </c>
    </row>
    <row r="444" spans="1:15" x14ac:dyDescent="0.25">
      <c r="A444" t="s">
        <v>590</v>
      </c>
      <c r="B444">
        <v>45542</v>
      </c>
      <c r="C444" t="s">
        <v>16</v>
      </c>
      <c r="D444" t="s">
        <v>51</v>
      </c>
      <c r="E444" t="s">
        <v>32</v>
      </c>
      <c r="F444" t="s">
        <v>19</v>
      </c>
      <c r="G444" t="s">
        <v>59</v>
      </c>
      <c r="H444" t="s">
        <v>73</v>
      </c>
      <c r="I444" t="s">
        <v>113</v>
      </c>
      <c r="J444" t="s">
        <v>40</v>
      </c>
      <c r="K444" t="s">
        <v>24</v>
      </c>
      <c r="L444">
        <v>3</v>
      </c>
      <c r="M444">
        <v>32370</v>
      </c>
      <c r="N444">
        <v>0.08</v>
      </c>
      <c r="O444">
        <v>22610</v>
      </c>
    </row>
    <row r="445" spans="1:15" x14ac:dyDescent="0.25">
      <c r="A445" t="s">
        <v>591</v>
      </c>
      <c r="B445">
        <v>45542</v>
      </c>
      <c r="C445" t="s">
        <v>16</v>
      </c>
      <c r="D445" t="s">
        <v>51</v>
      </c>
      <c r="E445" t="s">
        <v>26</v>
      </c>
      <c r="F445" t="s">
        <v>19</v>
      </c>
      <c r="G445" t="s">
        <v>46</v>
      </c>
      <c r="H445" t="s">
        <v>100</v>
      </c>
      <c r="I445" t="s">
        <v>101</v>
      </c>
      <c r="J445" t="s">
        <v>23</v>
      </c>
      <c r="K445" t="s">
        <v>24</v>
      </c>
      <c r="L445">
        <v>28</v>
      </c>
      <c r="M445">
        <v>1920</v>
      </c>
      <c r="N445">
        <v>0.1</v>
      </c>
      <c r="O445">
        <v>1380</v>
      </c>
    </row>
    <row r="446" spans="1:15" x14ac:dyDescent="0.25">
      <c r="A446" t="s">
        <v>592</v>
      </c>
      <c r="B446">
        <v>45544</v>
      </c>
      <c r="C446" t="s">
        <v>42</v>
      </c>
      <c r="D446" t="s">
        <v>146</v>
      </c>
      <c r="E446" t="s">
        <v>64</v>
      </c>
      <c r="F446" t="s">
        <v>19</v>
      </c>
      <c r="G446" t="s">
        <v>20</v>
      </c>
      <c r="H446" t="s">
        <v>33</v>
      </c>
      <c r="I446" t="s">
        <v>182</v>
      </c>
      <c r="J446" t="s">
        <v>40</v>
      </c>
      <c r="K446" t="s">
        <v>24</v>
      </c>
      <c r="L446">
        <v>4</v>
      </c>
      <c r="M446">
        <v>111000</v>
      </c>
      <c r="N446">
        <v>0.1</v>
      </c>
      <c r="O446">
        <v>78030</v>
      </c>
    </row>
    <row r="447" spans="1:15" x14ac:dyDescent="0.25">
      <c r="A447" t="s">
        <v>593</v>
      </c>
      <c r="B447">
        <v>45545</v>
      </c>
      <c r="C447" t="s">
        <v>37</v>
      </c>
      <c r="D447" t="s">
        <v>166</v>
      </c>
      <c r="E447" t="s">
        <v>39</v>
      </c>
      <c r="F447" t="s">
        <v>92</v>
      </c>
      <c r="G447" t="s">
        <v>83</v>
      </c>
      <c r="H447" t="s">
        <v>136</v>
      </c>
      <c r="I447" t="s">
        <v>137</v>
      </c>
      <c r="J447" t="s">
        <v>49</v>
      </c>
      <c r="K447" t="s">
        <v>24</v>
      </c>
      <c r="L447">
        <v>56</v>
      </c>
      <c r="M447">
        <v>1690</v>
      </c>
      <c r="N447">
        <v>0.08</v>
      </c>
      <c r="O447">
        <v>1140</v>
      </c>
    </row>
    <row r="448" spans="1:15" x14ac:dyDescent="0.25">
      <c r="A448" t="s">
        <v>594</v>
      </c>
      <c r="B448">
        <v>45545</v>
      </c>
      <c r="C448" t="s">
        <v>76</v>
      </c>
      <c r="D448" t="s">
        <v>125</v>
      </c>
      <c r="E448" t="s">
        <v>170</v>
      </c>
      <c r="F448" t="s">
        <v>19</v>
      </c>
      <c r="G448" t="s">
        <v>27</v>
      </c>
      <c r="H448" t="s">
        <v>28</v>
      </c>
      <c r="I448" t="s">
        <v>29</v>
      </c>
      <c r="J448" t="s">
        <v>23</v>
      </c>
      <c r="K448" t="s">
        <v>24</v>
      </c>
      <c r="L448">
        <v>1</v>
      </c>
      <c r="M448">
        <v>29250</v>
      </c>
      <c r="N448">
        <v>0.18</v>
      </c>
      <c r="O448">
        <v>18480</v>
      </c>
    </row>
    <row r="449" spans="1:15" x14ac:dyDescent="0.25">
      <c r="A449" t="s">
        <v>595</v>
      </c>
      <c r="B449">
        <v>45546</v>
      </c>
      <c r="C449" t="s">
        <v>42</v>
      </c>
      <c r="D449" t="s">
        <v>123</v>
      </c>
      <c r="E449" t="s">
        <v>64</v>
      </c>
      <c r="F449" t="s">
        <v>19</v>
      </c>
      <c r="G449" t="s">
        <v>20</v>
      </c>
      <c r="H449" t="s">
        <v>109</v>
      </c>
      <c r="I449" t="s">
        <v>110</v>
      </c>
      <c r="J449" t="s">
        <v>23</v>
      </c>
      <c r="K449" t="s">
        <v>24</v>
      </c>
      <c r="L449">
        <v>2</v>
      </c>
      <c r="M449">
        <v>66050</v>
      </c>
      <c r="N449">
        <v>0</v>
      </c>
      <c r="O449">
        <v>45000</v>
      </c>
    </row>
    <row r="450" spans="1:15" x14ac:dyDescent="0.25">
      <c r="A450" t="s">
        <v>596</v>
      </c>
      <c r="B450">
        <v>45546</v>
      </c>
      <c r="C450" t="s">
        <v>42</v>
      </c>
      <c r="D450" t="s">
        <v>96</v>
      </c>
      <c r="E450" t="s">
        <v>44</v>
      </c>
      <c r="F450" t="s">
        <v>92</v>
      </c>
      <c r="G450" t="s">
        <v>59</v>
      </c>
      <c r="H450" t="s">
        <v>154</v>
      </c>
      <c r="I450" t="s">
        <v>249</v>
      </c>
      <c r="J450" t="s">
        <v>23</v>
      </c>
      <c r="K450" t="s">
        <v>119</v>
      </c>
      <c r="L450">
        <v>18</v>
      </c>
      <c r="M450">
        <v>6720</v>
      </c>
      <c r="N450">
        <v>0.12</v>
      </c>
      <c r="O450">
        <v>5230</v>
      </c>
    </row>
    <row r="451" spans="1:15" x14ac:dyDescent="0.25">
      <c r="A451" t="s">
        <v>597</v>
      </c>
      <c r="B451">
        <v>45546</v>
      </c>
      <c r="C451" t="s">
        <v>76</v>
      </c>
      <c r="D451" t="s">
        <v>150</v>
      </c>
      <c r="E451" t="s">
        <v>78</v>
      </c>
      <c r="F451" t="s">
        <v>52</v>
      </c>
      <c r="G451" t="s">
        <v>27</v>
      </c>
      <c r="H451" t="s">
        <v>28</v>
      </c>
      <c r="I451" t="s">
        <v>29</v>
      </c>
      <c r="J451" t="s">
        <v>23</v>
      </c>
      <c r="K451" t="s">
        <v>24</v>
      </c>
      <c r="L451">
        <v>1</v>
      </c>
      <c r="M451">
        <v>27670</v>
      </c>
      <c r="N451">
        <v>0</v>
      </c>
      <c r="O451">
        <v>16470</v>
      </c>
    </row>
    <row r="452" spans="1:15" x14ac:dyDescent="0.25">
      <c r="A452" t="s">
        <v>598</v>
      </c>
      <c r="B452">
        <v>45547</v>
      </c>
      <c r="C452" t="s">
        <v>42</v>
      </c>
      <c r="D452" t="s">
        <v>96</v>
      </c>
      <c r="E452" t="s">
        <v>97</v>
      </c>
      <c r="F452" t="s">
        <v>19</v>
      </c>
      <c r="G452" t="s">
        <v>27</v>
      </c>
      <c r="H452" t="s">
        <v>28</v>
      </c>
      <c r="I452" t="s">
        <v>141</v>
      </c>
      <c r="J452" t="s">
        <v>23</v>
      </c>
      <c r="K452" t="s">
        <v>94</v>
      </c>
      <c r="L452">
        <v>1</v>
      </c>
      <c r="M452">
        <v>17090</v>
      </c>
      <c r="N452">
        <v>0.15</v>
      </c>
      <c r="O452">
        <v>12000</v>
      </c>
    </row>
    <row r="453" spans="1:15" x14ac:dyDescent="0.25">
      <c r="A453" t="s">
        <v>599</v>
      </c>
      <c r="B453">
        <v>45547</v>
      </c>
      <c r="C453" t="s">
        <v>37</v>
      </c>
      <c r="D453" t="s">
        <v>161</v>
      </c>
      <c r="E453" t="s">
        <v>68</v>
      </c>
      <c r="F453" t="s">
        <v>52</v>
      </c>
      <c r="G453" t="s">
        <v>46</v>
      </c>
      <c r="H453" t="s">
        <v>179</v>
      </c>
      <c r="I453" t="s">
        <v>221</v>
      </c>
      <c r="J453" t="s">
        <v>40</v>
      </c>
      <c r="K453" t="s">
        <v>24</v>
      </c>
      <c r="L453">
        <v>27</v>
      </c>
      <c r="M453">
        <v>1660</v>
      </c>
      <c r="N453">
        <v>0.05</v>
      </c>
      <c r="O453">
        <v>1100</v>
      </c>
    </row>
    <row r="454" spans="1:15" x14ac:dyDescent="0.25">
      <c r="A454" t="s">
        <v>600</v>
      </c>
      <c r="B454">
        <v>45548</v>
      </c>
      <c r="C454" t="s">
        <v>37</v>
      </c>
      <c r="D454" t="s">
        <v>161</v>
      </c>
      <c r="E454" t="s">
        <v>39</v>
      </c>
      <c r="F454" t="s">
        <v>19</v>
      </c>
      <c r="G454" t="s">
        <v>46</v>
      </c>
      <c r="H454" t="s">
        <v>100</v>
      </c>
      <c r="I454" t="s">
        <v>101</v>
      </c>
      <c r="J454" t="s">
        <v>40</v>
      </c>
      <c r="K454" t="s">
        <v>24</v>
      </c>
      <c r="L454">
        <v>9</v>
      </c>
      <c r="M454">
        <v>1810</v>
      </c>
      <c r="N454">
        <v>0.05</v>
      </c>
      <c r="O454">
        <v>1290</v>
      </c>
    </row>
    <row r="455" spans="1:15" x14ac:dyDescent="0.25">
      <c r="A455" t="s">
        <v>601</v>
      </c>
      <c r="B455">
        <v>45549</v>
      </c>
      <c r="C455" t="s">
        <v>16</v>
      </c>
      <c r="D455" t="s">
        <v>51</v>
      </c>
      <c r="E455" t="s">
        <v>18</v>
      </c>
      <c r="F455" t="s">
        <v>19</v>
      </c>
      <c r="G455" t="s">
        <v>46</v>
      </c>
      <c r="H455" t="s">
        <v>100</v>
      </c>
      <c r="I455" t="s">
        <v>177</v>
      </c>
      <c r="J455" t="s">
        <v>40</v>
      </c>
      <c r="K455" t="s">
        <v>35</v>
      </c>
      <c r="L455">
        <v>37</v>
      </c>
      <c r="M455">
        <v>2680</v>
      </c>
      <c r="N455">
        <v>0.12</v>
      </c>
      <c r="O455">
        <v>1580</v>
      </c>
    </row>
    <row r="456" spans="1:15" x14ac:dyDescent="0.25">
      <c r="A456" t="s">
        <v>602</v>
      </c>
      <c r="B456">
        <v>45549</v>
      </c>
      <c r="C456" t="s">
        <v>16</v>
      </c>
      <c r="D456" t="s">
        <v>17</v>
      </c>
      <c r="E456" t="s">
        <v>32</v>
      </c>
      <c r="F456" t="s">
        <v>19</v>
      </c>
      <c r="G456" t="s">
        <v>59</v>
      </c>
      <c r="H456" t="s">
        <v>60</v>
      </c>
      <c r="I456" t="s">
        <v>61</v>
      </c>
      <c r="J456" t="s">
        <v>49</v>
      </c>
      <c r="K456" t="s">
        <v>24</v>
      </c>
      <c r="L456">
        <v>6</v>
      </c>
      <c r="M456">
        <v>25370</v>
      </c>
      <c r="N456">
        <v>0.18</v>
      </c>
      <c r="O456">
        <v>16370</v>
      </c>
    </row>
    <row r="457" spans="1:15" x14ac:dyDescent="0.25">
      <c r="A457" t="s">
        <v>603</v>
      </c>
      <c r="B457">
        <v>45550</v>
      </c>
      <c r="C457" t="s">
        <v>56</v>
      </c>
      <c r="D457" t="s">
        <v>133</v>
      </c>
      <c r="E457" t="s">
        <v>91</v>
      </c>
      <c r="F457" t="s">
        <v>45</v>
      </c>
      <c r="G457" t="s">
        <v>27</v>
      </c>
      <c r="H457" t="s">
        <v>214</v>
      </c>
      <c r="I457" t="s">
        <v>252</v>
      </c>
      <c r="J457" t="s">
        <v>23</v>
      </c>
      <c r="K457" t="s">
        <v>24</v>
      </c>
      <c r="L457">
        <v>8</v>
      </c>
      <c r="M457">
        <v>14050</v>
      </c>
      <c r="N457">
        <v>0.12</v>
      </c>
      <c r="O457">
        <v>8330</v>
      </c>
    </row>
    <row r="458" spans="1:15" x14ac:dyDescent="0.25">
      <c r="A458" t="s">
        <v>604</v>
      </c>
      <c r="B458">
        <v>45550</v>
      </c>
      <c r="C458" t="s">
        <v>42</v>
      </c>
      <c r="D458" t="s">
        <v>146</v>
      </c>
      <c r="E458" t="s">
        <v>64</v>
      </c>
      <c r="F458" t="s">
        <v>19</v>
      </c>
      <c r="G458" t="s">
        <v>83</v>
      </c>
      <c r="H458" t="s">
        <v>136</v>
      </c>
      <c r="I458" t="s">
        <v>137</v>
      </c>
      <c r="J458" t="s">
        <v>40</v>
      </c>
      <c r="K458" t="s">
        <v>24</v>
      </c>
      <c r="L458">
        <v>5</v>
      </c>
      <c r="M458">
        <v>1610</v>
      </c>
      <c r="N458">
        <v>0.08</v>
      </c>
      <c r="O458">
        <v>1020</v>
      </c>
    </row>
    <row r="459" spans="1:15" x14ac:dyDescent="0.25">
      <c r="A459" t="s">
        <v>605</v>
      </c>
      <c r="B459">
        <v>45550</v>
      </c>
      <c r="C459" t="s">
        <v>16</v>
      </c>
      <c r="D459" t="s">
        <v>31</v>
      </c>
      <c r="E459" t="s">
        <v>32</v>
      </c>
      <c r="F459" t="s">
        <v>19</v>
      </c>
      <c r="G459" t="s">
        <v>46</v>
      </c>
      <c r="H459" t="s">
        <v>100</v>
      </c>
      <c r="I459" t="s">
        <v>177</v>
      </c>
      <c r="J459" t="s">
        <v>49</v>
      </c>
      <c r="K459" t="s">
        <v>24</v>
      </c>
      <c r="L459">
        <v>21</v>
      </c>
      <c r="M459">
        <v>2700</v>
      </c>
      <c r="N459">
        <v>0.1</v>
      </c>
      <c r="O459">
        <v>1820</v>
      </c>
    </row>
    <row r="460" spans="1:15" x14ac:dyDescent="0.25">
      <c r="A460" t="s">
        <v>606</v>
      </c>
      <c r="B460">
        <v>45550</v>
      </c>
      <c r="C460" t="s">
        <v>76</v>
      </c>
      <c r="D460" t="s">
        <v>217</v>
      </c>
      <c r="E460" t="s">
        <v>170</v>
      </c>
      <c r="F460" t="s">
        <v>92</v>
      </c>
      <c r="G460" t="s">
        <v>20</v>
      </c>
      <c r="H460" t="s">
        <v>33</v>
      </c>
      <c r="I460" t="s">
        <v>34</v>
      </c>
      <c r="J460" t="s">
        <v>49</v>
      </c>
      <c r="K460" t="s">
        <v>24</v>
      </c>
      <c r="L460">
        <v>7</v>
      </c>
      <c r="M460">
        <v>57360</v>
      </c>
      <c r="N460">
        <v>0.2</v>
      </c>
      <c r="O460">
        <v>33430</v>
      </c>
    </row>
    <row r="461" spans="1:15" x14ac:dyDescent="0.25">
      <c r="A461" t="s">
        <v>607</v>
      </c>
      <c r="B461">
        <v>45551</v>
      </c>
      <c r="C461" t="s">
        <v>16</v>
      </c>
      <c r="D461" t="s">
        <v>153</v>
      </c>
      <c r="E461" t="s">
        <v>32</v>
      </c>
      <c r="F461" t="s">
        <v>92</v>
      </c>
      <c r="G461" t="s">
        <v>27</v>
      </c>
      <c r="H461" t="s">
        <v>214</v>
      </c>
      <c r="I461" t="s">
        <v>252</v>
      </c>
      <c r="J461" t="s">
        <v>23</v>
      </c>
      <c r="K461" t="s">
        <v>24</v>
      </c>
      <c r="L461">
        <v>2</v>
      </c>
      <c r="M461">
        <v>13820</v>
      </c>
      <c r="N461">
        <v>0.08</v>
      </c>
      <c r="O461">
        <v>10130</v>
      </c>
    </row>
    <row r="462" spans="1:15" x14ac:dyDescent="0.25">
      <c r="A462" t="s">
        <v>608</v>
      </c>
      <c r="B462">
        <v>45552</v>
      </c>
      <c r="C462" t="s">
        <v>42</v>
      </c>
      <c r="D462" t="s">
        <v>96</v>
      </c>
      <c r="E462" t="s">
        <v>97</v>
      </c>
      <c r="F462" t="s">
        <v>52</v>
      </c>
      <c r="G462" t="s">
        <v>27</v>
      </c>
      <c r="H462" t="s">
        <v>53</v>
      </c>
      <c r="I462" t="s">
        <v>54</v>
      </c>
      <c r="J462" t="s">
        <v>23</v>
      </c>
      <c r="K462" t="s">
        <v>24</v>
      </c>
      <c r="L462">
        <v>4</v>
      </c>
      <c r="M462">
        <v>44640</v>
      </c>
      <c r="N462">
        <v>0.05</v>
      </c>
      <c r="O462">
        <v>33150</v>
      </c>
    </row>
    <row r="463" spans="1:15" x14ac:dyDescent="0.25">
      <c r="A463" t="s">
        <v>609</v>
      </c>
      <c r="B463">
        <v>45552</v>
      </c>
      <c r="C463" t="s">
        <v>16</v>
      </c>
      <c r="D463" t="s">
        <v>191</v>
      </c>
      <c r="E463" t="s">
        <v>18</v>
      </c>
      <c r="F463" t="s">
        <v>92</v>
      </c>
      <c r="G463" t="s">
        <v>20</v>
      </c>
      <c r="H463" t="s">
        <v>109</v>
      </c>
      <c r="I463" t="s">
        <v>171</v>
      </c>
      <c r="J463" t="s">
        <v>40</v>
      </c>
      <c r="K463" t="s">
        <v>119</v>
      </c>
      <c r="L463">
        <v>4</v>
      </c>
      <c r="M463">
        <v>22840</v>
      </c>
      <c r="N463">
        <v>0</v>
      </c>
      <c r="O463">
        <v>17400</v>
      </c>
    </row>
    <row r="464" spans="1:15" x14ac:dyDescent="0.25">
      <c r="A464" t="s">
        <v>610</v>
      </c>
      <c r="B464">
        <v>45554</v>
      </c>
      <c r="C464" t="s">
        <v>42</v>
      </c>
      <c r="D464" t="s">
        <v>146</v>
      </c>
      <c r="E464" t="s">
        <v>44</v>
      </c>
      <c r="F464" t="s">
        <v>52</v>
      </c>
      <c r="G464" t="s">
        <v>20</v>
      </c>
      <c r="H464" t="s">
        <v>33</v>
      </c>
      <c r="I464" t="s">
        <v>34</v>
      </c>
      <c r="J464" t="s">
        <v>49</v>
      </c>
      <c r="K464" t="s">
        <v>24</v>
      </c>
      <c r="L464">
        <v>4</v>
      </c>
      <c r="M464">
        <v>56110</v>
      </c>
      <c r="N464">
        <v>0.1</v>
      </c>
      <c r="O464">
        <v>34120</v>
      </c>
    </row>
    <row r="465" spans="1:15" x14ac:dyDescent="0.25">
      <c r="A465" t="s">
        <v>611</v>
      </c>
      <c r="B465">
        <v>45555</v>
      </c>
      <c r="C465" t="s">
        <v>76</v>
      </c>
      <c r="D465" t="s">
        <v>112</v>
      </c>
      <c r="E465" t="s">
        <v>170</v>
      </c>
      <c r="F465" t="s">
        <v>19</v>
      </c>
      <c r="G465" t="s">
        <v>27</v>
      </c>
      <c r="H465" t="s">
        <v>28</v>
      </c>
      <c r="I465" t="s">
        <v>29</v>
      </c>
      <c r="J465" t="s">
        <v>40</v>
      </c>
      <c r="K465" t="s">
        <v>24</v>
      </c>
      <c r="L465">
        <v>4</v>
      </c>
      <c r="M465">
        <v>28260</v>
      </c>
      <c r="N465">
        <v>0.18</v>
      </c>
      <c r="O465">
        <v>16220</v>
      </c>
    </row>
    <row r="466" spans="1:15" x14ac:dyDescent="0.25">
      <c r="A466" t="s">
        <v>612</v>
      </c>
      <c r="B466">
        <v>45556</v>
      </c>
      <c r="C466" t="s">
        <v>37</v>
      </c>
      <c r="D466" t="s">
        <v>115</v>
      </c>
      <c r="E466" t="s">
        <v>68</v>
      </c>
      <c r="F466" t="s">
        <v>92</v>
      </c>
      <c r="G466" t="s">
        <v>20</v>
      </c>
      <c r="H466" t="s">
        <v>21</v>
      </c>
      <c r="I466" t="s">
        <v>22</v>
      </c>
      <c r="J466" t="s">
        <v>49</v>
      </c>
      <c r="K466" t="s">
        <v>24</v>
      </c>
      <c r="L466">
        <v>21</v>
      </c>
      <c r="M466">
        <v>1850</v>
      </c>
      <c r="N466">
        <v>0.05</v>
      </c>
      <c r="O466">
        <v>1070</v>
      </c>
    </row>
    <row r="467" spans="1:15" x14ac:dyDescent="0.25">
      <c r="A467" t="s">
        <v>613</v>
      </c>
      <c r="B467">
        <v>45556</v>
      </c>
      <c r="C467" t="s">
        <v>76</v>
      </c>
      <c r="D467" t="s">
        <v>112</v>
      </c>
      <c r="E467" t="s">
        <v>78</v>
      </c>
      <c r="F467" t="s">
        <v>45</v>
      </c>
      <c r="G467" t="s">
        <v>46</v>
      </c>
      <c r="H467" t="s">
        <v>100</v>
      </c>
      <c r="I467" t="s">
        <v>101</v>
      </c>
      <c r="J467" t="s">
        <v>23</v>
      </c>
      <c r="K467" t="s">
        <v>24</v>
      </c>
      <c r="L467">
        <v>14</v>
      </c>
      <c r="M467">
        <v>2020</v>
      </c>
      <c r="N467">
        <v>0.08</v>
      </c>
      <c r="O467">
        <v>1290</v>
      </c>
    </row>
    <row r="468" spans="1:15" x14ac:dyDescent="0.25">
      <c r="A468" t="s">
        <v>614</v>
      </c>
      <c r="B468">
        <v>45556</v>
      </c>
      <c r="C468" t="s">
        <v>56</v>
      </c>
      <c r="D468" t="s">
        <v>103</v>
      </c>
      <c r="E468" t="s">
        <v>91</v>
      </c>
      <c r="F468" t="s">
        <v>52</v>
      </c>
      <c r="G468" t="s">
        <v>59</v>
      </c>
      <c r="H468" t="s">
        <v>60</v>
      </c>
      <c r="I468" t="s">
        <v>200</v>
      </c>
      <c r="J468" t="s">
        <v>23</v>
      </c>
      <c r="K468" t="s">
        <v>94</v>
      </c>
      <c r="L468">
        <v>10</v>
      </c>
      <c r="M468">
        <v>8920</v>
      </c>
      <c r="N468">
        <v>0.1</v>
      </c>
      <c r="O468">
        <v>6430</v>
      </c>
    </row>
    <row r="469" spans="1:15" x14ac:dyDescent="0.25">
      <c r="A469" t="s">
        <v>615</v>
      </c>
      <c r="B469">
        <v>45556</v>
      </c>
      <c r="C469" t="s">
        <v>37</v>
      </c>
      <c r="D469" t="s">
        <v>115</v>
      </c>
      <c r="E469" t="s">
        <v>39</v>
      </c>
      <c r="F469" t="s">
        <v>52</v>
      </c>
      <c r="G469" t="s">
        <v>20</v>
      </c>
      <c r="H469" t="s">
        <v>21</v>
      </c>
      <c r="I469" t="s">
        <v>362</v>
      </c>
      <c r="J469" t="s">
        <v>23</v>
      </c>
      <c r="K469" t="s">
        <v>24</v>
      </c>
      <c r="L469">
        <v>13</v>
      </c>
      <c r="M469">
        <v>8750</v>
      </c>
      <c r="N469">
        <v>0</v>
      </c>
      <c r="O469">
        <v>6320</v>
      </c>
    </row>
    <row r="470" spans="1:15" x14ac:dyDescent="0.25">
      <c r="A470" t="s">
        <v>616</v>
      </c>
      <c r="B470">
        <v>45557</v>
      </c>
      <c r="C470" t="s">
        <v>56</v>
      </c>
      <c r="D470" t="s">
        <v>127</v>
      </c>
      <c r="E470" t="s">
        <v>134</v>
      </c>
      <c r="F470" t="s">
        <v>45</v>
      </c>
      <c r="G470" t="s">
        <v>46</v>
      </c>
      <c r="H470" t="s">
        <v>179</v>
      </c>
      <c r="I470" t="s">
        <v>180</v>
      </c>
      <c r="J470" t="s">
        <v>23</v>
      </c>
      <c r="K470" t="s">
        <v>119</v>
      </c>
      <c r="L470">
        <v>15</v>
      </c>
      <c r="M470">
        <v>3830</v>
      </c>
      <c r="N470">
        <v>0.2</v>
      </c>
      <c r="O470">
        <v>2960</v>
      </c>
    </row>
    <row r="471" spans="1:15" x14ac:dyDescent="0.25">
      <c r="A471" t="s">
        <v>617</v>
      </c>
      <c r="B471">
        <v>45557</v>
      </c>
      <c r="C471" t="s">
        <v>42</v>
      </c>
      <c r="D471" t="s">
        <v>146</v>
      </c>
      <c r="E471" t="s">
        <v>97</v>
      </c>
      <c r="F471" t="s">
        <v>52</v>
      </c>
      <c r="G471" t="s">
        <v>59</v>
      </c>
      <c r="H471" t="s">
        <v>73</v>
      </c>
      <c r="I471" t="s">
        <v>74</v>
      </c>
      <c r="J471" t="s">
        <v>40</v>
      </c>
      <c r="K471" t="s">
        <v>24</v>
      </c>
      <c r="L471">
        <v>2</v>
      </c>
      <c r="M471">
        <v>48150</v>
      </c>
      <c r="N471">
        <v>0.1</v>
      </c>
      <c r="O471">
        <v>36100</v>
      </c>
    </row>
    <row r="472" spans="1:15" x14ac:dyDescent="0.25">
      <c r="A472" t="s">
        <v>618</v>
      </c>
      <c r="B472">
        <v>45559</v>
      </c>
      <c r="C472" t="s">
        <v>16</v>
      </c>
      <c r="D472" t="s">
        <v>17</v>
      </c>
      <c r="E472" t="s">
        <v>18</v>
      </c>
      <c r="F472" t="s">
        <v>19</v>
      </c>
      <c r="G472" t="s">
        <v>83</v>
      </c>
      <c r="H472" t="s">
        <v>184</v>
      </c>
      <c r="I472" t="s">
        <v>196</v>
      </c>
      <c r="J472" t="s">
        <v>40</v>
      </c>
      <c r="K472" t="s">
        <v>24</v>
      </c>
      <c r="L472">
        <v>13</v>
      </c>
      <c r="M472">
        <v>3180</v>
      </c>
      <c r="N472">
        <v>0.15</v>
      </c>
      <c r="O472">
        <v>2400</v>
      </c>
    </row>
    <row r="473" spans="1:15" x14ac:dyDescent="0.25">
      <c r="A473" t="s">
        <v>619</v>
      </c>
      <c r="B473">
        <v>45559</v>
      </c>
      <c r="C473" t="s">
        <v>76</v>
      </c>
      <c r="D473" t="s">
        <v>150</v>
      </c>
      <c r="E473" t="s">
        <v>170</v>
      </c>
      <c r="F473" t="s">
        <v>92</v>
      </c>
      <c r="G473" t="s">
        <v>59</v>
      </c>
      <c r="H473" t="s">
        <v>73</v>
      </c>
      <c r="I473" t="s">
        <v>74</v>
      </c>
      <c r="J473" t="s">
        <v>40</v>
      </c>
      <c r="K473" t="s">
        <v>35</v>
      </c>
      <c r="L473">
        <v>9</v>
      </c>
      <c r="M473">
        <v>45100</v>
      </c>
      <c r="N473">
        <v>0</v>
      </c>
      <c r="O473">
        <v>31330</v>
      </c>
    </row>
    <row r="474" spans="1:15" x14ac:dyDescent="0.25">
      <c r="A474" t="s">
        <v>620</v>
      </c>
      <c r="B474">
        <v>45559</v>
      </c>
      <c r="C474" t="s">
        <v>76</v>
      </c>
      <c r="D474" t="s">
        <v>125</v>
      </c>
      <c r="E474" t="s">
        <v>78</v>
      </c>
      <c r="F474" t="s">
        <v>45</v>
      </c>
      <c r="G474" t="s">
        <v>46</v>
      </c>
      <c r="H474" t="s">
        <v>179</v>
      </c>
      <c r="I474" t="s">
        <v>221</v>
      </c>
      <c r="J474" t="s">
        <v>40</v>
      </c>
      <c r="K474" t="s">
        <v>24</v>
      </c>
      <c r="L474">
        <v>14</v>
      </c>
      <c r="M474">
        <v>1660</v>
      </c>
      <c r="N474">
        <v>0.2</v>
      </c>
      <c r="O474">
        <v>970</v>
      </c>
    </row>
    <row r="475" spans="1:15" x14ac:dyDescent="0.25">
      <c r="A475" t="s">
        <v>621</v>
      </c>
      <c r="B475">
        <v>45559</v>
      </c>
      <c r="C475" t="s">
        <v>16</v>
      </c>
      <c r="D475" t="s">
        <v>82</v>
      </c>
      <c r="E475" t="s">
        <v>32</v>
      </c>
      <c r="F475" t="s">
        <v>92</v>
      </c>
      <c r="G475" t="s">
        <v>46</v>
      </c>
      <c r="H475" t="s">
        <v>100</v>
      </c>
      <c r="I475" t="s">
        <v>101</v>
      </c>
      <c r="J475" t="s">
        <v>40</v>
      </c>
      <c r="K475" t="s">
        <v>24</v>
      </c>
      <c r="L475">
        <v>7</v>
      </c>
      <c r="M475">
        <v>2020</v>
      </c>
      <c r="N475">
        <v>0.08</v>
      </c>
      <c r="O475">
        <v>1350</v>
      </c>
    </row>
    <row r="476" spans="1:15" x14ac:dyDescent="0.25">
      <c r="A476" t="s">
        <v>622</v>
      </c>
      <c r="B476">
        <v>45561</v>
      </c>
      <c r="C476" t="s">
        <v>16</v>
      </c>
      <c r="D476" t="s">
        <v>31</v>
      </c>
      <c r="E476" t="s">
        <v>26</v>
      </c>
      <c r="F476" t="s">
        <v>52</v>
      </c>
      <c r="G476" t="s">
        <v>20</v>
      </c>
      <c r="H476" t="s">
        <v>87</v>
      </c>
      <c r="I476" t="s">
        <v>88</v>
      </c>
      <c r="J476" t="s">
        <v>40</v>
      </c>
      <c r="K476" t="s">
        <v>24</v>
      </c>
      <c r="L476">
        <v>2</v>
      </c>
      <c r="M476">
        <v>31490</v>
      </c>
      <c r="N476">
        <v>0.2</v>
      </c>
      <c r="O476">
        <v>20730</v>
      </c>
    </row>
    <row r="477" spans="1:15" x14ac:dyDescent="0.25">
      <c r="A477" t="s">
        <v>623</v>
      </c>
      <c r="B477">
        <v>45561</v>
      </c>
      <c r="C477" t="s">
        <v>37</v>
      </c>
      <c r="D477" t="s">
        <v>115</v>
      </c>
      <c r="E477" t="s">
        <v>39</v>
      </c>
      <c r="F477" t="s">
        <v>19</v>
      </c>
      <c r="G477" t="s">
        <v>27</v>
      </c>
      <c r="H477" t="s">
        <v>53</v>
      </c>
      <c r="I477" t="s">
        <v>131</v>
      </c>
      <c r="J477" t="s">
        <v>49</v>
      </c>
      <c r="K477" t="s">
        <v>24</v>
      </c>
      <c r="L477">
        <v>3</v>
      </c>
      <c r="M477">
        <v>34720</v>
      </c>
      <c r="N477">
        <v>0.1</v>
      </c>
      <c r="O477">
        <v>19900</v>
      </c>
    </row>
    <row r="478" spans="1:15" x14ac:dyDescent="0.25">
      <c r="A478" t="s">
        <v>624</v>
      </c>
      <c r="B478">
        <v>45561</v>
      </c>
      <c r="C478" t="s">
        <v>56</v>
      </c>
      <c r="D478" t="s">
        <v>127</v>
      </c>
      <c r="E478" t="s">
        <v>134</v>
      </c>
      <c r="F478" t="s">
        <v>19</v>
      </c>
      <c r="G478" t="s">
        <v>20</v>
      </c>
      <c r="H478" t="s">
        <v>21</v>
      </c>
      <c r="I478" t="s">
        <v>22</v>
      </c>
      <c r="J478" t="s">
        <v>49</v>
      </c>
      <c r="K478" t="s">
        <v>24</v>
      </c>
      <c r="L478">
        <v>36</v>
      </c>
      <c r="M478">
        <v>1890</v>
      </c>
      <c r="N478">
        <v>0.05</v>
      </c>
      <c r="O478">
        <v>1490</v>
      </c>
    </row>
    <row r="479" spans="1:15" x14ac:dyDescent="0.25">
      <c r="A479" t="s">
        <v>625</v>
      </c>
      <c r="B479">
        <v>45561</v>
      </c>
      <c r="C479" t="s">
        <v>56</v>
      </c>
      <c r="D479" t="s">
        <v>127</v>
      </c>
      <c r="E479" t="s">
        <v>58</v>
      </c>
      <c r="F479" t="s">
        <v>52</v>
      </c>
      <c r="G479" t="s">
        <v>20</v>
      </c>
      <c r="H479" t="s">
        <v>87</v>
      </c>
      <c r="I479" t="s">
        <v>88</v>
      </c>
      <c r="J479" t="s">
        <v>40</v>
      </c>
      <c r="K479" t="s">
        <v>119</v>
      </c>
      <c r="L479">
        <v>3</v>
      </c>
      <c r="M479">
        <v>33840</v>
      </c>
      <c r="N479">
        <v>0</v>
      </c>
      <c r="O479">
        <v>23250</v>
      </c>
    </row>
    <row r="480" spans="1:15" x14ac:dyDescent="0.25">
      <c r="A480" t="s">
        <v>626</v>
      </c>
      <c r="B480">
        <v>45561</v>
      </c>
      <c r="C480" t="s">
        <v>16</v>
      </c>
      <c r="D480" t="s">
        <v>17</v>
      </c>
      <c r="E480" t="s">
        <v>18</v>
      </c>
      <c r="F480" t="s">
        <v>52</v>
      </c>
      <c r="G480" t="s">
        <v>59</v>
      </c>
      <c r="H480" t="s">
        <v>154</v>
      </c>
      <c r="I480" t="s">
        <v>155</v>
      </c>
      <c r="J480" t="s">
        <v>40</v>
      </c>
      <c r="K480" t="s">
        <v>24</v>
      </c>
      <c r="L480">
        <v>1</v>
      </c>
      <c r="M480">
        <v>12130</v>
      </c>
      <c r="N480">
        <v>0.1</v>
      </c>
      <c r="O480">
        <v>8990</v>
      </c>
    </row>
    <row r="481" spans="1:15" x14ac:dyDescent="0.25">
      <c r="A481" t="s">
        <v>627</v>
      </c>
      <c r="B481">
        <v>45562</v>
      </c>
      <c r="C481" t="s">
        <v>42</v>
      </c>
      <c r="D481" t="s">
        <v>146</v>
      </c>
      <c r="E481" t="s">
        <v>97</v>
      </c>
      <c r="F481" t="s">
        <v>52</v>
      </c>
      <c r="G481" t="s">
        <v>20</v>
      </c>
      <c r="H481" t="s">
        <v>109</v>
      </c>
      <c r="I481" t="s">
        <v>159</v>
      </c>
      <c r="J481" t="s">
        <v>40</v>
      </c>
      <c r="K481" t="s">
        <v>24</v>
      </c>
      <c r="L481">
        <v>5</v>
      </c>
      <c r="M481">
        <v>17370</v>
      </c>
      <c r="N481">
        <v>0.05</v>
      </c>
      <c r="O481">
        <v>12710</v>
      </c>
    </row>
    <row r="482" spans="1:15" x14ac:dyDescent="0.25">
      <c r="A482" t="s">
        <v>628</v>
      </c>
      <c r="B482">
        <v>45562</v>
      </c>
      <c r="C482" t="s">
        <v>56</v>
      </c>
      <c r="D482" t="s">
        <v>127</v>
      </c>
      <c r="E482" t="s">
        <v>134</v>
      </c>
      <c r="F482" t="s">
        <v>52</v>
      </c>
      <c r="G482" t="s">
        <v>27</v>
      </c>
      <c r="H482" t="s">
        <v>214</v>
      </c>
      <c r="I482" t="s">
        <v>215</v>
      </c>
      <c r="J482" t="s">
        <v>40</v>
      </c>
      <c r="K482" t="s">
        <v>24</v>
      </c>
      <c r="L482">
        <v>3</v>
      </c>
      <c r="M482">
        <v>33360</v>
      </c>
      <c r="N482">
        <v>0.12</v>
      </c>
      <c r="O482">
        <v>24090</v>
      </c>
    </row>
    <row r="483" spans="1:15" x14ac:dyDescent="0.25">
      <c r="A483" t="s">
        <v>629</v>
      </c>
      <c r="B483">
        <v>45562</v>
      </c>
      <c r="C483" t="s">
        <v>56</v>
      </c>
      <c r="D483" t="s">
        <v>103</v>
      </c>
      <c r="E483" t="s">
        <v>58</v>
      </c>
      <c r="F483" t="s">
        <v>19</v>
      </c>
      <c r="G483" t="s">
        <v>27</v>
      </c>
      <c r="H483" t="s">
        <v>214</v>
      </c>
      <c r="I483" t="s">
        <v>215</v>
      </c>
      <c r="J483" t="s">
        <v>23</v>
      </c>
      <c r="K483" t="s">
        <v>24</v>
      </c>
      <c r="L483">
        <v>3</v>
      </c>
      <c r="M483">
        <v>32800</v>
      </c>
      <c r="N483">
        <v>0.15</v>
      </c>
      <c r="O483">
        <v>22330</v>
      </c>
    </row>
    <row r="484" spans="1:15" x14ac:dyDescent="0.25">
      <c r="A484" t="s">
        <v>630</v>
      </c>
      <c r="B484">
        <v>45562</v>
      </c>
      <c r="C484" t="s">
        <v>16</v>
      </c>
      <c r="D484" t="s">
        <v>17</v>
      </c>
      <c r="E484" t="s">
        <v>32</v>
      </c>
      <c r="F484" t="s">
        <v>92</v>
      </c>
      <c r="G484" t="s">
        <v>83</v>
      </c>
      <c r="H484" t="s">
        <v>84</v>
      </c>
      <c r="I484" t="s">
        <v>85</v>
      </c>
      <c r="J484" t="s">
        <v>40</v>
      </c>
      <c r="K484" t="s">
        <v>24</v>
      </c>
      <c r="L484">
        <v>49</v>
      </c>
      <c r="M484">
        <v>2510</v>
      </c>
      <c r="N484">
        <v>0.18</v>
      </c>
      <c r="O484">
        <v>1590</v>
      </c>
    </row>
    <row r="485" spans="1:15" x14ac:dyDescent="0.25">
      <c r="A485" t="s">
        <v>631</v>
      </c>
      <c r="B485">
        <v>45565</v>
      </c>
      <c r="C485" t="s">
        <v>16</v>
      </c>
      <c r="D485" t="s">
        <v>191</v>
      </c>
      <c r="E485" t="s">
        <v>32</v>
      </c>
      <c r="F485" t="s">
        <v>45</v>
      </c>
      <c r="G485" t="s">
        <v>59</v>
      </c>
      <c r="H485" t="s">
        <v>60</v>
      </c>
      <c r="I485" t="s">
        <v>61</v>
      </c>
      <c r="J485" t="s">
        <v>40</v>
      </c>
      <c r="K485" t="s">
        <v>94</v>
      </c>
      <c r="L485">
        <v>11</v>
      </c>
      <c r="M485">
        <v>25370</v>
      </c>
      <c r="N485">
        <v>0.05</v>
      </c>
      <c r="O485">
        <v>15140</v>
      </c>
    </row>
    <row r="486" spans="1:15" x14ac:dyDescent="0.25">
      <c r="A486" t="s">
        <v>632</v>
      </c>
      <c r="B486">
        <v>45565</v>
      </c>
      <c r="C486" t="s">
        <v>56</v>
      </c>
      <c r="D486" t="s">
        <v>103</v>
      </c>
      <c r="E486" t="s">
        <v>134</v>
      </c>
      <c r="F486" t="s">
        <v>92</v>
      </c>
      <c r="G486" t="s">
        <v>20</v>
      </c>
      <c r="H486" t="s">
        <v>21</v>
      </c>
      <c r="I486" t="s">
        <v>22</v>
      </c>
      <c r="J486" t="s">
        <v>23</v>
      </c>
      <c r="K486" t="s">
        <v>24</v>
      </c>
      <c r="L486">
        <v>11</v>
      </c>
      <c r="M486">
        <v>1800</v>
      </c>
      <c r="N486">
        <v>0.1</v>
      </c>
      <c r="O486">
        <v>1260</v>
      </c>
    </row>
    <row r="487" spans="1:15" x14ac:dyDescent="0.25">
      <c r="A487" t="s">
        <v>633</v>
      </c>
      <c r="B487">
        <v>45566</v>
      </c>
      <c r="C487" t="s">
        <v>42</v>
      </c>
      <c r="D487" t="s">
        <v>146</v>
      </c>
      <c r="E487" t="s">
        <v>97</v>
      </c>
      <c r="F487" t="s">
        <v>19</v>
      </c>
      <c r="G487" t="s">
        <v>59</v>
      </c>
      <c r="H487" t="s">
        <v>154</v>
      </c>
      <c r="I487" t="s">
        <v>249</v>
      </c>
      <c r="J487" t="s">
        <v>40</v>
      </c>
      <c r="K487" t="s">
        <v>24</v>
      </c>
      <c r="L487">
        <v>5</v>
      </c>
      <c r="M487">
        <v>6570</v>
      </c>
      <c r="N487">
        <v>0.15</v>
      </c>
      <c r="O487">
        <v>5090</v>
      </c>
    </row>
    <row r="488" spans="1:15" x14ac:dyDescent="0.25">
      <c r="A488" t="s">
        <v>634</v>
      </c>
      <c r="B488">
        <v>45566</v>
      </c>
      <c r="C488" t="s">
        <v>42</v>
      </c>
      <c r="D488" t="s">
        <v>96</v>
      </c>
      <c r="E488" t="s">
        <v>44</v>
      </c>
      <c r="F488" t="s">
        <v>19</v>
      </c>
      <c r="G488" t="s">
        <v>20</v>
      </c>
      <c r="H488" t="s">
        <v>87</v>
      </c>
      <c r="I488" t="s">
        <v>105</v>
      </c>
      <c r="J488" t="s">
        <v>49</v>
      </c>
      <c r="K488" t="s">
        <v>119</v>
      </c>
      <c r="L488">
        <v>1</v>
      </c>
      <c r="M488">
        <v>56060</v>
      </c>
      <c r="N488">
        <v>0.1</v>
      </c>
      <c r="O488">
        <v>38300</v>
      </c>
    </row>
    <row r="489" spans="1:15" x14ac:dyDescent="0.25">
      <c r="A489" t="s">
        <v>635</v>
      </c>
      <c r="B489">
        <v>45566</v>
      </c>
      <c r="C489" t="s">
        <v>42</v>
      </c>
      <c r="D489" t="s">
        <v>265</v>
      </c>
      <c r="E489" t="s">
        <v>44</v>
      </c>
      <c r="F489" t="s">
        <v>19</v>
      </c>
      <c r="G489" t="s">
        <v>27</v>
      </c>
      <c r="H489" t="s">
        <v>214</v>
      </c>
      <c r="I489" t="s">
        <v>252</v>
      </c>
      <c r="J489" t="s">
        <v>40</v>
      </c>
      <c r="K489" t="s">
        <v>24</v>
      </c>
      <c r="L489">
        <v>5</v>
      </c>
      <c r="M489">
        <v>13710</v>
      </c>
      <c r="N489">
        <v>0</v>
      </c>
      <c r="O489">
        <v>9790</v>
      </c>
    </row>
    <row r="490" spans="1:15" x14ac:dyDescent="0.25">
      <c r="A490" t="s">
        <v>636</v>
      </c>
      <c r="B490">
        <v>45567</v>
      </c>
      <c r="C490" t="s">
        <v>37</v>
      </c>
      <c r="D490" t="s">
        <v>115</v>
      </c>
      <c r="E490" t="s">
        <v>68</v>
      </c>
      <c r="F490" t="s">
        <v>19</v>
      </c>
      <c r="G490" t="s">
        <v>59</v>
      </c>
      <c r="H490" t="s">
        <v>69</v>
      </c>
      <c r="I490" t="s">
        <v>121</v>
      </c>
      <c r="J490" t="s">
        <v>23</v>
      </c>
      <c r="K490" t="s">
        <v>35</v>
      </c>
      <c r="L490">
        <v>6</v>
      </c>
      <c r="M490">
        <v>3460</v>
      </c>
      <c r="N490">
        <v>0.2</v>
      </c>
      <c r="O490">
        <v>2370</v>
      </c>
    </row>
    <row r="491" spans="1:15" x14ac:dyDescent="0.25">
      <c r="A491" t="s">
        <v>637</v>
      </c>
      <c r="B491">
        <v>45568</v>
      </c>
      <c r="C491" t="s">
        <v>42</v>
      </c>
      <c r="D491" t="s">
        <v>123</v>
      </c>
      <c r="E491" t="s">
        <v>97</v>
      </c>
      <c r="F491" t="s">
        <v>19</v>
      </c>
      <c r="G491" t="s">
        <v>27</v>
      </c>
      <c r="H491" t="s">
        <v>28</v>
      </c>
      <c r="I491" t="s">
        <v>141</v>
      </c>
      <c r="J491" t="s">
        <v>23</v>
      </c>
      <c r="K491" t="s">
        <v>24</v>
      </c>
      <c r="L491">
        <v>3</v>
      </c>
      <c r="M491">
        <v>15540</v>
      </c>
      <c r="N491">
        <v>0.1</v>
      </c>
      <c r="O491">
        <v>10290</v>
      </c>
    </row>
    <row r="492" spans="1:15" x14ac:dyDescent="0.25">
      <c r="A492" t="s">
        <v>638</v>
      </c>
      <c r="B492">
        <v>45568</v>
      </c>
      <c r="C492" t="s">
        <v>37</v>
      </c>
      <c r="D492" t="s">
        <v>213</v>
      </c>
      <c r="E492" t="s">
        <v>68</v>
      </c>
      <c r="F492" t="s">
        <v>92</v>
      </c>
      <c r="G492" t="s">
        <v>59</v>
      </c>
      <c r="H492" t="s">
        <v>60</v>
      </c>
      <c r="I492" t="s">
        <v>200</v>
      </c>
      <c r="J492" t="s">
        <v>23</v>
      </c>
      <c r="K492" t="s">
        <v>119</v>
      </c>
      <c r="L492">
        <v>12</v>
      </c>
      <c r="M492">
        <v>8460</v>
      </c>
      <c r="N492">
        <v>0.18</v>
      </c>
      <c r="O492">
        <v>5420</v>
      </c>
    </row>
    <row r="493" spans="1:15" x14ac:dyDescent="0.25">
      <c r="A493" t="s">
        <v>639</v>
      </c>
      <c r="B493">
        <v>45569</v>
      </c>
      <c r="C493" t="s">
        <v>16</v>
      </c>
      <c r="D493" t="s">
        <v>51</v>
      </c>
      <c r="E493" t="s">
        <v>18</v>
      </c>
      <c r="F493" t="s">
        <v>19</v>
      </c>
      <c r="G493" t="s">
        <v>20</v>
      </c>
      <c r="H493" t="s">
        <v>109</v>
      </c>
      <c r="I493" t="s">
        <v>159</v>
      </c>
      <c r="J493" t="s">
        <v>40</v>
      </c>
      <c r="K493" t="s">
        <v>24</v>
      </c>
      <c r="L493">
        <v>8</v>
      </c>
      <c r="M493">
        <v>17240</v>
      </c>
      <c r="N493">
        <v>0.1</v>
      </c>
      <c r="O493">
        <v>13330</v>
      </c>
    </row>
    <row r="494" spans="1:15" x14ac:dyDescent="0.25">
      <c r="A494" t="s">
        <v>640</v>
      </c>
      <c r="B494">
        <v>45569</v>
      </c>
      <c r="C494" t="s">
        <v>16</v>
      </c>
      <c r="D494" t="s">
        <v>51</v>
      </c>
      <c r="E494" t="s">
        <v>26</v>
      </c>
      <c r="F494" t="s">
        <v>92</v>
      </c>
      <c r="G494" t="s">
        <v>46</v>
      </c>
      <c r="H494" t="s">
        <v>47</v>
      </c>
      <c r="I494" t="s">
        <v>259</v>
      </c>
      <c r="J494" t="s">
        <v>40</v>
      </c>
      <c r="K494" t="s">
        <v>24</v>
      </c>
      <c r="L494">
        <v>10</v>
      </c>
      <c r="M494">
        <v>2960</v>
      </c>
      <c r="N494">
        <v>0</v>
      </c>
      <c r="O494">
        <v>1970</v>
      </c>
    </row>
    <row r="495" spans="1:15" x14ac:dyDescent="0.25">
      <c r="A495" t="s">
        <v>641</v>
      </c>
      <c r="B495">
        <v>45569</v>
      </c>
      <c r="C495" t="s">
        <v>42</v>
      </c>
      <c r="D495" t="s">
        <v>265</v>
      </c>
      <c r="E495" t="s">
        <v>64</v>
      </c>
      <c r="F495" t="s">
        <v>92</v>
      </c>
      <c r="G495" t="s">
        <v>46</v>
      </c>
      <c r="H495" t="s">
        <v>179</v>
      </c>
      <c r="I495" t="s">
        <v>180</v>
      </c>
      <c r="J495" t="s">
        <v>40</v>
      </c>
      <c r="K495" t="s">
        <v>24</v>
      </c>
      <c r="L495">
        <v>12</v>
      </c>
      <c r="M495">
        <v>3770</v>
      </c>
      <c r="N495">
        <v>0.05</v>
      </c>
      <c r="O495">
        <v>2720</v>
      </c>
    </row>
    <row r="496" spans="1:15" x14ac:dyDescent="0.25">
      <c r="A496" t="s">
        <v>642</v>
      </c>
      <c r="B496">
        <v>45569</v>
      </c>
      <c r="C496" t="s">
        <v>37</v>
      </c>
      <c r="D496" t="s">
        <v>161</v>
      </c>
      <c r="E496" t="s">
        <v>68</v>
      </c>
      <c r="F496" t="s">
        <v>92</v>
      </c>
      <c r="G496" t="s">
        <v>20</v>
      </c>
      <c r="H496" t="s">
        <v>33</v>
      </c>
      <c r="I496" t="s">
        <v>139</v>
      </c>
      <c r="J496" t="s">
        <v>23</v>
      </c>
      <c r="K496" t="s">
        <v>24</v>
      </c>
      <c r="L496">
        <v>4</v>
      </c>
      <c r="M496">
        <v>66350</v>
      </c>
      <c r="N496">
        <v>0.08</v>
      </c>
      <c r="O496">
        <v>41330</v>
      </c>
    </row>
    <row r="497" spans="1:15" x14ac:dyDescent="0.25">
      <c r="A497" t="s">
        <v>643</v>
      </c>
      <c r="B497">
        <v>45571</v>
      </c>
      <c r="C497" t="s">
        <v>37</v>
      </c>
      <c r="D497" t="s">
        <v>115</v>
      </c>
      <c r="E497" t="s">
        <v>68</v>
      </c>
      <c r="F497" t="s">
        <v>19</v>
      </c>
      <c r="G497" t="s">
        <v>20</v>
      </c>
      <c r="H497" t="s">
        <v>21</v>
      </c>
      <c r="I497" t="s">
        <v>22</v>
      </c>
      <c r="J497" t="s">
        <v>40</v>
      </c>
      <c r="K497" t="s">
        <v>24</v>
      </c>
      <c r="L497">
        <v>17</v>
      </c>
      <c r="M497">
        <v>1920</v>
      </c>
      <c r="N497">
        <v>0.18</v>
      </c>
      <c r="O497">
        <v>1170</v>
      </c>
    </row>
    <row r="498" spans="1:15" x14ac:dyDescent="0.25">
      <c r="A498" t="s">
        <v>644</v>
      </c>
      <c r="B498">
        <v>45572</v>
      </c>
      <c r="C498" t="s">
        <v>16</v>
      </c>
      <c r="D498" t="s">
        <v>191</v>
      </c>
      <c r="E498" t="s">
        <v>18</v>
      </c>
      <c r="F498" t="s">
        <v>92</v>
      </c>
      <c r="G498" t="s">
        <v>46</v>
      </c>
      <c r="H498" t="s">
        <v>100</v>
      </c>
      <c r="I498" t="s">
        <v>101</v>
      </c>
      <c r="J498" t="s">
        <v>23</v>
      </c>
      <c r="K498" t="s">
        <v>24</v>
      </c>
      <c r="L498">
        <v>14</v>
      </c>
      <c r="M498">
        <v>2000</v>
      </c>
      <c r="N498">
        <v>0.25</v>
      </c>
      <c r="O498">
        <v>1320</v>
      </c>
    </row>
    <row r="499" spans="1:15" x14ac:dyDescent="0.25">
      <c r="A499" t="s">
        <v>645</v>
      </c>
      <c r="B499">
        <v>45572</v>
      </c>
      <c r="C499" t="s">
        <v>37</v>
      </c>
      <c r="D499" t="s">
        <v>67</v>
      </c>
      <c r="E499" t="s">
        <v>39</v>
      </c>
      <c r="F499" t="s">
        <v>92</v>
      </c>
      <c r="G499" t="s">
        <v>27</v>
      </c>
      <c r="H499" t="s">
        <v>53</v>
      </c>
      <c r="I499" t="s">
        <v>54</v>
      </c>
      <c r="J499" t="s">
        <v>40</v>
      </c>
      <c r="K499" t="s">
        <v>35</v>
      </c>
      <c r="L499">
        <v>3</v>
      </c>
      <c r="M499">
        <v>40750</v>
      </c>
      <c r="N499">
        <v>0.18</v>
      </c>
      <c r="O499">
        <v>25660</v>
      </c>
    </row>
    <row r="500" spans="1:15" x14ac:dyDescent="0.25">
      <c r="A500" t="s">
        <v>646</v>
      </c>
      <c r="B500">
        <v>45573</v>
      </c>
      <c r="C500" t="s">
        <v>42</v>
      </c>
      <c r="D500" t="s">
        <v>96</v>
      </c>
      <c r="E500" t="s">
        <v>64</v>
      </c>
      <c r="F500" t="s">
        <v>19</v>
      </c>
      <c r="G500" t="s">
        <v>46</v>
      </c>
      <c r="H500" t="s">
        <v>47</v>
      </c>
      <c r="I500" t="s">
        <v>259</v>
      </c>
      <c r="J500" t="s">
        <v>49</v>
      </c>
      <c r="K500" t="s">
        <v>24</v>
      </c>
      <c r="L500">
        <v>29</v>
      </c>
      <c r="M500">
        <v>2730</v>
      </c>
      <c r="N500">
        <v>0</v>
      </c>
      <c r="O500">
        <v>1910</v>
      </c>
    </row>
    <row r="501" spans="1:15" x14ac:dyDescent="0.25">
      <c r="A501" t="s">
        <v>647</v>
      </c>
      <c r="B501">
        <v>45573</v>
      </c>
      <c r="C501" t="s">
        <v>56</v>
      </c>
      <c r="D501" t="s">
        <v>72</v>
      </c>
      <c r="E501" t="s">
        <v>58</v>
      </c>
      <c r="F501" t="s">
        <v>45</v>
      </c>
      <c r="G501" t="s">
        <v>27</v>
      </c>
      <c r="H501" t="s">
        <v>28</v>
      </c>
      <c r="I501" t="s">
        <v>29</v>
      </c>
      <c r="J501" t="s">
        <v>23</v>
      </c>
      <c r="K501" t="s">
        <v>24</v>
      </c>
      <c r="L501">
        <v>6</v>
      </c>
      <c r="M501">
        <v>29030</v>
      </c>
      <c r="N501">
        <v>0.1</v>
      </c>
      <c r="O501">
        <v>18430</v>
      </c>
    </row>
    <row r="502" spans="1:15" x14ac:dyDescent="0.25">
      <c r="A502" t="s">
        <v>648</v>
      </c>
      <c r="B502">
        <v>45573</v>
      </c>
      <c r="C502" t="s">
        <v>37</v>
      </c>
      <c r="D502" t="s">
        <v>161</v>
      </c>
      <c r="E502" t="s">
        <v>39</v>
      </c>
      <c r="F502" t="s">
        <v>19</v>
      </c>
      <c r="G502" t="s">
        <v>20</v>
      </c>
      <c r="H502" t="s">
        <v>109</v>
      </c>
      <c r="I502" t="s">
        <v>110</v>
      </c>
      <c r="J502" t="s">
        <v>23</v>
      </c>
      <c r="K502" t="s">
        <v>24</v>
      </c>
      <c r="L502">
        <v>1</v>
      </c>
      <c r="M502">
        <v>71970</v>
      </c>
      <c r="N502">
        <v>0.1</v>
      </c>
      <c r="O502">
        <v>46810</v>
      </c>
    </row>
    <row r="503" spans="1:15" x14ac:dyDescent="0.25">
      <c r="A503" t="s">
        <v>649</v>
      </c>
      <c r="B503">
        <v>45573</v>
      </c>
      <c r="C503" t="s">
        <v>76</v>
      </c>
      <c r="D503" t="s">
        <v>77</v>
      </c>
      <c r="E503" t="s">
        <v>78</v>
      </c>
      <c r="F503" t="s">
        <v>92</v>
      </c>
      <c r="G503" t="s">
        <v>20</v>
      </c>
      <c r="H503" t="s">
        <v>109</v>
      </c>
      <c r="I503" t="s">
        <v>110</v>
      </c>
      <c r="J503" t="s">
        <v>49</v>
      </c>
      <c r="K503" t="s">
        <v>119</v>
      </c>
      <c r="L503">
        <v>2</v>
      </c>
      <c r="M503">
        <v>64930</v>
      </c>
      <c r="N503">
        <v>0.25</v>
      </c>
      <c r="O503">
        <v>49710</v>
      </c>
    </row>
    <row r="504" spans="1:15" x14ac:dyDescent="0.25">
      <c r="A504" t="s">
        <v>650</v>
      </c>
      <c r="B504">
        <v>45573</v>
      </c>
      <c r="C504" t="s">
        <v>16</v>
      </c>
      <c r="D504" t="s">
        <v>82</v>
      </c>
      <c r="E504" t="s">
        <v>26</v>
      </c>
      <c r="F504" t="s">
        <v>92</v>
      </c>
      <c r="G504" t="s">
        <v>27</v>
      </c>
      <c r="H504" t="s">
        <v>214</v>
      </c>
      <c r="I504" t="s">
        <v>252</v>
      </c>
      <c r="J504" t="s">
        <v>40</v>
      </c>
      <c r="K504" t="s">
        <v>94</v>
      </c>
      <c r="L504">
        <v>9</v>
      </c>
      <c r="M504">
        <v>13360</v>
      </c>
      <c r="N504">
        <v>0.08</v>
      </c>
      <c r="O504">
        <v>10210</v>
      </c>
    </row>
    <row r="505" spans="1:15" x14ac:dyDescent="0.25">
      <c r="A505" t="s">
        <v>651</v>
      </c>
      <c r="B505">
        <v>45574</v>
      </c>
      <c r="C505" t="s">
        <v>76</v>
      </c>
      <c r="D505" t="s">
        <v>112</v>
      </c>
      <c r="E505" t="s">
        <v>170</v>
      </c>
      <c r="F505" t="s">
        <v>45</v>
      </c>
      <c r="G505" t="s">
        <v>27</v>
      </c>
      <c r="H505" t="s">
        <v>28</v>
      </c>
      <c r="I505" t="s">
        <v>141</v>
      </c>
      <c r="J505" t="s">
        <v>40</v>
      </c>
      <c r="K505" t="s">
        <v>119</v>
      </c>
      <c r="L505">
        <v>2</v>
      </c>
      <c r="M505">
        <v>16550</v>
      </c>
      <c r="N505">
        <v>0.25</v>
      </c>
      <c r="O505">
        <v>11060</v>
      </c>
    </row>
    <row r="506" spans="1:15" x14ac:dyDescent="0.25">
      <c r="A506" t="s">
        <v>652</v>
      </c>
      <c r="B506">
        <v>45574</v>
      </c>
      <c r="C506" t="s">
        <v>16</v>
      </c>
      <c r="D506" t="s">
        <v>31</v>
      </c>
      <c r="E506" t="s">
        <v>18</v>
      </c>
      <c r="F506" t="s">
        <v>19</v>
      </c>
      <c r="G506" t="s">
        <v>59</v>
      </c>
      <c r="H506" t="s">
        <v>69</v>
      </c>
      <c r="I506" t="s">
        <v>70</v>
      </c>
      <c r="J506" t="s">
        <v>23</v>
      </c>
      <c r="K506" t="s">
        <v>24</v>
      </c>
      <c r="L506">
        <v>6</v>
      </c>
      <c r="M506">
        <v>28620</v>
      </c>
      <c r="N506">
        <v>0</v>
      </c>
      <c r="O506">
        <v>21190</v>
      </c>
    </row>
    <row r="507" spans="1:15" x14ac:dyDescent="0.25">
      <c r="A507" t="s">
        <v>653</v>
      </c>
      <c r="B507">
        <v>45574</v>
      </c>
      <c r="C507" t="s">
        <v>16</v>
      </c>
      <c r="D507" t="s">
        <v>51</v>
      </c>
      <c r="E507" t="s">
        <v>32</v>
      </c>
      <c r="F507" t="s">
        <v>52</v>
      </c>
      <c r="G507" t="s">
        <v>46</v>
      </c>
      <c r="H507" t="s">
        <v>47</v>
      </c>
      <c r="I507" t="s">
        <v>259</v>
      </c>
      <c r="J507" t="s">
        <v>40</v>
      </c>
      <c r="K507" t="s">
        <v>24</v>
      </c>
      <c r="L507">
        <v>5</v>
      </c>
      <c r="M507">
        <v>2960</v>
      </c>
      <c r="N507">
        <v>0.1</v>
      </c>
      <c r="O507">
        <v>1940</v>
      </c>
    </row>
    <row r="508" spans="1:15" x14ac:dyDescent="0.25">
      <c r="A508" t="s">
        <v>654</v>
      </c>
      <c r="B508">
        <v>45574</v>
      </c>
      <c r="C508" t="s">
        <v>42</v>
      </c>
      <c r="D508" t="s">
        <v>146</v>
      </c>
      <c r="E508" t="s">
        <v>97</v>
      </c>
      <c r="F508" t="s">
        <v>19</v>
      </c>
      <c r="G508" t="s">
        <v>20</v>
      </c>
      <c r="H508" t="s">
        <v>33</v>
      </c>
      <c r="I508" t="s">
        <v>139</v>
      </c>
      <c r="J508" t="s">
        <v>40</v>
      </c>
      <c r="K508" t="s">
        <v>24</v>
      </c>
      <c r="L508">
        <v>3</v>
      </c>
      <c r="M508">
        <v>63890</v>
      </c>
      <c r="N508">
        <v>0.08</v>
      </c>
      <c r="O508">
        <v>41470</v>
      </c>
    </row>
    <row r="509" spans="1:15" x14ac:dyDescent="0.25">
      <c r="A509" t="s">
        <v>655</v>
      </c>
      <c r="B509">
        <v>45575</v>
      </c>
      <c r="C509" t="s">
        <v>42</v>
      </c>
      <c r="D509" t="s">
        <v>123</v>
      </c>
      <c r="E509" t="s">
        <v>97</v>
      </c>
      <c r="F509" t="s">
        <v>92</v>
      </c>
      <c r="G509" t="s">
        <v>59</v>
      </c>
      <c r="H509" t="s">
        <v>69</v>
      </c>
      <c r="I509" t="s">
        <v>70</v>
      </c>
      <c r="J509" t="s">
        <v>23</v>
      </c>
      <c r="K509" t="s">
        <v>24</v>
      </c>
      <c r="L509">
        <v>2</v>
      </c>
      <c r="M509">
        <v>29170</v>
      </c>
      <c r="N509">
        <v>0.1</v>
      </c>
      <c r="O509">
        <v>19780</v>
      </c>
    </row>
    <row r="510" spans="1:15" x14ac:dyDescent="0.25">
      <c r="A510" t="s">
        <v>656</v>
      </c>
      <c r="B510">
        <v>45575</v>
      </c>
      <c r="C510" t="s">
        <v>56</v>
      </c>
      <c r="D510" t="s">
        <v>57</v>
      </c>
      <c r="E510" t="s">
        <v>58</v>
      </c>
      <c r="F510" t="s">
        <v>19</v>
      </c>
      <c r="G510" t="s">
        <v>27</v>
      </c>
      <c r="H510" t="s">
        <v>53</v>
      </c>
      <c r="I510" t="s">
        <v>54</v>
      </c>
      <c r="J510" t="s">
        <v>23</v>
      </c>
      <c r="K510" t="s">
        <v>24</v>
      </c>
      <c r="L510">
        <v>3</v>
      </c>
      <c r="M510">
        <v>45030</v>
      </c>
      <c r="N510">
        <v>0.12</v>
      </c>
      <c r="O510">
        <v>34700</v>
      </c>
    </row>
    <row r="511" spans="1:15" x14ac:dyDescent="0.25">
      <c r="A511" t="s">
        <v>657</v>
      </c>
      <c r="B511">
        <v>45575</v>
      </c>
      <c r="C511" t="s">
        <v>76</v>
      </c>
      <c r="D511" t="s">
        <v>150</v>
      </c>
      <c r="E511" t="s">
        <v>78</v>
      </c>
      <c r="F511" t="s">
        <v>19</v>
      </c>
      <c r="G511" t="s">
        <v>27</v>
      </c>
      <c r="H511" t="s">
        <v>214</v>
      </c>
      <c r="I511" t="s">
        <v>215</v>
      </c>
      <c r="J511" t="s">
        <v>23</v>
      </c>
      <c r="K511" t="s">
        <v>24</v>
      </c>
      <c r="L511">
        <v>2</v>
      </c>
      <c r="M511">
        <v>35020</v>
      </c>
      <c r="N511">
        <v>0</v>
      </c>
      <c r="O511">
        <v>27630</v>
      </c>
    </row>
    <row r="512" spans="1:15" x14ac:dyDescent="0.25">
      <c r="A512" t="s">
        <v>658</v>
      </c>
      <c r="B512">
        <v>45575</v>
      </c>
      <c r="C512" t="s">
        <v>16</v>
      </c>
      <c r="D512" t="s">
        <v>153</v>
      </c>
      <c r="E512" t="s">
        <v>26</v>
      </c>
      <c r="F512" t="s">
        <v>92</v>
      </c>
      <c r="G512" t="s">
        <v>59</v>
      </c>
      <c r="H512" t="s">
        <v>69</v>
      </c>
      <c r="I512" t="s">
        <v>121</v>
      </c>
      <c r="J512" t="s">
        <v>23</v>
      </c>
      <c r="K512" t="s">
        <v>24</v>
      </c>
      <c r="L512">
        <v>8</v>
      </c>
      <c r="M512">
        <v>3580</v>
      </c>
      <c r="N512">
        <v>0.15</v>
      </c>
      <c r="O512">
        <v>2020</v>
      </c>
    </row>
    <row r="513" spans="1:15" x14ac:dyDescent="0.25">
      <c r="A513" t="s">
        <v>659</v>
      </c>
      <c r="B513">
        <v>45575</v>
      </c>
      <c r="C513" t="s">
        <v>16</v>
      </c>
      <c r="D513" t="s">
        <v>17</v>
      </c>
      <c r="E513" t="s">
        <v>26</v>
      </c>
      <c r="F513" t="s">
        <v>19</v>
      </c>
      <c r="G513" t="s">
        <v>59</v>
      </c>
      <c r="H513" t="s">
        <v>154</v>
      </c>
      <c r="I513" t="s">
        <v>155</v>
      </c>
      <c r="J513" t="s">
        <v>40</v>
      </c>
      <c r="K513" t="s">
        <v>24</v>
      </c>
      <c r="L513">
        <v>2</v>
      </c>
      <c r="M513">
        <v>12670</v>
      </c>
      <c r="N513">
        <v>0.25</v>
      </c>
      <c r="O513">
        <v>8020</v>
      </c>
    </row>
    <row r="514" spans="1:15" x14ac:dyDescent="0.25">
      <c r="A514" t="s">
        <v>660</v>
      </c>
      <c r="B514">
        <v>45575</v>
      </c>
      <c r="C514" t="s">
        <v>37</v>
      </c>
      <c r="D514" t="s">
        <v>67</v>
      </c>
      <c r="E514" t="s">
        <v>39</v>
      </c>
      <c r="F514" t="s">
        <v>92</v>
      </c>
      <c r="G514" t="s">
        <v>83</v>
      </c>
      <c r="H514" t="s">
        <v>184</v>
      </c>
      <c r="I514" t="s">
        <v>185</v>
      </c>
      <c r="J514" t="s">
        <v>40</v>
      </c>
      <c r="K514" t="s">
        <v>24</v>
      </c>
      <c r="L514">
        <v>15</v>
      </c>
      <c r="M514">
        <v>4320</v>
      </c>
      <c r="N514">
        <v>0.18</v>
      </c>
      <c r="O514">
        <v>2810</v>
      </c>
    </row>
    <row r="515" spans="1:15" x14ac:dyDescent="0.25">
      <c r="A515" t="s">
        <v>661</v>
      </c>
      <c r="B515">
        <v>45576</v>
      </c>
      <c r="C515" t="s">
        <v>16</v>
      </c>
      <c r="D515" t="s">
        <v>153</v>
      </c>
      <c r="E515" t="s">
        <v>18</v>
      </c>
      <c r="F515" t="s">
        <v>52</v>
      </c>
      <c r="G515" t="s">
        <v>59</v>
      </c>
      <c r="H515" t="s">
        <v>60</v>
      </c>
      <c r="I515" t="s">
        <v>61</v>
      </c>
      <c r="J515" t="s">
        <v>40</v>
      </c>
      <c r="K515" t="s">
        <v>119</v>
      </c>
      <c r="L515">
        <v>7</v>
      </c>
      <c r="M515">
        <v>23550</v>
      </c>
      <c r="N515">
        <v>0.1</v>
      </c>
      <c r="O515">
        <v>17930</v>
      </c>
    </row>
    <row r="516" spans="1:15" x14ac:dyDescent="0.25">
      <c r="A516" t="s">
        <v>662</v>
      </c>
      <c r="B516">
        <v>45576</v>
      </c>
      <c r="C516" t="s">
        <v>16</v>
      </c>
      <c r="D516" t="s">
        <v>17</v>
      </c>
      <c r="E516" t="s">
        <v>32</v>
      </c>
      <c r="F516" t="s">
        <v>45</v>
      </c>
      <c r="G516" t="s">
        <v>27</v>
      </c>
      <c r="H516" t="s">
        <v>28</v>
      </c>
      <c r="I516" t="s">
        <v>141</v>
      </c>
      <c r="J516" t="s">
        <v>23</v>
      </c>
      <c r="K516" t="s">
        <v>24</v>
      </c>
      <c r="L516">
        <v>15</v>
      </c>
      <c r="M516">
        <v>17190</v>
      </c>
      <c r="N516">
        <v>0</v>
      </c>
      <c r="O516">
        <v>12730</v>
      </c>
    </row>
    <row r="517" spans="1:15" x14ac:dyDescent="0.25">
      <c r="A517" t="s">
        <v>663</v>
      </c>
      <c r="B517">
        <v>45576</v>
      </c>
      <c r="C517" t="s">
        <v>37</v>
      </c>
      <c r="D517" t="s">
        <v>161</v>
      </c>
      <c r="E517" t="s">
        <v>39</v>
      </c>
      <c r="F517" t="s">
        <v>19</v>
      </c>
      <c r="G517" t="s">
        <v>20</v>
      </c>
      <c r="H517" t="s">
        <v>87</v>
      </c>
      <c r="I517" t="s">
        <v>88</v>
      </c>
      <c r="J517" t="s">
        <v>23</v>
      </c>
      <c r="K517" t="s">
        <v>24</v>
      </c>
      <c r="L517">
        <v>1</v>
      </c>
      <c r="M517">
        <v>31760</v>
      </c>
      <c r="N517">
        <v>0.2</v>
      </c>
      <c r="O517">
        <v>23730</v>
      </c>
    </row>
    <row r="518" spans="1:15" x14ac:dyDescent="0.25">
      <c r="A518" t="s">
        <v>664</v>
      </c>
      <c r="B518">
        <v>45577</v>
      </c>
      <c r="C518" t="s">
        <v>56</v>
      </c>
      <c r="D518" t="s">
        <v>133</v>
      </c>
      <c r="E518" t="s">
        <v>91</v>
      </c>
      <c r="F518" t="s">
        <v>19</v>
      </c>
      <c r="G518" t="s">
        <v>27</v>
      </c>
      <c r="H518" t="s">
        <v>214</v>
      </c>
      <c r="I518" t="s">
        <v>215</v>
      </c>
      <c r="J518" t="s">
        <v>40</v>
      </c>
      <c r="K518" t="s">
        <v>94</v>
      </c>
      <c r="L518">
        <v>2</v>
      </c>
      <c r="M518">
        <v>36600</v>
      </c>
      <c r="N518">
        <v>0.25</v>
      </c>
      <c r="O518">
        <v>25290</v>
      </c>
    </row>
    <row r="519" spans="1:15" x14ac:dyDescent="0.25">
      <c r="A519" t="s">
        <v>665</v>
      </c>
      <c r="B519">
        <v>45578</v>
      </c>
      <c r="C519" t="s">
        <v>16</v>
      </c>
      <c r="D519" t="s">
        <v>17</v>
      </c>
      <c r="E519" t="s">
        <v>18</v>
      </c>
      <c r="F519" t="s">
        <v>45</v>
      </c>
      <c r="G519" t="s">
        <v>46</v>
      </c>
      <c r="H519" t="s">
        <v>47</v>
      </c>
      <c r="I519" t="s">
        <v>259</v>
      </c>
      <c r="J519" t="s">
        <v>23</v>
      </c>
      <c r="K519" t="s">
        <v>24</v>
      </c>
      <c r="L519">
        <v>44</v>
      </c>
      <c r="M519">
        <v>2980</v>
      </c>
      <c r="N519">
        <v>0.2</v>
      </c>
      <c r="O519">
        <v>2040</v>
      </c>
    </row>
    <row r="520" spans="1:15" x14ac:dyDescent="0.25">
      <c r="A520" t="s">
        <v>666</v>
      </c>
      <c r="B520">
        <v>45578</v>
      </c>
      <c r="C520" t="s">
        <v>37</v>
      </c>
      <c r="D520" t="s">
        <v>67</v>
      </c>
      <c r="E520" t="s">
        <v>39</v>
      </c>
      <c r="F520" t="s">
        <v>52</v>
      </c>
      <c r="G520" t="s">
        <v>20</v>
      </c>
      <c r="H520" t="s">
        <v>87</v>
      </c>
      <c r="I520" t="s">
        <v>105</v>
      </c>
      <c r="J520" t="s">
        <v>23</v>
      </c>
      <c r="K520" t="s">
        <v>24</v>
      </c>
      <c r="L520">
        <v>2</v>
      </c>
      <c r="M520">
        <v>53710</v>
      </c>
      <c r="N520">
        <v>0.15</v>
      </c>
      <c r="O520">
        <v>35290</v>
      </c>
    </row>
    <row r="521" spans="1:15" x14ac:dyDescent="0.25">
      <c r="A521" t="s">
        <v>667</v>
      </c>
      <c r="B521">
        <v>45578</v>
      </c>
      <c r="C521" t="s">
        <v>37</v>
      </c>
      <c r="D521" t="s">
        <v>161</v>
      </c>
      <c r="E521" t="s">
        <v>39</v>
      </c>
      <c r="F521" t="s">
        <v>52</v>
      </c>
      <c r="G521" t="s">
        <v>46</v>
      </c>
      <c r="H521" t="s">
        <v>47</v>
      </c>
      <c r="I521" t="s">
        <v>93</v>
      </c>
      <c r="J521" t="s">
        <v>23</v>
      </c>
      <c r="K521" t="s">
        <v>24</v>
      </c>
      <c r="L521">
        <v>19</v>
      </c>
      <c r="M521">
        <v>1160</v>
      </c>
      <c r="N521">
        <v>0.05</v>
      </c>
      <c r="O521">
        <v>780</v>
      </c>
    </row>
    <row r="522" spans="1:15" x14ac:dyDescent="0.25">
      <c r="A522" t="s">
        <v>668</v>
      </c>
      <c r="B522">
        <v>45580</v>
      </c>
      <c r="C522" t="s">
        <v>42</v>
      </c>
      <c r="D522" t="s">
        <v>123</v>
      </c>
      <c r="E522" t="s">
        <v>64</v>
      </c>
      <c r="F522" t="s">
        <v>19</v>
      </c>
      <c r="G522" t="s">
        <v>46</v>
      </c>
      <c r="H522" t="s">
        <v>100</v>
      </c>
      <c r="I522" t="s">
        <v>101</v>
      </c>
      <c r="J522" t="s">
        <v>40</v>
      </c>
      <c r="K522" t="s">
        <v>24</v>
      </c>
      <c r="L522">
        <v>22</v>
      </c>
      <c r="M522">
        <v>1920</v>
      </c>
      <c r="N522">
        <v>0.05</v>
      </c>
      <c r="O522">
        <v>1290</v>
      </c>
    </row>
    <row r="523" spans="1:15" x14ac:dyDescent="0.25">
      <c r="A523" t="s">
        <v>669</v>
      </c>
      <c r="B523">
        <v>45580</v>
      </c>
      <c r="C523" t="s">
        <v>37</v>
      </c>
      <c r="D523" t="s">
        <v>161</v>
      </c>
      <c r="E523" t="s">
        <v>68</v>
      </c>
      <c r="F523" t="s">
        <v>19</v>
      </c>
      <c r="G523" t="s">
        <v>20</v>
      </c>
      <c r="H523" t="s">
        <v>87</v>
      </c>
      <c r="I523" t="s">
        <v>105</v>
      </c>
      <c r="J523" t="s">
        <v>23</v>
      </c>
      <c r="K523" t="s">
        <v>24</v>
      </c>
      <c r="L523">
        <v>2</v>
      </c>
      <c r="M523">
        <v>55580</v>
      </c>
      <c r="N523">
        <v>0</v>
      </c>
      <c r="O523">
        <v>33350</v>
      </c>
    </row>
    <row r="524" spans="1:15" x14ac:dyDescent="0.25">
      <c r="A524" t="s">
        <v>670</v>
      </c>
      <c r="B524">
        <v>45580</v>
      </c>
      <c r="C524" t="s">
        <v>16</v>
      </c>
      <c r="D524" t="s">
        <v>51</v>
      </c>
      <c r="E524" t="s">
        <v>18</v>
      </c>
      <c r="F524" t="s">
        <v>45</v>
      </c>
      <c r="G524" t="s">
        <v>83</v>
      </c>
      <c r="H524" t="s">
        <v>84</v>
      </c>
      <c r="I524" t="s">
        <v>292</v>
      </c>
      <c r="J524" t="s">
        <v>49</v>
      </c>
      <c r="K524" t="s">
        <v>24</v>
      </c>
      <c r="L524">
        <v>3</v>
      </c>
      <c r="M524">
        <v>42840</v>
      </c>
      <c r="N524">
        <v>0.1</v>
      </c>
      <c r="O524">
        <v>24640</v>
      </c>
    </row>
    <row r="525" spans="1:15" x14ac:dyDescent="0.25">
      <c r="A525" t="s">
        <v>671</v>
      </c>
      <c r="B525">
        <v>45581</v>
      </c>
      <c r="C525" t="s">
        <v>37</v>
      </c>
      <c r="D525" t="s">
        <v>67</v>
      </c>
      <c r="E525" t="s">
        <v>68</v>
      </c>
      <c r="F525" t="s">
        <v>19</v>
      </c>
      <c r="G525" t="s">
        <v>83</v>
      </c>
      <c r="H525" t="s">
        <v>84</v>
      </c>
      <c r="I525" t="s">
        <v>292</v>
      </c>
      <c r="J525" t="s">
        <v>23</v>
      </c>
      <c r="K525" t="s">
        <v>24</v>
      </c>
      <c r="L525">
        <v>1</v>
      </c>
      <c r="M525">
        <v>42710</v>
      </c>
      <c r="N525">
        <v>0.05</v>
      </c>
      <c r="O525">
        <v>32500</v>
      </c>
    </row>
    <row r="526" spans="1:15" x14ac:dyDescent="0.25">
      <c r="A526" t="s">
        <v>672</v>
      </c>
      <c r="B526">
        <v>45582</v>
      </c>
      <c r="C526" t="s">
        <v>42</v>
      </c>
      <c r="D526" t="s">
        <v>43</v>
      </c>
      <c r="E526" t="s">
        <v>97</v>
      </c>
      <c r="F526" t="s">
        <v>92</v>
      </c>
      <c r="G526" t="s">
        <v>46</v>
      </c>
      <c r="H526" t="s">
        <v>179</v>
      </c>
      <c r="I526" t="s">
        <v>236</v>
      </c>
      <c r="J526" t="s">
        <v>40</v>
      </c>
      <c r="K526" t="s">
        <v>24</v>
      </c>
      <c r="L526">
        <v>59</v>
      </c>
      <c r="M526">
        <v>2350</v>
      </c>
      <c r="N526">
        <v>0</v>
      </c>
      <c r="O526">
        <v>1410</v>
      </c>
    </row>
    <row r="527" spans="1:15" x14ac:dyDescent="0.25">
      <c r="A527" t="s">
        <v>673</v>
      </c>
      <c r="B527">
        <v>45582</v>
      </c>
      <c r="C527" t="s">
        <v>37</v>
      </c>
      <c r="D527" t="s">
        <v>38</v>
      </c>
      <c r="E527" t="s">
        <v>39</v>
      </c>
      <c r="F527" t="s">
        <v>92</v>
      </c>
      <c r="G527" t="s">
        <v>27</v>
      </c>
      <c r="H527" t="s">
        <v>214</v>
      </c>
      <c r="I527" t="s">
        <v>215</v>
      </c>
      <c r="J527" t="s">
        <v>23</v>
      </c>
      <c r="K527" t="s">
        <v>24</v>
      </c>
      <c r="L527">
        <v>6</v>
      </c>
      <c r="M527">
        <v>35810</v>
      </c>
      <c r="N527">
        <v>0.1</v>
      </c>
      <c r="O527">
        <v>27570</v>
      </c>
    </row>
    <row r="528" spans="1:15" x14ac:dyDescent="0.25">
      <c r="A528" t="s">
        <v>674</v>
      </c>
      <c r="B528">
        <v>45582</v>
      </c>
      <c r="C528" t="s">
        <v>37</v>
      </c>
      <c r="D528" t="s">
        <v>161</v>
      </c>
      <c r="E528" t="s">
        <v>39</v>
      </c>
      <c r="F528" t="s">
        <v>92</v>
      </c>
      <c r="G528" t="s">
        <v>46</v>
      </c>
      <c r="H528" t="s">
        <v>47</v>
      </c>
      <c r="I528" t="s">
        <v>259</v>
      </c>
      <c r="J528" t="s">
        <v>40</v>
      </c>
      <c r="K528" t="s">
        <v>24</v>
      </c>
      <c r="L528">
        <v>36</v>
      </c>
      <c r="M528">
        <v>2750</v>
      </c>
      <c r="N528">
        <v>0.12</v>
      </c>
      <c r="O528">
        <v>1660</v>
      </c>
    </row>
    <row r="529" spans="1:15" x14ac:dyDescent="0.25">
      <c r="A529" t="s">
        <v>675</v>
      </c>
      <c r="B529">
        <v>45582</v>
      </c>
      <c r="C529" t="s">
        <v>76</v>
      </c>
      <c r="D529" t="s">
        <v>99</v>
      </c>
      <c r="E529" t="s">
        <v>78</v>
      </c>
      <c r="F529" t="s">
        <v>92</v>
      </c>
      <c r="G529" t="s">
        <v>46</v>
      </c>
      <c r="H529" t="s">
        <v>100</v>
      </c>
      <c r="I529" t="s">
        <v>177</v>
      </c>
      <c r="J529" t="s">
        <v>40</v>
      </c>
      <c r="K529" t="s">
        <v>24</v>
      </c>
      <c r="L529">
        <v>13</v>
      </c>
      <c r="M529">
        <v>2540</v>
      </c>
      <c r="N529">
        <v>0.12</v>
      </c>
      <c r="O529">
        <v>1850</v>
      </c>
    </row>
    <row r="530" spans="1:15" x14ac:dyDescent="0.25">
      <c r="A530" t="s">
        <v>676</v>
      </c>
      <c r="B530">
        <v>45582</v>
      </c>
      <c r="C530" t="s">
        <v>42</v>
      </c>
      <c r="D530" t="s">
        <v>130</v>
      </c>
      <c r="E530" t="s">
        <v>97</v>
      </c>
      <c r="F530" t="s">
        <v>52</v>
      </c>
      <c r="G530" t="s">
        <v>46</v>
      </c>
      <c r="H530" t="s">
        <v>47</v>
      </c>
      <c r="I530" t="s">
        <v>259</v>
      </c>
      <c r="J530" t="s">
        <v>23</v>
      </c>
      <c r="K530" t="s">
        <v>24</v>
      </c>
      <c r="L530">
        <v>6</v>
      </c>
      <c r="M530">
        <v>2780</v>
      </c>
      <c r="N530">
        <v>0.1</v>
      </c>
      <c r="O530">
        <v>2070</v>
      </c>
    </row>
    <row r="531" spans="1:15" x14ac:dyDescent="0.25">
      <c r="A531" t="s">
        <v>677</v>
      </c>
      <c r="B531">
        <v>45582</v>
      </c>
      <c r="C531" t="s">
        <v>37</v>
      </c>
      <c r="D531" t="s">
        <v>161</v>
      </c>
      <c r="E531" t="s">
        <v>68</v>
      </c>
      <c r="F531" t="s">
        <v>52</v>
      </c>
      <c r="G531" t="s">
        <v>20</v>
      </c>
      <c r="H531" t="s">
        <v>87</v>
      </c>
      <c r="I531" t="s">
        <v>105</v>
      </c>
      <c r="J531" t="s">
        <v>23</v>
      </c>
      <c r="K531" t="s">
        <v>24</v>
      </c>
      <c r="L531">
        <v>4</v>
      </c>
      <c r="M531">
        <v>53950</v>
      </c>
      <c r="N531">
        <v>0.2</v>
      </c>
      <c r="O531">
        <v>33630</v>
      </c>
    </row>
    <row r="532" spans="1:15" x14ac:dyDescent="0.25">
      <c r="A532" t="s">
        <v>678</v>
      </c>
      <c r="B532">
        <v>45582</v>
      </c>
      <c r="C532" t="s">
        <v>37</v>
      </c>
      <c r="D532" t="s">
        <v>115</v>
      </c>
      <c r="E532" t="s">
        <v>39</v>
      </c>
      <c r="F532" t="s">
        <v>52</v>
      </c>
      <c r="G532" t="s">
        <v>20</v>
      </c>
      <c r="H532" t="s">
        <v>21</v>
      </c>
      <c r="I532" t="s">
        <v>362</v>
      </c>
      <c r="J532" t="s">
        <v>23</v>
      </c>
      <c r="K532" t="s">
        <v>24</v>
      </c>
      <c r="L532">
        <v>15</v>
      </c>
      <c r="M532">
        <v>9740</v>
      </c>
      <c r="N532">
        <v>0</v>
      </c>
      <c r="O532">
        <v>7620</v>
      </c>
    </row>
    <row r="533" spans="1:15" x14ac:dyDescent="0.25">
      <c r="A533" t="s">
        <v>679</v>
      </c>
      <c r="B533">
        <v>45583</v>
      </c>
      <c r="C533" t="s">
        <v>76</v>
      </c>
      <c r="D533" t="s">
        <v>112</v>
      </c>
      <c r="E533" t="s">
        <v>78</v>
      </c>
      <c r="F533" t="s">
        <v>92</v>
      </c>
      <c r="G533" t="s">
        <v>27</v>
      </c>
      <c r="H533" t="s">
        <v>53</v>
      </c>
      <c r="I533" t="s">
        <v>131</v>
      </c>
      <c r="J533" t="s">
        <v>40</v>
      </c>
      <c r="K533" t="s">
        <v>24</v>
      </c>
      <c r="L533">
        <v>2</v>
      </c>
      <c r="M533">
        <v>37260</v>
      </c>
      <c r="N533">
        <v>0.1</v>
      </c>
      <c r="O533">
        <v>23230</v>
      </c>
    </row>
    <row r="534" spans="1:15" x14ac:dyDescent="0.25">
      <c r="A534" t="s">
        <v>680</v>
      </c>
      <c r="B534">
        <v>45584</v>
      </c>
      <c r="C534" t="s">
        <v>16</v>
      </c>
      <c r="D534" t="s">
        <v>82</v>
      </c>
      <c r="E534" t="s">
        <v>18</v>
      </c>
      <c r="F534" t="s">
        <v>19</v>
      </c>
      <c r="G534" t="s">
        <v>59</v>
      </c>
      <c r="H534" t="s">
        <v>73</v>
      </c>
      <c r="I534" t="s">
        <v>113</v>
      </c>
      <c r="J534" t="s">
        <v>40</v>
      </c>
      <c r="K534" t="s">
        <v>24</v>
      </c>
      <c r="L534">
        <v>3</v>
      </c>
      <c r="M534">
        <v>34340</v>
      </c>
      <c r="N534">
        <v>0</v>
      </c>
      <c r="O534">
        <v>19400</v>
      </c>
    </row>
    <row r="535" spans="1:15" x14ac:dyDescent="0.25">
      <c r="A535" t="s">
        <v>681</v>
      </c>
      <c r="B535">
        <v>45585</v>
      </c>
      <c r="C535" t="s">
        <v>16</v>
      </c>
      <c r="D535" t="s">
        <v>17</v>
      </c>
      <c r="E535" t="s">
        <v>32</v>
      </c>
      <c r="F535" t="s">
        <v>52</v>
      </c>
      <c r="G535" t="s">
        <v>27</v>
      </c>
      <c r="H535" t="s">
        <v>53</v>
      </c>
      <c r="I535" t="s">
        <v>131</v>
      </c>
      <c r="J535" t="s">
        <v>40</v>
      </c>
      <c r="K535" t="s">
        <v>24</v>
      </c>
      <c r="L535">
        <v>4</v>
      </c>
      <c r="M535">
        <v>35650</v>
      </c>
      <c r="N535">
        <v>0.15</v>
      </c>
      <c r="O535">
        <v>22200</v>
      </c>
    </row>
    <row r="536" spans="1:15" x14ac:dyDescent="0.25">
      <c r="A536" t="s">
        <v>682</v>
      </c>
      <c r="B536">
        <v>45585</v>
      </c>
      <c r="C536" t="s">
        <v>56</v>
      </c>
      <c r="D536" t="s">
        <v>57</v>
      </c>
      <c r="E536" t="s">
        <v>58</v>
      </c>
      <c r="F536" t="s">
        <v>45</v>
      </c>
      <c r="G536" t="s">
        <v>20</v>
      </c>
      <c r="H536" t="s">
        <v>21</v>
      </c>
      <c r="I536" t="s">
        <v>22</v>
      </c>
      <c r="J536" t="s">
        <v>49</v>
      </c>
      <c r="K536" t="s">
        <v>24</v>
      </c>
      <c r="L536">
        <v>31</v>
      </c>
      <c r="M536">
        <v>1790</v>
      </c>
      <c r="N536">
        <v>0.12</v>
      </c>
      <c r="O536">
        <v>1300</v>
      </c>
    </row>
    <row r="537" spans="1:15" x14ac:dyDescent="0.25">
      <c r="A537" t="s">
        <v>683</v>
      </c>
      <c r="B537">
        <v>45586</v>
      </c>
      <c r="C537" t="s">
        <v>56</v>
      </c>
      <c r="D537" t="s">
        <v>133</v>
      </c>
      <c r="E537" t="s">
        <v>58</v>
      </c>
      <c r="F537" t="s">
        <v>92</v>
      </c>
      <c r="G537" t="s">
        <v>20</v>
      </c>
      <c r="H537" t="s">
        <v>109</v>
      </c>
      <c r="I537" t="s">
        <v>159</v>
      </c>
      <c r="J537" t="s">
        <v>40</v>
      </c>
      <c r="K537" t="s">
        <v>119</v>
      </c>
      <c r="L537">
        <v>6</v>
      </c>
      <c r="M537">
        <v>17510</v>
      </c>
      <c r="N537">
        <v>0</v>
      </c>
      <c r="O537">
        <v>10610</v>
      </c>
    </row>
    <row r="538" spans="1:15" x14ac:dyDescent="0.25">
      <c r="A538" t="s">
        <v>684</v>
      </c>
      <c r="B538">
        <v>45586</v>
      </c>
      <c r="C538" t="s">
        <v>76</v>
      </c>
      <c r="D538" t="s">
        <v>77</v>
      </c>
      <c r="E538" t="s">
        <v>78</v>
      </c>
      <c r="F538" t="s">
        <v>19</v>
      </c>
      <c r="G538" t="s">
        <v>46</v>
      </c>
      <c r="H538" t="s">
        <v>100</v>
      </c>
      <c r="I538" t="s">
        <v>177</v>
      </c>
      <c r="J538" t="s">
        <v>49</v>
      </c>
      <c r="K538" t="s">
        <v>24</v>
      </c>
      <c r="L538">
        <v>34</v>
      </c>
      <c r="M538">
        <v>2410</v>
      </c>
      <c r="N538">
        <v>0.15</v>
      </c>
      <c r="O538">
        <v>1660</v>
      </c>
    </row>
    <row r="539" spans="1:15" x14ac:dyDescent="0.25">
      <c r="A539" t="s">
        <v>685</v>
      </c>
      <c r="B539">
        <v>45587</v>
      </c>
      <c r="C539" t="s">
        <v>42</v>
      </c>
      <c r="D539" t="s">
        <v>123</v>
      </c>
      <c r="E539" t="s">
        <v>64</v>
      </c>
      <c r="F539" t="s">
        <v>52</v>
      </c>
      <c r="G539" t="s">
        <v>27</v>
      </c>
      <c r="H539" t="s">
        <v>53</v>
      </c>
      <c r="I539" t="s">
        <v>54</v>
      </c>
      <c r="J539" t="s">
        <v>23</v>
      </c>
      <c r="K539" t="s">
        <v>24</v>
      </c>
      <c r="L539">
        <v>4</v>
      </c>
      <c r="M539">
        <v>42580</v>
      </c>
      <c r="N539">
        <v>0.1</v>
      </c>
      <c r="O539">
        <v>24140</v>
      </c>
    </row>
    <row r="540" spans="1:15" x14ac:dyDescent="0.25">
      <c r="A540" t="s">
        <v>686</v>
      </c>
      <c r="B540">
        <v>45587</v>
      </c>
      <c r="C540" t="s">
        <v>42</v>
      </c>
      <c r="D540" t="s">
        <v>146</v>
      </c>
      <c r="E540" t="s">
        <v>97</v>
      </c>
      <c r="F540" t="s">
        <v>52</v>
      </c>
      <c r="G540" t="s">
        <v>20</v>
      </c>
      <c r="H540" t="s">
        <v>21</v>
      </c>
      <c r="I540" t="s">
        <v>65</v>
      </c>
      <c r="J540" t="s">
        <v>23</v>
      </c>
      <c r="K540" t="s">
        <v>24</v>
      </c>
      <c r="L540">
        <v>7</v>
      </c>
      <c r="M540">
        <v>8110</v>
      </c>
      <c r="N540">
        <v>0.12</v>
      </c>
      <c r="O540">
        <v>5810</v>
      </c>
    </row>
    <row r="541" spans="1:15" x14ac:dyDescent="0.25">
      <c r="A541" t="s">
        <v>687</v>
      </c>
      <c r="B541">
        <v>45587</v>
      </c>
      <c r="C541" t="s">
        <v>56</v>
      </c>
      <c r="D541" t="s">
        <v>133</v>
      </c>
      <c r="E541" t="s">
        <v>91</v>
      </c>
      <c r="F541" t="s">
        <v>19</v>
      </c>
      <c r="G541" t="s">
        <v>46</v>
      </c>
      <c r="H541" t="s">
        <v>179</v>
      </c>
      <c r="I541" t="s">
        <v>180</v>
      </c>
      <c r="J541" t="s">
        <v>23</v>
      </c>
      <c r="K541" t="s">
        <v>119</v>
      </c>
      <c r="L541">
        <v>11</v>
      </c>
      <c r="M541">
        <v>4030</v>
      </c>
      <c r="N541">
        <v>0</v>
      </c>
      <c r="O541">
        <v>2730</v>
      </c>
    </row>
    <row r="542" spans="1:15" x14ac:dyDescent="0.25">
      <c r="A542" t="s">
        <v>688</v>
      </c>
      <c r="B542">
        <v>45588</v>
      </c>
      <c r="C542" t="s">
        <v>56</v>
      </c>
      <c r="D542" t="s">
        <v>57</v>
      </c>
      <c r="E542" t="s">
        <v>134</v>
      </c>
      <c r="F542" t="s">
        <v>19</v>
      </c>
      <c r="G542" t="s">
        <v>46</v>
      </c>
      <c r="H542" t="s">
        <v>179</v>
      </c>
      <c r="I542" t="s">
        <v>221</v>
      </c>
      <c r="J542" t="s">
        <v>23</v>
      </c>
      <c r="K542" t="s">
        <v>24</v>
      </c>
      <c r="L542">
        <v>11</v>
      </c>
      <c r="M542">
        <v>1660</v>
      </c>
      <c r="N542">
        <v>0.1</v>
      </c>
      <c r="O542">
        <v>1220</v>
      </c>
    </row>
    <row r="543" spans="1:15" x14ac:dyDescent="0.25">
      <c r="A543" t="s">
        <v>689</v>
      </c>
      <c r="B543">
        <v>45589</v>
      </c>
      <c r="C543" t="s">
        <v>37</v>
      </c>
      <c r="D543" t="s">
        <v>213</v>
      </c>
      <c r="E543" t="s">
        <v>39</v>
      </c>
      <c r="F543" t="s">
        <v>92</v>
      </c>
      <c r="G543" t="s">
        <v>46</v>
      </c>
      <c r="H543" t="s">
        <v>179</v>
      </c>
      <c r="I543" t="s">
        <v>180</v>
      </c>
      <c r="J543" t="s">
        <v>40</v>
      </c>
      <c r="K543" t="s">
        <v>24</v>
      </c>
      <c r="L543">
        <v>30</v>
      </c>
      <c r="M543">
        <v>3850</v>
      </c>
      <c r="N543">
        <v>0.15</v>
      </c>
      <c r="O543">
        <v>2170</v>
      </c>
    </row>
    <row r="544" spans="1:15" x14ac:dyDescent="0.25">
      <c r="A544" t="s">
        <v>690</v>
      </c>
      <c r="B544">
        <v>45590</v>
      </c>
      <c r="C544" t="s">
        <v>16</v>
      </c>
      <c r="D544" t="s">
        <v>51</v>
      </c>
      <c r="E544" t="s">
        <v>26</v>
      </c>
      <c r="F544" t="s">
        <v>92</v>
      </c>
      <c r="G544" t="s">
        <v>59</v>
      </c>
      <c r="H544" t="s">
        <v>60</v>
      </c>
      <c r="I544" t="s">
        <v>200</v>
      </c>
      <c r="J544" t="s">
        <v>40</v>
      </c>
      <c r="K544" t="s">
        <v>24</v>
      </c>
      <c r="L544">
        <v>4</v>
      </c>
      <c r="M544">
        <v>8290</v>
      </c>
      <c r="N544">
        <v>0.18</v>
      </c>
      <c r="O544">
        <v>5930</v>
      </c>
    </row>
    <row r="545" spans="1:15" x14ac:dyDescent="0.25">
      <c r="A545" t="s">
        <v>691</v>
      </c>
      <c r="B545">
        <v>45590</v>
      </c>
      <c r="C545" t="s">
        <v>42</v>
      </c>
      <c r="D545" t="s">
        <v>43</v>
      </c>
      <c r="E545" t="s">
        <v>97</v>
      </c>
      <c r="F545" t="s">
        <v>19</v>
      </c>
      <c r="G545" t="s">
        <v>59</v>
      </c>
      <c r="H545" t="s">
        <v>60</v>
      </c>
      <c r="I545" t="s">
        <v>200</v>
      </c>
      <c r="J545" t="s">
        <v>49</v>
      </c>
      <c r="K545" t="s">
        <v>94</v>
      </c>
      <c r="L545">
        <v>7</v>
      </c>
      <c r="M545">
        <v>9070</v>
      </c>
      <c r="N545">
        <v>0</v>
      </c>
      <c r="O545">
        <v>6150</v>
      </c>
    </row>
    <row r="546" spans="1:15" x14ac:dyDescent="0.25">
      <c r="A546" t="s">
        <v>692</v>
      </c>
      <c r="B546">
        <v>45591</v>
      </c>
      <c r="C546" t="s">
        <v>16</v>
      </c>
      <c r="D546" t="s">
        <v>191</v>
      </c>
      <c r="E546" t="s">
        <v>32</v>
      </c>
      <c r="F546" t="s">
        <v>52</v>
      </c>
      <c r="G546" t="s">
        <v>27</v>
      </c>
      <c r="H546" t="s">
        <v>53</v>
      </c>
      <c r="I546" t="s">
        <v>54</v>
      </c>
      <c r="J546" t="s">
        <v>23</v>
      </c>
      <c r="K546" t="s">
        <v>119</v>
      </c>
      <c r="L546">
        <v>1</v>
      </c>
      <c r="M546">
        <v>44430</v>
      </c>
      <c r="N546">
        <v>0.15</v>
      </c>
      <c r="O546">
        <v>34550</v>
      </c>
    </row>
    <row r="547" spans="1:15" x14ac:dyDescent="0.25">
      <c r="A547" t="s">
        <v>693</v>
      </c>
      <c r="B547">
        <v>45591</v>
      </c>
      <c r="C547" t="s">
        <v>76</v>
      </c>
      <c r="D547" t="s">
        <v>217</v>
      </c>
      <c r="E547" t="s">
        <v>170</v>
      </c>
      <c r="F547" t="s">
        <v>92</v>
      </c>
      <c r="G547" t="s">
        <v>27</v>
      </c>
      <c r="H547" t="s">
        <v>214</v>
      </c>
      <c r="I547" t="s">
        <v>252</v>
      </c>
      <c r="J547" t="s">
        <v>40</v>
      </c>
      <c r="K547" t="s">
        <v>119</v>
      </c>
      <c r="L547">
        <v>16</v>
      </c>
      <c r="M547">
        <v>14890</v>
      </c>
      <c r="N547">
        <v>0.1</v>
      </c>
      <c r="O547">
        <v>8440</v>
      </c>
    </row>
    <row r="548" spans="1:15" x14ac:dyDescent="0.25">
      <c r="A548" t="s">
        <v>694</v>
      </c>
      <c r="B548">
        <v>45591</v>
      </c>
      <c r="C548" t="s">
        <v>76</v>
      </c>
      <c r="D548" t="s">
        <v>77</v>
      </c>
      <c r="E548" t="s">
        <v>78</v>
      </c>
      <c r="F548" t="s">
        <v>45</v>
      </c>
      <c r="G548" t="s">
        <v>27</v>
      </c>
      <c r="H548" t="s">
        <v>28</v>
      </c>
      <c r="I548" t="s">
        <v>29</v>
      </c>
      <c r="J548" t="s">
        <v>40</v>
      </c>
      <c r="K548" t="s">
        <v>35</v>
      </c>
      <c r="L548">
        <v>1</v>
      </c>
      <c r="M548">
        <v>29450</v>
      </c>
      <c r="N548">
        <v>0.1</v>
      </c>
      <c r="O548">
        <v>22800</v>
      </c>
    </row>
    <row r="549" spans="1:15" x14ac:dyDescent="0.25">
      <c r="A549" t="s">
        <v>695</v>
      </c>
      <c r="B549">
        <v>45591</v>
      </c>
      <c r="C549" t="s">
        <v>42</v>
      </c>
      <c r="D549" t="s">
        <v>265</v>
      </c>
      <c r="E549" t="s">
        <v>44</v>
      </c>
      <c r="F549" t="s">
        <v>45</v>
      </c>
      <c r="G549" t="s">
        <v>83</v>
      </c>
      <c r="H549" t="s">
        <v>84</v>
      </c>
      <c r="I549" t="s">
        <v>292</v>
      </c>
      <c r="J549" t="s">
        <v>40</v>
      </c>
      <c r="K549" t="s">
        <v>24</v>
      </c>
      <c r="L549">
        <v>4</v>
      </c>
      <c r="M549">
        <v>40120</v>
      </c>
      <c r="N549">
        <v>0.1</v>
      </c>
      <c r="O549">
        <v>29430</v>
      </c>
    </row>
    <row r="550" spans="1:15" x14ac:dyDescent="0.25">
      <c r="A550" t="s">
        <v>696</v>
      </c>
      <c r="B550">
        <v>45593</v>
      </c>
      <c r="C550" t="s">
        <v>76</v>
      </c>
      <c r="D550" t="s">
        <v>125</v>
      </c>
      <c r="E550" t="s">
        <v>78</v>
      </c>
      <c r="F550" t="s">
        <v>92</v>
      </c>
      <c r="G550" t="s">
        <v>20</v>
      </c>
      <c r="H550" t="s">
        <v>87</v>
      </c>
      <c r="I550" t="s">
        <v>88</v>
      </c>
      <c r="J550" t="s">
        <v>40</v>
      </c>
      <c r="K550" t="s">
        <v>24</v>
      </c>
      <c r="L550">
        <v>3</v>
      </c>
      <c r="M550">
        <v>31370</v>
      </c>
      <c r="N550">
        <v>0.15</v>
      </c>
      <c r="O550">
        <v>22560</v>
      </c>
    </row>
    <row r="551" spans="1:15" x14ac:dyDescent="0.25">
      <c r="A551" t="s">
        <v>697</v>
      </c>
      <c r="B551">
        <v>45593</v>
      </c>
      <c r="C551" t="s">
        <v>56</v>
      </c>
      <c r="D551" t="s">
        <v>103</v>
      </c>
      <c r="E551" t="s">
        <v>58</v>
      </c>
      <c r="F551" t="s">
        <v>92</v>
      </c>
      <c r="G551" t="s">
        <v>20</v>
      </c>
      <c r="H551" t="s">
        <v>87</v>
      </c>
      <c r="I551" t="s">
        <v>105</v>
      </c>
      <c r="J551" t="s">
        <v>49</v>
      </c>
      <c r="K551" t="s">
        <v>24</v>
      </c>
      <c r="L551">
        <v>9</v>
      </c>
      <c r="M551">
        <v>51460</v>
      </c>
      <c r="N551">
        <v>0.15</v>
      </c>
      <c r="O551">
        <v>29980</v>
      </c>
    </row>
    <row r="552" spans="1:15" x14ac:dyDescent="0.25">
      <c r="A552" t="s">
        <v>698</v>
      </c>
      <c r="B552">
        <v>45593</v>
      </c>
      <c r="C552" t="s">
        <v>42</v>
      </c>
      <c r="D552" t="s">
        <v>130</v>
      </c>
      <c r="E552" t="s">
        <v>44</v>
      </c>
      <c r="F552" t="s">
        <v>19</v>
      </c>
      <c r="G552" t="s">
        <v>20</v>
      </c>
      <c r="H552" t="s">
        <v>87</v>
      </c>
      <c r="I552" t="s">
        <v>105</v>
      </c>
      <c r="J552" t="s">
        <v>23</v>
      </c>
      <c r="K552" t="s">
        <v>35</v>
      </c>
      <c r="L552">
        <v>4</v>
      </c>
      <c r="M552">
        <v>51440</v>
      </c>
      <c r="N552">
        <v>0.25</v>
      </c>
      <c r="O552">
        <v>37510</v>
      </c>
    </row>
    <row r="553" spans="1:15" x14ac:dyDescent="0.25">
      <c r="A553" t="s">
        <v>699</v>
      </c>
      <c r="B553">
        <v>45594</v>
      </c>
      <c r="C553" t="s">
        <v>42</v>
      </c>
      <c r="D553" t="s">
        <v>265</v>
      </c>
      <c r="E553" t="s">
        <v>44</v>
      </c>
      <c r="F553" t="s">
        <v>52</v>
      </c>
      <c r="G553" t="s">
        <v>27</v>
      </c>
      <c r="H553" t="s">
        <v>53</v>
      </c>
      <c r="I553" t="s">
        <v>54</v>
      </c>
      <c r="J553" t="s">
        <v>23</v>
      </c>
      <c r="K553" t="s">
        <v>119</v>
      </c>
      <c r="L553">
        <v>4</v>
      </c>
      <c r="M553">
        <v>45210</v>
      </c>
      <c r="N553">
        <v>0.05</v>
      </c>
      <c r="O553">
        <v>27930</v>
      </c>
    </row>
    <row r="554" spans="1:15" x14ac:dyDescent="0.25">
      <c r="A554" t="s">
        <v>700</v>
      </c>
      <c r="B554">
        <v>45594</v>
      </c>
      <c r="C554" t="s">
        <v>76</v>
      </c>
      <c r="D554" t="s">
        <v>125</v>
      </c>
      <c r="E554" t="s">
        <v>78</v>
      </c>
      <c r="F554" t="s">
        <v>19</v>
      </c>
      <c r="G554" t="s">
        <v>59</v>
      </c>
      <c r="H554" t="s">
        <v>154</v>
      </c>
      <c r="I554" t="s">
        <v>155</v>
      </c>
      <c r="J554" t="s">
        <v>23</v>
      </c>
      <c r="K554" t="s">
        <v>119</v>
      </c>
      <c r="L554">
        <v>5</v>
      </c>
      <c r="M554">
        <v>12570</v>
      </c>
      <c r="N554">
        <v>0.12</v>
      </c>
      <c r="O554">
        <v>8920</v>
      </c>
    </row>
    <row r="555" spans="1:15" x14ac:dyDescent="0.25">
      <c r="A555" t="s">
        <v>701</v>
      </c>
      <c r="B555">
        <v>45596</v>
      </c>
      <c r="C555" t="s">
        <v>16</v>
      </c>
      <c r="D555" t="s">
        <v>191</v>
      </c>
      <c r="E555" t="s">
        <v>18</v>
      </c>
      <c r="F555" t="s">
        <v>52</v>
      </c>
      <c r="G555" t="s">
        <v>27</v>
      </c>
      <c r="H555" t="s">
        <v>214</v>
      </c>
      <c r="I555" t="s">
        <v>252</v>
      </c>
      <c r="J555" t="s">
        <v>23</v>
      </c>
      <c r="K555" t="s">
        <v>24</v>
      </c>
      <c r="L555">
        <v>5</v>
      </c>
      <c r="M555">
        <v>14370</v>
      </c>
      <c r="N555">
        <v>0.12</v>
      </c>
      <c r="O555">
        <v>11090</v>
      </c>
    </row>
    <row r="556" spans="1:15" x14ac:dyDescent="0.25">
      <c r="A556" t="s">
        <v>702</v>
      </c>
      <c r="B556">
        <v>45596</v>
      </c>
      <c r="C556" t="s">
        <v>56</v>
      </c>
      <c r="D556" t="s">
        <v>103</v>
      </c>
      <c r="E556" t="s">
        <v>134</v>
      </c>
      <c r="F556" t="s">
        <v>52</v>
      </c>
      <c r="G556" t="s">
        <v>20</v>
      </c>
      <c r="H556" t="s">
        <v>109</v>
      </c>
      <c r="I556" t="s">
        <v>159</v>
      </c>
      <c r="J556" t="s">
        <v>40</v>
      </c>
      <c r="K556" t="s">
        <v>119</v>
      </c>
      <c r="L556">
        <v>1</v>
      </c>
      <c r="M556">
        <v>18110</v>
      </c>
      <c r="N556">
        <v>0.15</v>
      </c>
      <c r="O556">
        <v>10630</v>
      </c>
    </row>
    <row r="557" spans="1:15" x14ac:dyDescent="0.25">
      <c r="A557" t="s">
        <v>703</v>
      </c>
      <c r="B557">
        <v>45596</v>
      </c>
      <c r="C557" t="s">
        <v>42</v>
      </c>
      <c r="D557" t="s">
        <v>130</v>
      </c>
      <c r="E557" t="s">
        <v>44</v>
      </c>
      <c r="F557" t="s">
        <v>19</v>
      </c>
      <c r="G557" t="s">
        <v>27</v>
      </c>
      <c r="H557" t="s">
        <v>214</v>
      </c>
      <c r="I557" t="s">
        <v>215</v>
      </c>
      <c r="J557" t="s">
        <v>23</v>
      </c>
      <c r="K557" t="s">
        <v>119</v>
      </c>
      <c r="L557">
        <v>3</v>
      </c>
      <c r="M557">
        <v>33570</v>
      </c>
      <c r="N557">
        <v>0</v>
      </c>
      <c r="O557">
        <v>19670</v>
      </c>
    </row>
    <row r="558" spans="1:15" x14ac:dyDescent="0.25">
      <c r="A558" t="s">
        <v>704</v>
      </c>
      <c r="B558">
        <v>45597</v>
      </c>
      <c r="C558" t="s">
        <v>56</v>
      </c>
      <c r="D558" t="s">
        <v>57</v>
      </c>
      <c r="E558" t="s">
        <v>91</v>
      </c>
      <c r="F558" t="s">
        <v>52</v>
      </c>
      <c r="G558" t="s">
        <v>46</v>
      </c>
      <c r="H558" t="s">
        <v>179</v>
      </c>
      <c r="I558" t="s">
        <v>236</v>
      </c>
      <c r="J558" t="s">
        <v>49</v>
      </c>
      <c r="K558" t="s">
        <v>24</v>
      </c>
      <c r="L558">
        <v>39</v>
      </c>
      <c r="M558">
        <v>2300</v>
      </c>
      <c r="N558">
        <v>0.15</v>
      </c>
      <c r="O558">
        <v>1550</v>
      </c>
    </row>
    <row r="559" spans="1:15" x14ac:dyDescent="0.25">
      <c r="A559" t="s">
        <v>705</v>
      </c>
      <c r="B559">
        <v>45597</v>
      </c>
      <c r="C559" t="s">
        <v>42</v>
      </c>
      <c r="D559" t="s">
        <v>43</v>
      </c>
      <c r="E559" t="s">
        <v>64</v>
      </c>
      <c r="F559" t="s">
        <v>92</v>
      </c>
      <c r="G559" t="s">
        <v>27</v>
      </c>
      <c r="H559" t="s">
        <v>53</v>
      </c>
      <c r="I559" t="s">
        <v>54</v>
      </c>
      <c r="J559" t="s">
        <v>49</v>
      </c>
      <c r="K559" t="s">
        <v>119</v>
      </c>
      <c r="L559">
        <v>2</v>
      </c>
      <c r="M559">
        <v>40890</v>
      </c>
      <c r="N559">
        <v>0.05</v>
      </c>
      <c r="O559">
        <v>29000</v>
      </c>
    </row>
    <row r="560" spans="1:15" x14ac:dyDescent="0.25">
      <c r="A560" t="s">
        <v>706</v>
      </c>
      <c r="B560">
        <v>45597</v>
      </c>
      <c r="C560" t="s">
        <v>37</v>
      </c>
      <c r="D560" t="s">
        <v>161</v>
      </c>
      <c r="E560" t="s">
        <v>39</v>
      </c>
      <c r="F560" t="s">
        <v>19</v>
      </c>
      <c r="G560" t="s">
        <v>20</v>
      </c>
      <c r="H560" t="s">
        <v>33</v>
      </c>
      <c r="I560" t="s">
        <v>182</v>
      </c>
      <c r="J560" t="s">
        <v>49</v>
      </c>
      <c r="K560" t="s">
        <v>24</v>
      </c>
      <c r="L560">
        <v>2</v>
      </c>
      <c r="M560">
        <v>102140</v>
      </c>
      <c r="N560">
        <v>0.05</v>
      </c>
      <c r="O560">
        <v>57430</v>
      </c>
    </row>
    <row r="561" spans="1:15" x14ac:dyDescent="0.25">
      <c r="A561" t="s">
        <v>707</v>
      </c>
      <c r="B561">
        <v>45598</v>
      </c>
      <c r="C561" t="s">
        <v>42</v>
      </c>
      <c r="D561" t="s">
        <v>265</v>
      </c>
      <c r="E561" t="s">
        <v>64</v>
      </c>
      <c r="F561" t="s">
        <v>92</v>
      </c>
      <c r="G561" t="s">
        <v>20</v>
      </c>
      <c r="H561" t="s">
        <v>33</v>
      </c>
      <c r="I561" t="s">
        <v>182</v>
      </c>
      <c r="J561" t="s">
        <v>49</v>
      </c>
      <c r="K561" t="s">
        <v>24</v>
      </c>
      <c r="L561">
        <v>2</v>
      </c>
      <c r="M561">
        <v>108360</v>
      </c>
      <c r="N561">
        <v>0.12</v>
      </c>
      <c r="O561">
        <v>66440</v>
      </c>
    </row>
    <row r="562" spans="1:15" x14ac:dyDescent="0.25">
      <c r="A562" t="s">
        <v>708</v>
      </c>
      <c r="B562">
        <v>45599</v>
      </c>
      <c r="C562" t="s">
        <v>16</v>
      </c>
      <c r="D562" t="s">
        <v>191</v>
      </c>
      <c r="E562" t="s">
        <v>32</v>
      </c>
      <c r="F562" t="s">
        <v>19</v>
      </c>
      <c r="G562" t="s">
        <v>20</v>
      </c>
      <c r="H562" t="s">
        <v>87</v>
      </c>
      <c r="I562" t="s">
        <v>105</v>
      </c>
      <c r="J562" t="s">
        <v>40</v>
      </c>
      <c r="K562" t="s">
        <v>24</v>
      </c>
      <c r="L562">
        <v>3</v>
      </c>
      <c r="M562">
        <v>52050</v>
      </c>
      <c r="N562">
        <v>0</v>
      </c>
      <c r="O562">
        <v>38650</v>
      </c>
    </row>
    <row r="563" spans="1:15" x14ac:dyDescent="0.25">
      <c r="A563" t="s">
        <v>709</v>
      </c>
      <c r="B563">
        <v>45600</v>
      </c>
      <c r="C563" t="s">
        <v>37</v>
      </c>
      <c r="D563" t="s">
        <v>161</v>
      </c>
      <c r="E563" t="s">
        <v>68</v>
      </c>
      <c r="F563" t="s">
        <v>19</v>
      </c>
      <c r="G563" t="s">
        <v>59</v>
      </c>
      <c r="H563" t="s">
        <v>154</v>
      </c>
      <c r="I563" t="s">
        <v>155</v>
      </c>
      <c r="J563" t="s">
        <v>40</v>
      </c>
      <c r="K563" t="s">
        <v>119</v>
      </c>
      <c r="L563">
        <v>8</v>
      </c>
      <c r="M563">
        <v>11870</v>
      </c>
      <c r="N563">
        <v>0.1</v>
      </c>
      <c r="O563">
        <v>8110</v>
      </c>
    </row>
    <row r="564" spans="1:15" x14ac:dyDescent="0.25">
      <c r="A564" t="s">
        <v>710</v>
      </c>
      <c r="B564">
        <v>45600</v>
      </c>
      <c r="C564" t="s">
        <v>76</v>
      </c>
      <c r="D564" t="s">
        <v>150</v>
      </c>
      <c r="E564" t="s">
        <v>78</v>
      </c>
      <c r="F564" t="s">
        <v>52</v>
      </c>
      <c r="G564" t="s">
        <v>46</v>
      </c>
      <c r="H564" t="s">
        <v>47</v>
      </c>
      <c r="I564" t="s">
        <v>259</v>
      </c>
      <c r="J564" t="s">
        <v>23</v>
      </c>
      <c r="K564" t="s">
        <v>94</v>
      </c>
      <c r="L564">
        <v>18</v>
      </c>
      <c r="M564">
        <v>2820</v>
      </c>
      <c r="N564">
        <v>0.1</v>
      </c>
      <c r="O564">
        <v>2140</v>
      </c>
    </row>
    <row r="565" spans="1:15" x14ac:dyDescent="0.25">
      <c r="A565" t="s">
        <v>711</v>
      </c>
      <c r="B565">
        <v>45600</v>
      </c>
      <c r="C565" t="s">
        <v>56</v>
      </c>
      <c r="D565" t="s">
        <v>72</v>
      </c>
      <c r="E565" t="s">
        <v>91</v>
      </c>
      <c r="F565" t="s">
        <v>19</v>
      </c>
      <c r="G565" t="s">
        <v>20</v>
      </c>
      <c r="H565" t="s">
        <v>21</v>
      </c>
      <c r="I565" t="s">
        <v>65</v>
      </c>
      <c r="J565" t="s">
        <v>23</v>
      </c>
      <c r="K565" t="s">
        <v>24</v>
      </c>
      <c r="L565">
        <v>3</v>
      </c>
      <c r="M565">
        <v>9070</v>
      </c>
      <c r="N565">
        <v>0.12</v>
      </c>
      <c r="O565">
        <v>6990</v>
      </c>
    </row>
    <row r="566" spans="1:15" x14ac:dyDescent="0.25">
      <c r="A566" t="s">
        <v>712</v>
      </c>
      <c r="B566">
        <v>45600</v>
      </c>
      <c r="C566" t="s">
        <v>42</v>
      </c>
      <c r="D566" t="s">
        <v>123</v>
      </c>
      <c r="E566" t="s">
        <v>44</v>
      </c>
      <c r="F566" t="s">
        <v>92</v>
      </c>
      <c r="G566" t="s">
        <v>46</v>
      </c>
      <c r="H566" t="s">
        <v>47</v>
      </c>
      <c r="I566" t="s">
        <v>48</v>
      </c>
      <c r="J566" t="s">
        <v>23</v>
      </c>
      <c r="K566" t="s">
        <v>24</v>
      </c>
      <c r="L566">
        <v>38</v>
      </c>
      <c r="M566">
        <v>1830</v>
      </c>
      <c r="N566">
        <v>0.1</v>
      </c>
      <c r="O566">
        <v>1380</v>
      </c>
    </row>
    <row r="567" spans="1:15" x14ac:dyDescent="0.25">
      <c r="A567" t="s">
        <v>713</v>
      </c>
      <c r="B567">
        <v>45601</v>
      </c>
      <c r="C567" t="s">
        <v>56</v>
      </c>
      <c r="D567" t="s">
        <v>103</v>
      </c>
      <c r="E567" t="s">
        <v>58</v>
      </c>
      <c r="F567" t="s">
        <v>19</v>
      </c>
      <c r="G567" t="s">
        <v>46</v>
      </c>
      <c r="H567" t="s">
        <v>47</v>
      </c>
      <c r="I567" t="s">
        <v>48</v>
      </c>
      <c r="J567" t="s">
        <v>49</v>
      </c>
      <c r="K567" t="s">
        <v>24</v>
      </c>
      <c r="L567">
        <v>8</v>
      </c>
      <c r="M567">
        <v>1890</v>
      </c>
      <c r="N567">
        <v>0</v>
      </c>
      <c r="O567">
        <v>1370</v>
      </c>
    </row>
    <row r="568" spans="1:15" x14ac:dyDescent="0.25">
      <c r="A568" t="s">
        <v>714</v>
      </c>
      <c r="B568">
        <v>45601</v>
      </c>
      <c r="C568" t="s">
        <v>16</v>
      </c>
      <c r="D568" t="s">
        <v>191</v>
      </c>
      <c r="E568" t="s">
        <v>32</v>
      </c>
      <c r="F568" t="s">
        <v>52</v>
      </c>
      <c r="G568" t="s">
        <v>27</v>
      </c>
      <c r="H568" t="s">
        <v>28</v>
      </c>
      <c r="I568" t="s">
        <v>29</v>
      </c>
      <c r="J568" t="s">
        <v>23</v>
      </c>
      <c r="K568" t="s">
        <v>94</v>
      </c>
      <c r="L568">
        <v>6</v>
      </c>
      <c r="M568">
        <v>27270</v>
      </c>
      <c r="N568">
        <v>0</v>
      </c>
      <c r="O568">
        <v>21040</v>
      </c>
    </row>
    <row r="569" spans="1:15" x14ac:dyDescent="0.25">
      <c r="A569" t="s">
        <v>715</v>
      </c>
      <c r="B569">
        <v>45601</v>
      </c>
      <c r="C569" t="s">
        <v>16</v>
      </c>
      <c r="D569" t="s">
        <v>17</v>
      </c>
      <c r="E569" t="s">
        <v>32</v>
      </c>
      <c r="F569" t="s">
        <v>52</v>
      </c>
      <c r="G569" t="s">
        <v>20</v>
      </c>
      <c r="H569" t="s">
        <v>87</v>
      </c>
      <c r="I569" t="s">
        <v>88</v>
      </c>
      <c r="J569" t="s">
        <v>49</v>
      </c>
      <c r="K569" t="s">
        <v>24</v>
      </c>
      <c r="L569">
        <v>3</v>
      </c>
      <c r="M569">
        <v>30820</v>
      </c>
      <c r="N569">
        <v>0</v>
      </c>
      <c r="O569">
        <v>23050</v>
      </c>
    </row>
    <row r="570" spans="1:15" x14ac:dyDescent="0.25">
      <c r="A570" t="s">
        <v>716</v>
      </c>
      <c r="B570">
        <v>45602</v>
      </c>
      <c r="C570" t="s">
        <v>56</v>
      </c>
      <c r="D570" t="s">
        <v>103</v>
      </c>
      <c r="E570" t="s">
        <v>58</v>
      </c>
      <c r="F570" t="s">
        <v>19</v>
      </c>
      <c r="G570" t="s">
        <v>20</v>
      </c>
      <c r="H570" t="s">
        <v>87</v>
      </c>
      <c r="I570" t="s">
        <v>105</v>
      </c>
      <c r="J570" t="s">
        <v>23</v>
      </c>
      <c r="K570" t="s">
        <v>94</v>
      </c>
      <c r="L570">
        <v>2</v>
      </c>
      <c r="M570">
        <v>50030</v>
      </c>
      <c r="N570">
        <v>0.2</v>
      </c>
      <c r="O570">
        <v>37220</v>
      </c>
    </row>
    <row r="571" spans="1:15" x14ac:dyDescent="0.25">
      <c r="A571" t="s">
        <v>717</v>
      </c>
      <c r="B571">
        <v>45602</v>
      </c>
      <c r="C571" t="s">
        <v>16</v>
      </c>
      <c r="D571" t="s">
        <v>17</v>
      </c>
      <c r="E571" t="s">
        <v>18</v>
      </c>
      <c r="F571" t="s">
        <v>19</v>
      </c>
      <c r="G571" t="s">
        <v>20</v>
      </c>
      <c r="H571" t="s">
        <v>21</v>
      </c>
      <c r="I571" t="s">
        <v>362</v>
      </c>
      <c r="J571" t="s">
        <v>49</v>
      </c>
      <c r="K571" t="s">
        <v>24</v>
      </c>
      <c r="L571">
        <v>12</v>
      </c>
      <c r="M571">
        <v>9340</v>
      </c>
      <c r="N571">
        <v>0.15</v>
      </c>
      <c r="O571">
        <v>7210</v>
      </c>
    </row>
    <row r="572" spans="1:15" x14ac:dyDescent="0.25">
      <c r="A572" t="s">
        <v>718</v>
      </c>
      <c r="B572">
        <v>45602</v>
      </c>
      <c r="C572" t="s">
        <v>56</v>
      </c>
      <c r="D572" t="s">
        <v>127</v>
      </c>
      <c r="E572" t="s">
        <v>134</v>
      </c>
      <c r="F572" t="s">
        <v>19</v>
      </c>
      <c r="G572" t="s">
        <v>27</v>
      </c>
      <c r="H572" t="s">
        <v>214</v>
      </c>
      <c r="I572" t="s">
        <v>215</v>
      </c>
      <c r="J572" t="s">
        <v>40</v>
      </c>
      <c r="K572" t="s">
        <v>24</v>
      </c>
      <c r="L572">
        <v>4</v>
      </c>
      <c r="M572">
        <v>33880</v>
      </c>
      <c r="N572">
        <v>0.15</v>
      </c>
      <c r="O572">
        <v>19820</v>
      </c>
    </row>
    <row r="573" spans="1:15" x14ac:dyDescent="0.25">
      <c r="A573" t="s">
        <v>719</v>
      </c>
      <c r="B573">
        <v>45604</v>
      </c>
      <c r="C573" t="s">
        <v>56</v>
      </c>
      <c r="D573" t="s">
        <v>57</v>
      </c>
      <c r="E573" t="s">
        <v>58</v>
      </c>
      <c r="F573" t="s">
        <v>45</v>
      </c>
      <c r="G573" t="s">
        <v>20</v>
      </c>
      <c r="H573" t="s">
        <v>33</v>
      </c>
      <c r="I573" t="s">
        <v>34</v>
      </c>
      <c r="J573" t="s">
        <v>40</v>
      </c>
      <c r="K573" t="s">
        <v>24</v>
      </c>
      <c r="L573">
        <v>2</v>
      </c>
      <c r="M573">
        <v>58880</v>
      </c>
      <c r="N573">
        <v>0.1</v>
      </c>
      <c r="O573">
        <v>40400</v>
      </c>
    </row>
    <row r="574" spans="1:15" x14ac:dyDescent="0.25">
      <c r="A574" t="s">
        <v>720</v>
      </c>
      <c r="B574">
        <v>45604</v>
      </c>
      <c r="C574" t="s">
        <v>42</v>
      </c>
      <c r="D574" t="s">
        <v>123</v>
      </c>
      <c r="E574" t="s">
        <v>64</v>
      </c>
      <c r="F574" t="s">
        <v>92</v>
      </c>
      <c r="G574" t="s">
        <v>59</v>
      </c>
      <c r="H574" t="s">
        <v>69</v>
      </c>
      <c r="I574" t="s">
        <v>121</v>
      </c>
      <c r="J574" t="s">
        <v>40</v>
      </c>
      <c r="K574" t="s">
        <v>24</v>
      </c>
      <c r="L574">
        <v>12</v>
      </c>
      <c r="M574">
        <v>3630</v>
      </c>
      <c r="N574">
        <v>0.18</v>
      </c>
      <c r="O574">
        <v>2200</v>
      </c>
    </row>
    <row r="575" spans="1:15" x14ac:dyDescent="0.25">
      <c r="A575" t="s">
        <v>721</v>
      </c>
      <c r="B575">
        <v>45604</v>
      </c>
      <c r="C575" t="s">
        <v>42</v>
      </c>
      <c r="D575" t="s">
        <v>43</v>
      </c>
      <c r="E575" t="s">
        <v>97</v>
      </c>
      <c r="F575" t="s">
        <v>19</v>
      </c>
      <c r="G575" t="s">
        <v>27</v>
      </c>
      <c r="H575" t="s">
        <v>53</v>
      </c>
      <c r="I575" t="s">
        <v>54</v>
      </c>
      <c r="J575" t="s">
        <v>40</v>
      </c>
      <c r="K575" t="s">
        <v>94</v>
      </c>
      <c r="L575">
        <v>1</v>
      </c>
      <c r="M575">
        <v>44660</v>
      </c>
      <c r="N575">
        <v>0</v>
      </c>
      <c r="O575">
        <v>32700</v>
      </c>
    </row>
    <row r="576" spans="1:15" x14ac:dyDescent="0.25">
      <c r="A576" t="s">
        <v>722</v>
      </c>
      <c r="B576">
        <v>45604</v>
      </c>
      <c r="C576" t="s">
        <v>42</v>
      </c>
      <c r="D576" t="s">
        <v>146</v>
      </c>
      <c r="E576" t="s">
        <v>64</v>
      </c>
      <c r="F576" t="s">
        <v>19</v>
      </c>
      <c r="G576" t="s">
        <v>83</v>
      </c>
      <c r="H576" t="s">
        <v>136</v>
      </c>
      <c r="I576" t="s">
        <v>307</v>
      </c>
      <c r="J576" t="s">
        <v>49</v>
      </c>
      <c r="K576" t="s">
        <v>24</v>
      </c>
      <c r="L576">
        <v>16</v>
      </c>
      <c r="M576">
        <v>940</v>
      </c>
      <c r="N576">
        <v>0.12</v>
      </c>
      <c r="O576">
        <v>580</v>
      </c>
    </row>
    <row r="577" spans="1:15" x14ac:dyDescent="0.25">
      <c r="A577" t="s">
        <v>723</v>
      </c>
      <c r="B577">
        <v>45604</v>
      </c>
      <c r="C577" t="s">
        <v>16</v>
      </c>
      <c r="D577" t="s">
        <v>82</v>
      </c>
      <c r="E577" t="s">
        <v>32</v>
      </c>
      <c r="F577" t="s">
        <v>19</v>
      </c>
      <c r="G577" t="s">
        <v>83</v>
      </c>
      <c r="H577" t="s">
        <v>184</v>
      </c>
      <c r="I577" t="s">
        <v>196</v>
      </c>
      <c r="J577" t="s">
        <v>23</v>
      </c>
      <c r="K577" t="s">
        <v>24</v>
      </c>
      <c r="L577">
        <v>7</v>
      </c>
      <c r="M577">
        <v>3140</v>
      </c>
      <c r="N577">
        <v>0.15</v>
      </c>
      <c r="O577">
        <v>1900</v>
      </c>
    </row>
    <row r="578" spans="1:15" x14ac:dyDescent="0.25">
      <c r="A578" t="s">
        <v>724</v>
      </c>
      <c r="B578">
        <v>45604</v>
      </c>
      <c r="C578" t="s">
        <v>56</v>
      </c>
      <c r="D578" t="s">
        <v>143</v>
      </c>
      <c r="E578" t="s">
        <v>58</v>
      </c>
      <c r="F578" t="s">
        <v>19</v>
      </c>
      <c r="G578" t="s">
        <v>59</v>
      </c>
      <c r="H578" t="s">
        <v>73</v>
      </c>
      <c r="I578" t="s">
        <v>74</v>
      </c>
      <c r="J578" t="s">
        <v>49</v>
      </c>
      <c r="K578" t="s">
        <v>24</v>
      </c>
      <c r="L578">
        <v>1</v>
      </c>
      <c r="M578">
        <v>45570</v>
      </c>
      <c r="N578">
        <v>0.2</v>
      </c>
      <c r="O578">
        <v>26000</v>
      </c>
    </row>
    <row r="579" spans="1:15" x14ac:dyDescent="0.25">
      <c r="A579" t="s">
        <v>725</v>
      </c>
      <c r="B579">
        <v>45604</v>
      </c>
      <c r="C579" t="s">
        <v>76</v>
      </c>
      <c r="D579" t="s">
        <v>125</v>
      </c>
      <c r="E579" t="s">
        <v>78</v>
      </c>
      <c r="F579" t="s">
        <v>19</v>
      </c>
      <c r="G579" t="s">
        <v>83</v>
      </c>
      <c r="H579" t="s">
        <v>84</v>
      </c>
      <c r="I579" t="s">
        <v>85</v>
      </c>
      <c r="J579" t="s">
        <v>49</v>
      </c>
      <c r="K579" t="s">
        <v>35</v>
      </c>
      <c r="L579">
        <v>4</v>
      </c>
      <c r="M579">
        <v>2590</v>
      </c>
      <c r="N579">
        <v>0.12</v>
      </c>
      <c r="O579">
        <v>1820</v>
      </c>
    </row>
    <row r="580" spans="1:15" x14ac:dyDescent="0.25">
      <c r="A580" t="s">
        <v>726</v>
      </c>
      <c r="B580">
        <v>45606</v>
      </c>
      <c r="C580" t="s">
        <v>16</v>
      </c>
      <c r="D580" t="s">
        <v>82</v>
      </c>
      <c r="E580" t="s">
        <v>18</v>
      </c>
      <c r="F580" t="s">
        <v>45</v>
      </c>
      <c r="G580" t="s">
        <v>83</v>
      </c>
      <c r="H580" t="s">
        <v>184</v>
      </c>
      <c r="I580" t="s">
        <v>185</v>
      </c>
      <c r="J580" t="s">
        <v>23</v>
      </c>
      <c r="K580" t="s">
        <v>24</v>
      </c>
      <c r="L580">
        <v>19</v>
      </c>
      <c r="M580">
        <v>4820</v>
      </c>
      <c r="N580">
        <v>0.15</v>
      </c>
      <c r="O580">
        <v>3490</v>
      </c>
    </row>
    <row r="581" spans="1:15" x14ac:dyDescent="0.25">
      <c r="A581" t="s">
        <v>727</v>
      </c>
      <c r="B581">
        <v>45606</v>
      </c>
      <c r="C581" t="s">
        <v>37</v>
      </c>
      <c r="D581" t="s">
        <v>115</v>
      </c>
      <c r="E581" t="s">
        <v>39</v>
      </c>
      <c r="F581" t="s">
        <v>45</v>
      </c>
      <c r="G581" t="s">
        <v>46</v>
      </c>
      <c r="H581" t="s">
        <v>100</v>
      </c>
      <c r="I581" t="s">
        <v>101</v>
      </c>
      <c r="J581" t="s">
        <v>40</v>
      </c>
      <c r="K581" t="s">
        <v>119</v>
      </c>
      <c r="L581">
        <v>74</v>
      </c>
      <c r="M581">
        <v>1840</v>
      </c>
      <c r="N581">
        <v>0.1</v>
      </c>
      <c r="O581">
        <v>1370</v>
      </c>
    </row>
    <row r="582" spans="1:15" x14ac:dyDescent="0.25">
      <c r="A582" t="s">
        <v>728</v>
      </c>
      <c r="B582">
        <v>45606</v>
      </c>
      <c r="C582" t="s">
        <v>76</v>
      </c>
      <c r="D582" t="s">
        <v>125</v>
      </c>
      <c r="E582" t="s">
        <v>170</v>
      </c>
      <c r="F582" t="s">
        <v>52</v>
      </c>
      <c r="G582" t="s">
        <v>27</v>
      </c>
      <c r="H582" t="s">
        <v>214</v>
      </c>
      <c r="I582" t="s">
        <v>252</v>
      </c>
      <c r="J582" t="s">
        <v>40</v>
      </c>
      <c r="K582" t="s">
        <v>24</v>
      </c>
      <c r="L582">
        <v>1</v>
      </c>
      <c r="M582">
        <v>14930</v>
      </c>
      <c r="N582">
        <v>0.1</v>
      </c>
      <c r="O582">
        <v>11620</v>
      </c>
    </row>
    <row r="583" spans="1:15" x14ac:dyDescent="0.25">
      <c r="A583" t="s">
        <v>729</v>
      </c>
      <c r="B583">
        <v>45606</v>
      </c>
      <c r="C583" t="s">
        <v>42</v>
      </c>
      <c r="D583" t="s">
        <v>43</v>
      </c>
      <c r="E583" t="s">
        <v>97</v>
      </c>
      <c r="F583" t="s">
        <v>92</v>
      </c>
      <c r="G583" t="s">
        <v>46</v>
      </c>
      <c r="H583" t="s">
        <v>100</v>
      </c>
      <c r="I583" t="s">
        <v>177</v>
      </c>
      <c r="J583" t="s">
        <v>40</v>
      </c>
      <c r="K583" t="s">
        <v>24</v>
      </c>
      <c r="L583">
        <v>85</v>
      </c>
      <c r="M583">
        <v>2520</v>
      </c>
      <c r="N583">
        <v>0.05</v>
      </c>
      <c r="O583">
        <v>1570</v>
      </c>
    </row>
    <row r="584" spans="1:15" x14ac:dyDescent="0.25">
      <c r="A584" t="s">
        <v>730</v>
      </c>
      <c r="B584">
        <v>45607</v>
      </c>
      <c r="C584" t="s">
        <v>76</v>
      </c>
      <c r="D584" t="s">
        <v>77</v>
      </c>
      <c r="E584" t="s">
        <v>170</v>
      </c>
      <c r="F584" t="s">
        <v>19</v>
      </c>
      <c r="G584" t="s">
        <v>46</v>
      </c>
      <c r="H584" t="s">
        <v>100</v>
      </c>
      <c r="I584" t="s">
        <v>177</v>
      </c>
      <c r="J584" t="s">
        <v>40</v>
      </c>
      <c r="K584" t="s">
        <v>24</v>
      </c>
      <c r="L584">
        <v>18</v>
      </c>
      <c r="M584">
        <v>2430</v>
      </c>
      <c r="N584">
        <v>0.2</v>
      </c>
      <c r="O584">
        <v>1750</v>
      </c>
    </row>
    <row r="585" spans="1:15" x14ac:dyDescent="0.25">
      <c r="A585" t="s">
        <v>731</v>
      </c>
      <c r="B585">
        <v>45607</v>
      </c>
      <c r="C585" t="s">
        <v>56</v>
      </c>
      <c r="D585" t="s">
        <v>57</v>
      </c>
      <c r="E585" t="s">
        <v>134</v>
      </c>
      <c r="F585" t="s">
        <v>19</v>
      </c>
      <c r="G585" t="s">
        <v>83</v>
      </c>
      <c r="H585" t="s">
        <v>136</v>
      </c>
      <c r="I585" t="s">
        <v>307</v>
      </c>
      <c r="J585" t="s">
        <v>40</v>
      </c>
      <c r="K585" t="s">
        <v>24</v>
      </c>
      <c r="L585">
        <v>32</v>
      </c>
      <c r="M585">
        <v>910</v>
      </c>
      <c r="N585">
        <v>0.15</v>
      </c>
      <c r="O585">
        <v>600</v>
      </c>
    </row>
    <row r="586" spans="1:15" x14ac:dyDescent="0.25">
      <c r="A586" t="s">
        <v>732</v>
      </c>
      <c r="B586">
        <v>45607</v>
      </c>
      <c r="C586" t="s">
        <v>42</v>
      </c>
      <c r="D586" t="s">
        <v>43</v>
      </c>
      <c r="E586" t="s">
        <v>97</v>
      </c>
      <c r="F586" t="s">
        <v>19</v>
      </c>
      <c r="G586" t="s">
        <v>27</v>
      </c>
      <c r="H586" t="s">
        <v>79</v>
      </c>
      <c r="I586" t="s">
        <v>80</v>
      </c>
      <c r="J586" t="s">
        <v>40</v>
      </c>
      <c r="K586" t="s">
        <v>35</v>
      </c>
      <c r="L586">
        <v>11</v>
      </c>
      <c r="M586">
        <v>4810</v>
      </c>
      <c r="N586">
        <v>0.1</v>
      </c>
      <c r="O586">
        <v>2890</v>
      </c>
    </row>
    <row r="587" spans="1:15" x14ac:dyDescent="0.25">
      <c r="A587" t="s">
        <v>733</v>
      </c>
      <c r="B587">
        <v>45607</v>
      </c>
      <c r="C587" t="s">
        <v>56</v>
      </c>
      <c r="D587" t="s">
        <v>133</v>
      </c>
      <c r="E587" t="s">
        <v>91</v>
      </c>
      <c r="F587" t="s">
        <v>92</v>
      </c>
      <c r="G587" t="s">
        <v>46</v>
      </c>
      <c r="H587" t="s">
        <v>179</v>
      </c>
      <c r="I587" t="s">
        <v>236</v>
      </c>
      <c r="J587" t="s">
        <v>23</v>
      </c>
      <c r="K587" t="s">
        <v>24</v>
      </c>
      <c r="L587">
        <v>11</v>
      </c>
      <c r="M587">
        <v>2290</v>
      </c>
      <c r="N587">
        <v>0.18</v>
      </c>
      <c r="O587">
        <v>1590</v>
      </c>
    </row>
    <row r="588" spans="1:15" x14ac:dyDescent="0.25">
      <c r="A588" t="s">
        <v>734</v>
      </c>
      <c r="B588">
        <v>45607</v>
      </c>
      <c r="C588" t="s">
        <v>76</v>
      </c>
      <c r="D588" t="s">
        <v>125</v>
      </c>
      <c r="E588" t="s">
        <v>170</v>
      </c>
      <c r="F588" t="s">
        <v>52</v>
      </c>
      <c r="G588" t="s">
        <v>83</v>
      </c>
      <c r="H588" t="s">
        <v>184</v>
      </c>
      <c r="I588" t="s">
        <v>196</v>
      </c>
      <c r="J588" t="s">
        <v>23</v>
      </c>
      <c r="K588" t="s">
        <v>24</v>
      </c>
      <c r="L588">
        <v>3</v>
      </c>
      <c r="M588">
        <v>3450</v>
      </c>
      <c r="N588">
        <v>0.15</v>
      </c>
      <c r="O588">
        <v>2230</v>
      </c>
    </row>
    <row r="589" spans="1:15" x14ac:dyDescent="0.25">
      <c r="A589" t="s">
        <v>735</v>
      </c>
      <c r="B589">
        <v>45608</v>
      </c>
      <c r="C589" t="s">
        <v>76</v>
      </c>
      <c r="D589" t="s">
        <v>77</v>
      </c>
      <c r="E589" t="s">
        <v>78</v>
      </c>
      <c r="F589" t="s">
        <v>19</v>
      </c>
      <c r="G589" t="s">
        <v>27</v>
      </c>
      <c r="H589" t="s">
        <v>28</v>
      </c>
      <c r="I589" t="s">
        <v>29</v>
      </c>
      <c r="J589" t="s">
        <v>23</v>
      </c>
      <c r="K589" t="s">
        <v>24</v>
      </c>
      <c r="L589">
        <v>8</v>
      </c>
      <c r="M589">
        <v>29970</v>
      </c>
      <c r="N589">
        <v>0.1</v>
      </c>
      <c r="O589">
        <v>22410</v>
      </c>
    </row>
    <row r="590" spans="1:15" x14ac:dyDescent="0.25">
      <c r="A590" t="s">
        <v>736</v>
      </c>
      <c r="B590">
        <v>45608</v>
      </c>
      <c r="C590" t="s">
        <v>56</v>
      </c>
      <c r="D590" t="s">
        <v>127</v>
      </c>
      <c r="E590" t="s">
        <v>58</v>
      </c>
      <c r="F590" t="s">
        <v>52</v>
      </c>
      <c r="G590" t="s">
        <v>83</v>
      </c>
      <c r="H590" t="s">
        <v>84</v>
      </c>
      <c r="I590" t="s">
        <v>292</v>
      </c>
      <c r="J590" t="s">
        <v>40</v>
      </c>
      <c r="K590" t="s">
        <v>24</v>
      </c>
      <c r="L590">
        <v>2</v>
      </c>
      <c r="M590">
        <v>41490</v>
      </c>
      <c r="N590">
        <v>0.1</v>
      </c>
      <c r="O590">
        <v>28320</v>
      </c>
    </row>
    <row r="591" spans="1:15" x14ac:dyDescent="0.25">
      <c r="A591" t="s">
        <v>737</v>
      </c>
      <c r="B591">
        <v>45608</v>
      </c>
      <c r="C591" t="s">
        <v>56</v>
      </c>
      <c r="D591" t="s">
        <v>127</v>
      </c>
      <c r="E591" t="s">
        <v>91</v>
      </c>
      <c r="F591" t="s">
        <v>52</v>
      </c>
      <c r="G591" t="s">
        <v>20</v>
      </c>
      <c r="H591" t="s">
        <v>87</v>
      </c>
      <c r="I591" t="s">
        <v>105</v>
      </c>
      <c r="J591" t="s">
        <v>49</v>
      </c>
      <c r="K591" t="s">
        <v>24</v>
      </c>
      <c r="L591">
        <v>3</v>
      </c>
      <c r="M591">
        <v>52220</v>
      </c>
      <c r="N591">
        <v>0</v>
      </c>
      <c r="O591">
        <v>36510</v>
      </c>
    </row>
    <row r="592" spans="1:15" x14ac:dyDescent="0.25">
      <c r="A592" t="s">
        <v>738</v>
      </c>
      <c r="B592">
        <v>45609</v>
      </c>
      <c r="C592" t="s">
        <v>37</v>
      </c>
      <c r="D592" t="s">
        <v>115</v>
      </c>
      <c r="E592" t="s">
        <v>39</v>
      </c>
      <c r="F592" t="s">
        <v>92</v>
      </c>
      <c r="G592" t="s">
        <v>20</v>
      </c>
      <c r="H592" t="s">
        <v>87</v>
      </c>
      <c r="I592" t="s">
        <v>105</v>
      </c>
      <c r="J592" t="s">
        <v>23</v>
      </c>
      <c r="K592" t="s">
        <v>24</v>
      </c>
      <c r="L592">
        <v>6</v>
      </c>
      <c r="M592">
        <v>55800</v>
      </c>
      <c r="N592">
        <v>0.15</v>
      </c>
      <c r="O592">
        <v>42310</v>
      </c>
    </row>
    <row r="593" spans="1:15" x14ac:dyDescent="0.25">
      <c r="A593" t="s">
        <v>739</v>
      </c>
      <c r="B593">
        <v>45609</v>
      </c>
      <c r="C593" t="s">
        <v>37</v>
      </c>
      <c r="D593" t="s">
        <v>38</v>
      </c>
      <c r="E593" t="s">
        <v>39</v>
      </c>
      <c r="F593" t="s">
        <v>92</v>
      </c>
      <c r="G593" t="s">
        <v>27</v>
      </c>
      <c r="H593" t="s">
        <v>53</v>
      </c>
      <c r="I593" t="s">
        <v>54</v>
      </c>
      <c r="J593" t="s">
        <v>40</v>
      </c>
      <c r="K593" t="s">
        <v>24</v>
      </c>
      <c r="L593">
        <v>5</v>
      </c>
      <c r="M593">
        <v>41460</v>
      </c>
      <c r="N593">
        <v>0</v>
      </c>
      <c r="O593">
        <v>29110</v>
      </c>
    </row>
    <row r="594" spans="1:15" x14ac:dyDescent="0.25">
      <c r="A594" t="s">
        <v>740</v>
      </c>
      <c r="B594">
        <v>45609</v>
      </c>
      <c r="C594" t="s">
        <v>16</v>
      </c>
      <c r="D594" t="s">
        <v>51</v>
      </c>
      <c r="E594" t="s">
        <v>32</v>
      </c>
      <c r="F594" t="s">
        <v>45</v>
      </c>
      <c r="G594" t="s">
        <v>20</v>
      </c>
      <c r="H594" t="s">
        <v>109</v>
      </c>
      <c r="I594" t="s">
        <v>171</v>
      </c>
      <c r="J594" t="s">
        <v>40</v>
      </c>
      <c r="K594" t="s">
        <v>24</v>
      </c>
      <c r="L594">
        <v>2</v>
      </c>
      <c r="M594">
        <v>21840</v>
      </c>
      <c r="N594">
        <v>0.2</v>
      </c>
      <c r="O594">
        <v>15930</v>
      </c>
    </row>
    <row r="595" spans="1:15" x14ac:dyDescent="0.25">
      <c r="A595" t="s">
        <v>741</v>
      </c>
      <c r="B595">
        <v>45609</v>
      </c>
      <c r="C595" t="s">
        <v>16</v>
      </c>
      <c r="D595" t="s">
        <v>51</v>
      </c>
      <c r="E595" t="s">
        <v>32</v>
      </c>
      <c r="F595" t="s">
        <v>52</v>
      </c>
      <c r="G595" t="s">
        <v>46</v>
      </c>
      <c r="H595" t="s">
        <v>100</v>
      </c>
      <c r="I595" t="s">
        <v>101</v>
      </c>
      <c r="J595" t="s">
        <v>23</v>
      </c>
      <c r="K595" t="s">
        <v>24</v>
      </c>
      <c r="L595">
        <v>26</v>
      </c>
      <c r="M595">
        <v>1940</v>
      </c>
      <c r="N595">
        <v>0.08</v>
      </c>
      <c r="O595">
        <v>1300</v>
      </c>
    </row>
    <row r="596" spans="1:15" x14ac:dyDescent="0.25">
      <c r="A596" t="s">
        <v>742</v>
      </c>
      <c r="B596">
        <v>45610</v>
      </c>
      <c r="C596" t="s">
        <v>42</v>
      </c>
      <c r="D596" t="s">
        <v>146</v>
      </c>
      <c r="E596" t="s">
        <v>44</v>
      </c>
      <c r="F596" t="s">
        <v>19</v>
      </c>
      <c r="G596" t="s">
        <v>20</v>
      </c>
      <c r="H596" t="s">
        <v>21</v>
      </c>
      <c r="I596" t="s">
        <v>22</v>
      </c>
      <c r="J596" t="s">
        <v>23</v>
      </c>
      <c r="K596" t="s">
        <v>24</v>
      </c>
      <c r="L596">
        <v>29</v>
      </c>
      <c r="M596">
        <v>1770</v>
      </c>
      <c r="N596">
        <v>0.08</v>
      </c>
      <c r="O596">
        <v>1220</v>
      </c>
    </row>
    <row r="597" spans="1:15" x14ac:dyDescent="0.25">
      <c r="A597" t="s">
        <v>743</v>
      </c>
      <c r="B597">
        <v>45610</v>
      </c>
      <c r="C597" t="s">
        <v>42</v>
      </c>
      <c r="D597" t="s">
        <v>96</v>
      </c>
      <c r="E597" t="s">
        <v>97</v>
      </c>
      <c r="F597" t="s">
        <v>92</v>
      </c>
      <c r="G597" t="s">
        <v>83</v>
      </c>
      <c r="H597" t="s">
        <v>184</v>
      </c>
      <c r="I597" t="s">
        <v>185</v>
      </c>
      <c r="J597" t="s">
        <v>23</v>
      </c>
      <c r="K597" t="s">
        <v>119</v>
      </c>
      <c r="L597">
        <v>22</v>
      </c>
      <c r="M597">
        <v>4860</v>
      </c>
      <c r="N597">
        <v>0.15</v>
      </c>
      <c r="O597">
        <v>3570</v>
      </c>
    </row>
    <row r="598" spans="1:15" x14ac:dyDescent="0.25">
      <c r="A598" t="s">
        <v>744</v>
      </c>
      <c r="B598">
        <v>45610</v>
      </c>
      <c r="C598" t="s">
        <v>16</v>
      </c>
      <c r="D598" t="s">
        <v>153</v>
      </c>
      <c r="E598" t="s">
        <v>18</v>
      </c>
      <c r="F598" t="s">
        <v>92</v>
      </c>
      <c r="G598" t="s">
        <v>83</v>
      </c>
      <c r="H598" t="s">
        <v>84</v>
      </c>
      <c r="I598" t="s">
        <v>85</v>
      </c>
      <c r="J598" t="s">
        <v>23</v>
      </c>
      <c r="K598" t="s">
        <v>24</v>
      </c>
      <c r="L598">
        <v>52</v>
      </c>
      <c r="M598">
        <v>2440</v>
      </c>
      <c r="N598">
        <v>0.2</v>
      </c>
      <c r="O598">
        <v>1870</v>
      </c>
    </row>
    <row r="599" spans="1:15" x14ac:dyDescent="0.25">
      <c r="A599" t="s">
        <v>745</v>
      </c>
      <c r="B599">
        <v>45611</v>
      </c>
      <c r="C599" t="s">
        <v>56</v>
      </c>
      <c r="D599" t="s">
        <v>143</v>
      </c>
      <c r="E599" t="s">
        <v>91</v>
      </c>
      <c r="F599" t="s">
        <v>45</v>
      </c>
      <c r="G599" t="s">
        <v>59</v>
      </c>
      <c r="H599" t="s">
        <v>154</v>
      </c>
      <c r="I599" t="s">
        <v>249</v>
      </c>
      <c r="J599" t="s">
        <v>23</v>
      </c>
      <c r="K599" t="s">
        <v>119</v>
      </c>
      <c r="L599">
        <v>9</v>
      </c>
      <c r="M599">
        <v>6190</v>
      </c>
      <c r="N599">
        <v>0.08</v>
      </c>
      <c r="O599">
        <v>3870</v>
      </c>
    </row>
    <row r="600" spans="1:15" x14ac:dyDescent="0.25">
      <c r="A600" t="s">
        <v>746</v>
      </c>
      <c r="B600">
        <v>45611</v>
      </c>
      <c r="C600" t="s">
        <v>42</v>
      </c>
      <c r="D600" t="s">
        <v>146</v>
      </c>
      <c r="E600" t="s">
        <v>44</v>
      </c>
      <c r="F600" t="s">
        <v>19</v>
      </c>
      <c r="G600" t="s">
        <v>27</v>
      </c>
      <c r="H600" t="s">
        <v>53</v>
      </c>
      <c r="I600" t="s">
        <v>131</v>
      </c>
      <c r="J600" t="s">
        <v>23</v>
      </c>
      <c r="K600" t="s">
        <v>24</v>
      </c>
      <c r="L600">
        <v>2</v>
      </c>
      <c r="M600">
        <v>34660</v>
      </c>
      <c r="N600">
        <v>0.15</v>
      </c>
      <c r="O600">
        <v>25730</v>
      </c>
    </row>
    <row r="601" spans="1:15" x14ac:dyDescent="0.25">
      <c r="A601" t="s">
        <v>747</v>
      </c>
      <c r="B601">
        <v>45612</v>
      </c>
      <c r="C601" t="s">
        <v>56</v>
      </c>
      <c r="D601" t="s">
        <v>57</v>
      </c>
      <c r="E601" t="s">
        <v>134</v>
      </c>
      <c r="F601" t="s">
        <v>19</v>
      </c>
      <c r="G601" t="s">
        <v>83</v>
      </c>
      <c r="H601" t="s">
        <v>136</v>
      </c>
      <c r="I601" t="s">
        <v>307</v>
      </c>
      <c r="J601" t="s">
        <v>49</v>
      </c>
      <c r="K601" t="s">
        <v>24</v>
      </c>
      <c r="L601">
        <v>39</v>
      </c>
      <c r="M601">
        <v>870</v>
      </c>
      <c r="N601">
        <v>0.05</v>
      </c>
      <c r="O601">
        <v>520</v>
      </c>
    </row>
    <row r="602" spans="1:15" x14ac:dyDescent="0.25">
      <c r="A602" t="s">
        <v>748</v>
      </c>
      <c r="B602">
        <v>45612</v>
      </c>
      <c r="C602" t="s">
        <v>76</v>
      </c>
      <c r="D602" t="s">
        <v>125</v>
      </c>
      <c r="E602" t="s">
        <v>78</v>
      </c>
      <c r="F602" t="s">
        <v>52</v>
      </c>
      <c r="G602" t="s">
        <v>20</v>
      </c>
      <c r="H602" t="s">
        <v>21</v>
      </c>
      <c r="I602" t="s">
        <v>65</v>
      </c>
      <c r="J602" t="s">
        <v>40</v>
      </c>
      <c r="K602" t="s">
        <v>24</v>
      </c>
      <c r="L602">
        <v>9</v>
      </c>
      <c r="M602">
        <v>9040</v>
      </c>
      <c r="N602">
        <v>0</v>
      </c>
      <c r="O602">
        <v>5620</v>
      </c>
    </row>
    <row r="603" spans="1:15" x14ac:dyDescent="0.25">
      <c r="A603" t="s">
        <v>749</v>
      </c>
      <c r="B603">
        <v>45612</v>
      </c>
      <c r="C603" t="s">
        <v>37</v>
      </c>
      <c r="D603" t="s">
        <v>67</v>
      </c>
      <c r="E603" t="s">
        <v>39</v>
      </c>
      <c r="F603" t="s">
        <v>19</v>
      </c>
      <c r="G603" t="s">
        <v>27</v>
      </c>
      <c r="H603" t="s">
        <v>214</v>
      </c>
      <c r="I603" t="s">
        <v>215</v>
      </c>
      <c r="J603" t="s">
        <v>40</v>
      </c>
      <c r="K603" t="s">
        <v>24</v>
      </c>
      <c r="L603">
        <v>4</v>
      </c>
      <c r="M603">
        <v>36470</v>
      </c>
      <c r="N603">
        <v>0.12</v>
      </c>
      <c r="O603">
        <v>22360</v>
      </c>
    </row>
    <row r="604" spans="1:15" x14ac:dyDescent="0.25">
      <c r="A604" t="s">
        <v>750</v>
      </c>
      <c r="B604">
        <v>45612</v>
      </c>
      <c r="C604" t="s">
        <v>76</v>
      </c>
      <c r="D604" t="s">
        <v>150</v>
      </c>
      <c r="E604" t="s">
        <v>170</v>
      </c>
      <c r="F604" t="s">
        <v>52</v>
      </c>
      <c r="G604" t="s">
        <v>20</v>
      </c>
      <c r="H604" t="s">
        <v>21</v>
      </c>
      <c r="I604" t="s">
        <v>22</v>
      </c>
      <c r="J604" t="s">
        <v>49</v>
      </c>
      <c r="K604" t="s">
        <v>24</v>
      </c>
      <c r="L604">
        <v>18</v>
      </c>
      <c r="M604">
        <v>1770</v>
      </c>
      <c r="N604">
        <v>0.08</v>
      </c>
      <c r="O604">
        <v>1110</v>
      </c>
    </row>
    <row r="605" spans="1:15" x14ac:dyDescent="0.25">
      <c r="A605" t="s">
        <v>751</v>
      </c>
      <c r="B605">
        <v>45613</v>
      </c>
      <c r="C605" t="s">
        <v>37</v>
      </c>
      <c r="D605" t="s">
        <v>67</v>
      </c>
      <c r="E605" t="s">
        <v>39</v>
      </c>
      <c r="F605" t="s">
        <v>19</v>
      </c>
      <c r="G605" t="s">
        <v>83</v>
      </c>
      <c r="H605" t="s">
        <v>184</v>
      </c>
      <c r="I605" t="s">
        <v>185</v>
      </c>
      <c r="J605" t="s">
        <v>23</v>
      </c>
      <c r="K605" t="s">
        <v>24</v>
      </c>
      <c r="L605">
        <v>11</v>
      </c>
      <c r="M605">
        <v>4620</v>
      </c>
      <c r="N605">
        <v>0</v>
      </c>
      <c r="O605">
        <v>3630</v>
      </c>
    </row>
    <row r="606" spans="1:15" x14ac:dyDescent="0.25">
      <c r="A606" t="s">
        <v>752</v>
      </c>
      <c r="B606">
        <v>45613</v>
      </c>
      <c r="C606" t="s">
        <v>16</v>
      </c>
      <c r="D606" t="s">
        <v>82</v>
      </c>
      <c r="E606" t="s">
        <v>32</v>
      </c>
      <c r="F606" t="s">
        <v>45</v>
      </c>
      <c r="G606" t="s">
        <v>59</v>
      </c>
      <c r="H606" t="s">
        <v>154</v>
      </c>
      <c r="I606" t="s">
        <v>249</v>
      </c>
      <c r="J606" t="s">
        <v>23</v>
      </c>
      <c r="K606" t="s">
        <v>24</v>
      </c>
      <c r="L606">
        <v>21</v>
      </c>
      <c r="M606">
        <v>6410</v>
      </c>
      <c r="N606">
        <v>0.1</v>
      </c>
      <c r="O606">
        <v>4620</v>
      </c>
    </row>
    <row r="607" spans="1:15" x14ac:dyDescent="0.25">
      <c r="A607" t="s">
        <v>753</v>
      </c>
      <c r="B607">
        <v>45613</v>
      </c>
      <c r="C607" t="s">
        <v>37</v>
      </c>
      <c r="D607" t="s">
        <v>213</v>
      </c>
      <c r="E607" t="s">
        <v>68</v>
      </c>
      <c r="F607" t="s">
        <v>52</v>
      </c>
      <c r="G607" t="s">
        <v>83</v>
      </c>
      <c r="H607" t="s">
        <v>184</v>
      </c>
      <c r="I607" t="s">
        <v>185</v>
      </c>
      <c r="J607" t="s">
        <v>23</v>
      </c>
      <c r="K607" t="s">
        <v>24</v>
      </c>
      <c r="L607">
        <v>8</v>
      </c>
      <c r="M607">
        <v>4410</v>
      </c>
      <c r="N607">
        <v>0.1</v>
      </c>
      <c r="O607">
        <v>3190</v>
      </c>
    </row>
    <row r="608" spans="1:15" x14ac:dyDescent="0.25">
      <c r="A608" t="s">
        <v>754</v>
      </c>
      <c r="B608">
        <v>45613</v>
      </c>
      <c r="C608" t="s">
        <v>76</v>
      </c>
      <c r="D608" t="s">
        <v>125</v>
      </c>
      <c r="E608" t="s">
        <v>78</v>
      </c>
      <c r="F608" t="s">
        <v>52</v>
      </c>
      <c r="G608" t="s">
        <v>59</v>
      </c>
      <c r="H608" t="s">
        <v>154</v>
      </c>
      <c r="I608" t="s">
        <v>155</v>
      </c>
      <c r="J608" t="s">
        <v>40</v>
      </c>
      <c r="K608" t="s">
        <v>24</v>
      </c>
      <c r="L608">
        <v>7</v>
      </c>
      <c r="M608">
        <v>12960</v>
      </c>
      <c r="N608">
        <v>0.2</v>
      </c>
      <c r="O608">
        <v>7600</v>
      </c>
    </row>
    <row r="609" spans="1:15" x14ac:dyDescent="0.25">
      <c r="A609" t="s">
        <v>755</v>
      </c>
      <c r="B609">
        <v>45614</v>
      </c>
      <c r="C609" t="s">
        <v>37</v>
      </c>
      <c r="D609" t="s">
        <v>115</v>
      </c>
      <c r="E609" t="s">
        <v>68</v>
      </c>
      <c r="F609" t="s">
        <v>19</v>
      </c>
      <c r="G609" t="s">
        <v>46</v>
      </c>
      <c r="H609" t="s">
        <v>47</v>
      </c>
      <c r="I609" t="s">
        <v>93</v>
      </c>
      <c r="J609" t="s">
        <v>40</v>
      </c>
      <c r="K609" t="s">
        <v>94</v>
      </c>
      <c r="L609">
        <v>6</v>
      </c>
      <c r="M609">
        <v>1170</v>
      </c>
      <c r="N609">
        <v>0.05</v>
      </c>
      <c r="O609">
        <v>890</v>
      </c>
    </row>
    <row r="610" spans="1:15" x14ac:dyDescent="0.25">
      <c r="A610" t="s">
        <v>756</v>
      </c>
      <c r="B610">
        <v>45615</v>
      </c>
      <c r="C610" t="s">
        <v>16</v>
      </c>
      <c r="D610" t="s">
        <v>153</v>
      </c>
      <c r="E610" t="s">
        <v>32</v>
      </c>
      <c r="F610" t="s">
        <v>52</v>
      </c>
      <c r="G610" t="s">
        <v>20</v>
      </c>
      <c r="H610" t="s">
        <v>21</v>
      </c>
      <c r="I610" t="s">
        <v>65</v>
      </c>
      <c r="J610" t="s">
        <v>23</v>
      </c>
      <c r="K610" t="s">
        <v>94</v>
      </c>
      <c r="L610">
        <v>3</v>
      </c>
      <c r="M610">
        <v>8840</v>
      </c>
      <c r="N610">
        <v>0.08</v>
      </c>
      <c r="O610">
        <v>6590</v>
      </c>
    </row>
    <row r="611" spans="1:15" x14ac:dyDescent="0.25">
      <c r="A611" t="s">
        <v>757</v>
      </c>
      <c r="B611">
        <v>45615</v>
      </c>
      <c r="C611" t="s">
        <v>37</v>
      </c>
      <c r="D611" t="s">
        <v>213</v>
      </c>
      <c r="E611" t="s">
        <v>68</v>
      </c>
      <c r="F611" t="s">
        <v>19</v>
      </c>
      <c r="G611" t="s">
        <v>20</v>
      </c>
      <c r="H611" t="s">
        <v>87</v>
      </c>
      <c r="I611" t="s">
        <v>105</v>
      </c>
      <c r="J611" t="s">
        <v>40</v>
      </c>
      <c r="K611" t="s">
        <v>24</v>
      </c>
      <c r="L611">
        <v>3</v>
      </c>
      <c r="M611">
        <v>54770</v>
      </c>
      <c r="N611">
        <v>0.1</v>
      </c>
      <c r="O611">
        <v>40010</v>
      </c>
    </row>
    <row r="612" spans="1:15" x14ac:dyDescent="0.25">
      <c r="A612" t="s">
        <v>758</v>
      </c>
      <c r="B612">
        <v>45615</v>
      </c>
      <c r="C612" t="s">
        <v>16</v>
      </c>
      <c r="D612" t="s">
        <v>82</v>
      </c>
      <c r="E612" t="s">
        <v>18</v>
      </c>
      <c r="F612" t="s">
        <v>19</v>
      </c>
      <c r="G612" t="s">
        <v>83</v>
      </c>
      <c r="H612" t="s">
        <v>184</v>
      </c>
      <c r="I612" t="s">
        <v>196</v>
      </c>
      <c r="J612" t="s">
        <v>40</v>
      </c>
      <c r="K612" t="s">
        <v>24</v>
      </c>
      <c r="L612">
        <v>12</v>
      </c>
      <c r="M612">
        <v>3390</v>
      </c>
      <c r="N612">
        <v>0</v>
      </c>
      <c r="O612">
        <v>2160</v>
      </c>
    </row>
    <row r="613" spans="1:15" x14ac:dyDescent="0.25">
      <c r="A613" t="s">
        <v>759</v>
      </c>
      <c r="B613">
        <v>45616</v>
      </c>
      <c r="C613" t="s">
        <v>37</v>
      </c>
      <c r="D613" t="s">
        <v>213</v>
      </c>
      <c r="E613" t="s">
        <v>68</v>
      </c>
      <c r="F613" t="s">
        <v>19</v>
      </c>
      <c r="G613" t="s">
        <v>83</v>
      </c>
      <c r="H613" t="s">
        <v>136</v>
      </c>
      <c r="I613" t="s">
        <v>307</v>
      </c>
      <c r="J613" t="s">
        <v>40</v>
      </c>
      <c r="K613" t="s">
        <v>24</v>
      </c>
      <c r="L613">
        <v>11</v>
      </c>
      <c r="M613">
        <v>950</v>
      </c>
      <c r="N613">
        <v>0.08</v>
      </c>
      <c r="O613">
        <v>620</v>
      </c>
    </row>
    <row r="614" spans="1:15" x14ac:dyDescent="0.25">
      <c r="A614" t="s">
        <v>760</v>
      </c>
      <c r="B614">
        <v>45616</v>
      </c>
      <c r="C614" t="s">
        <v>56</v>
      </c>
      <c r="D614" t="s">
        <v>143</v>
      </c>
      <c r="E614" t="s">
        <v>58</v>
      </c>
      <c r="F614" t="s">
        <v>45</v>
      </c>
      <c r="G614" t="s">
        <v>59</v>
      </c>
      <c r="H614" t="s">
        <v>154</v>
      </c>
      <c r="I614" t="s">
        <v>249</v>
      </c>
      <c r="J614" t="s">
        <v>23</v>
      </c>
      <c r="K614" t="s">
        <v>24</v>
      </c>
      <c r="L614">
        <v>11</v>
      </c>
      <c r="M614">
        <v>6830</v>
      </c>
      <c r="N614">
        <v>0.15</v>
      </c>
      <c r="O614">
        <v>5020</v>
      </c>
    </row>
    <row r="615" spans="1:15" x14ac:dyDescent="0.25">
      <c r="A615" t="s">
        <v>761</v>
      </c>
      <c r="B615">
        <v>45616</v>
      </c>
      <c r="C615" t="s">
        <v>37</v>
      </c>
      <c r="D615" t="s">
        <v>67</v>
      </c>
      <c r="E615" t="s">
        <v>68</v>
      </c>
      <c r="F615" t="s">
        <v>92</v>
      </c>
      <c r="G615" t="s">
        <v>27</v>
      </c>
      <c r="H615" t="s">
        <v>53</v>
      </c>
      <c r="I615" t="s">
        <v>131</v>
      </c>
      <c r="J615" t="s">
        <v>23</v>
      </c>
      <c r="K615" t="s">
        <v>119</v>
      </c>
      <c r="L615">
        <v>4</v>
      </c>
      <c r="M615">
        <v>37590</v>
      </c>
      <c r="N615">
        <v>0.15</v>
      </c>
      <c r="O615">
        <v>29170</v>
      </c>
    </row>
    <row r="616" spans="1:15" x14ac:dyDescent="0.25">
      <c r="A616" t="s">
        <v>762</v>
      </c>
      <c r="B616">
        <v>45617</v>
      </c>
      <c r="C616" t="s">
        <v>16</v>
      </c>
      <c r="D616" t="s">
        <v>31</v>
      </c>
      <c r="E616" t="s">
        <v>32</v>
      </c>
      <c r="F616" t="s">
        <v>45</v>
      </c>
      <c r="G616" t="s">
        <v>27</v>
      </c>
      <c r="H616" t="s">
        <v>53</v>
      </c>
      <c r="I616" t="s">
        <v>131</v>
      </c>
      <c r="J616" t="s">
        <v>49</v>
      </c>
      <c r="K616" t="s">
        <v>24</v>
      </c>
      <c r="L616">
        <v>2</v>
      </c>
      <c r="M616">
        <v>36320</v>
      </c>
      <c r="N616">
        <v>0.1</v>
      </c>
      <c r="O616">
        <v>27110</v>
      </c>
    </row>
    <row r="617" spans="1:15" x14ac:dyDescent="0.25">
      <c r="A617" t="s">
        <v>763</v>
      </c>
      <c r="B617">
        <v>45617</v>
      </c>
      <c r="C617" t="s">
        <v>37</v>
      </c>
      <c r="D617" t="s">
        <v>213</v>
      </c>
      <c r="E617" t="s">
        <v>39</v>
      </c>
      <c r="F617" t="s">
        <v>19</v>
      </c>
      <c r="G617" t="s">
        <v>59</v>
      </c>
      <c r="H617" t="s">
        <v>154</v>
      </c>
      <c r="I617" t="s">
        <v>155</v>
      </c>
      <c r="J617" t="s">
        <v>40</v>
      </c>
      <c r="K617" t="s">
        <v>24</v>
      </c>
      <c r="L617">
        <v>8</v>
      </c>
      <c r="M617">
        <v>11460</v>
      </c>
      <c r="N617">
        <v>0.05</v>
      </c>
      <c r="O617">
        <v>8850</v>
      </c>
    </row>
    <row r="618" spans="1:15" x14ac:dyDescent="0.25">
      <c r="A618" t="s">
        <v>764</v>
      </c>
      <c r="B618">
        <v>45617</v>
      </c>
      <c r="C618" t="s">
        <v>16</v>
      </c>
      <c r="D618" t="s">
        <v>191</v>
      </c>
      <c r="E618" t="s">
        <v>765</v>
      </c>
      <c r="F618" t="s">
        <v>19</v>
      </c>
      <c r="G618" t="s">
        <v>59</v>
      </c>
      <c r="H618" t="s">
        <v>60</v>
      </c>
      <c r="I618" t="s">
        <v>200</v>
      </c>
      <c r="J618" t="s">
        <v>23</v>
      </c>
      <c r="K618" t="s">
        <v>24</v>
      </c>
      <c r="L618">
        <v>11</v>
      </c>
      <c r="M618">
        <v>8870</v>
      </c>
      <c r="N618">
        <v>0.2</v>
      </c>
      <c r="O618">
        <v>5460</v>
      </c>
    </row>
    <row r="619" spans="1:15" x14ac:dyDescent="0.25">
      <c r="A619" t="s">
        <v>766</v>
      </c>
      <c r="B619">
        <v>45620</v>
      </c>
      <c r="C619" t="s">
        <v>56</v>
      </c>
      <c r="D619" t="s">
        <v>143</v>
      </c>
      <c r="E619" t="s">
        <v>58</v>
      </c>
      <c r="F619" t="s">
        <v>52</v>
      </c>
      <c r="G619" t="s">
        <v>20</v>
      </c>
      <c r="H619" t="s">
        <v>21</v>
      </c>
      <c r="I619" t="s">
        <v>22</v>
      </c>
      <c r="J619" t="s">
        <v>40</v>
      </c>
      <c r="K619" t="s">
        <v>24</v>
      </c>
      <c r="L619">
        <v>29</v>
      </c>
      <c r="M619">
        <v>1830</v>
      </c>
      <c r="N619">
        <v>0.18</v>
      </c>
      <c r="O619">
        <v>1250</v>
      </c>
    </row>
    <row r="620" spans="1:15" x14ac:dyDescent="0.25">
      <c r="A620" t="s">
        <v>767</v>
      </c>
      <c r="B620">
        <v>45620</v>
      </c>
      <c r="C620" t="s">
        <v>56</v>
      </c>
      <c r="D620" t="s">
        <v>127</v>
      </c>
      <c r="E620" t="s">
        <v>91</v>
      </c>
      <c r="F620" t="s">
        <v>92</v>
      </c>
      <c r="G620" t="s">
        <v>20</v>
      </c>
      <c r="H620" t="s">
        <v>109</v>
      </c>
      <c r="I620" t="s">
        <v>171</v>
      </c>
      <c r="J620" t="s">
        <v>40</v>
      </c>
      <c r="K620" t="s">
        <v>24</v>
      </c>
      <c r="L620">
        <v>17</v>
      </c>
      <c r="M620">
        <v>21990</v>
      </c>
      <c r="N620">
        <v>0.1</v>
      </c>
      <c r="O620">
        <v>12680</v>
      </c>
    </row>
    <row r="621" spans="1:15" x14ac:dyDescent="0.25">
      <c r="A621" t="s">
        <v>768</v>
      </c>
      <c r="B621">
        <v>45621</v>
      </c>
      <c r="C621" t="s">
        <v>37</v>
      </c>
      <c r="D621" t="s">
        <v>67</v>
      </c>
      <c r="E621" t="s">
        <v>39</v>
      </c>
      <c r="F621" t="s">
        <v>52</v>
      </c>
      <c r="G621" t="s">
        <v>83</v>
      </c>
      <c r="H621" t="s">
        <v>84</v>
      </c>
      <c r="I621" t="s">
        <v>292</v>
      </c>
      <c r="J621" t="s">
        <v>40</v>
      </c>
      <c r="K621" t="s">
        <v>24</v>
      </c>
      <c r="L621">
        <v>3</v>
      </c>
      <c r="M621">
        <v>40380</v>
      </c>
      <c r="N621">
        <v>0.08</v>
      </c>
      <c r="O621">
        <v>24900</v>
      </c>
    </row>
    <row r="622" spans="1:15" x14ac:dyDescent="0.25">
      <c r="A622" t="s">
        <v>769</v>
      </c>
      <c r="B622">
        <v>45621</v>
      </c>
      <c r="C622" t="s">
        <v>42</v>
      </c>
      <c r="D622" t="s">
        <v>96</v>
      </c>
      <c r="E622" t="s">
        <v>44</v>
      </c>
      <c r="F622" t="s">
        <v>19</v>
      </c>
      <c r="G622" t="s">
        <v>27</v>
      </c>
      <c r="H622" t="s">
        <v>53</v>
      </c>
      <c r="I622" t="s">
        <v>54</v>
      </c>
      <c r="J622" t="s">
        <v>23</v>
      </c>
      <c r="K622" t="s">
        <v>24</v>
      </c>
      <c r="L622">
        <v>4</v>
      </c>
      <c r="M622">
        <v>44130</v>
      </c>
      <c r="N622">
        <v>0.12</v>
      </c>
      <c r="O622">
        <v>26340</v>
      </c>
    </row>
    <row r="623" spans="1:15" x14ac:dyDescent="0.25">
      <c r="A623" t="s">
        <v>770</v>
      </c>
      <c r="B623">
        <v>45622</v>
      </c>
      <c r="C623" t="s">
        <v>42</v>
      </c>
      <c r="D623" t="s">
        <v>43</v>
      </c>
      <c r="E623" t="s">
        <v>44</v>
      </c>
      <c r="F623" t="s">
        <v>19</v>
      </c>
      <c r="G623" t="s">
        <v>59</v>
      </c>
      <c r="H623" t="s">
        <v>69</v>
      </c>
      <c r="I623" t="s">
        <v>121</v>
      </c>
      <c r="J623" t="s">
        <v>49</v>
      </c>
      <c r="K623" t="s">
        <v>24</v>
      </c>
      <c r="L623">
        <v>10</v>
      </c>
      <c r="M623">
        <v>3620</v>
      </c>
      <c r="N623">
        <v>0.1</v>
      </c>
      <c r="O623">
        <v>2840</v>
      </c>
    </row>
    <row r="624" spans="1:15" x14ac:dyDescent="0.25">
      <c r="A624" t="s">
        <v>771</v>
      </c>
      <c r="B624">
        <v>45624</v>
      </c>
      <c r="C624" t="s">
        <v>42</v>
      </c>
      <c r="D624" t="s">
        <v>96</v>
      </c>
      <c r="E624" t="s">
        <v>64</v>
      </c>
      <c r="F624" t="s">
        <v>19</v>
      </c>
      <c r="G624" t="s">
        <v>46</v>
      </c>
      <c r="H624" t="s">
        <v>179</v>
      </c>
      <c r="I624" t="s">
        <v>180</v>
      </c>
      <c r="J624" t="s">
        <v>23</v>
      </c>
      <c r="K624" t="s">
        <v>24</v>
      </c>
      <c r="L624">
        <v>3</v>
      </c>
      <c r="M624">
        <v>3620</v>
      </c>
      <c r="N624">
        <v>0.1</v>
      </c>
      <c r="O624">
        <v>2690</v>
      </c>
    </row>
    <row r="625" spans="1:15" x14ac:dyDescent="0.25">
      <c r="A625" t="s">
        <v>772</v>
      </c>
      <c r="B625">
        <v>45624</v>
      </c>
      <c r="C625" t="s">
        <v>16</v>
      </c>
      <c r="D625" t="s">
        <v>31</v>
      </c>
      <c r="E625" t="s">
        <v>32</v>
      </c>
      <c r="F625" t="s">
        <v>92</v>
      </c>
      <c r="G625" t="s">
        <v>27</v>
      </c>
      <c r="H625" t="s">
        <v>79</v>
      </c>
      <c r="I625" t="s">
        <v>80</v>
      </c>
      <c r="J625" t="s">
        <v>49</v>
      </c>
      <c r="K625" t="s">
        <v>35</v>
      </c>
      <c r="L625">
        <v>23</v>
      </c>
      <c r="M625">
        <v>4560</v>
      </c>
      <c r="N625">
        <v>0</v>
      </c>
      <c r="O625">
        <v>3580</v>
      </c>
    </row>
    <row r="626" spans="1:15" x14ac:dyDescent="0.25">
      <c r="A626" t="s">
        <v>773</v>
      </c>
      <c r="B626">
        <v>45624</v>
      </c>
      <c r="C626" t="s">
        <v>42</v>
      </c>
      <c r="D626" t="s">
        <v>123</v>
      </c>
      <c r="E626" t="s">
        <v>64</v>
      </c>
      <c r="F626" t="s">
        <v>19</v>
      </c>
      <c r="G626" t="s">
        <v>27</v>
      </c>
      <c r="H626" t="s">
        <v>214</v>
      </c>
      <c r="I626" t="s">
        <v>215</v>
      </c>
      <c r="J626" t="s">
        <v>40</v>
      </c>
      <c r="K626" t="s">
        <v>24</v>
      </c>
      <c r="L626">
        <v>1</v>
      </c>
      <c r="M626">
        <v>33030</v>
      </c>
      <c r="N626">
        <v>0</v>
      </c>
      <c r="O626">
        <v>23910</v>
      </c>
    </row>
    <row r="627" spans="1:15" x14ac:dyDescent="0.25">
      <c r="A627" t="s">
        <v>774</v>
      </c>
      <c r="B627">
        <v>45625</v>
      </c>
      <c r="C627" t="s">
        <v>16</v>
      </c>
      <c r="D627" t="s">
        <v>82</v>
      </c>
      <c r="E627" t="s">
        <v>32</v>
      </c>
      <c r="F627" t="s">
        <v>19</v>
      </c>
      <c r="G627" t="s">
        <v>46</v>
      </c>
      <c r="H627" t="s">
        <v>179</v>
      </c>
      <c r="I627" t="s">
        <v>180</v>
      </c>
      <c r="J627" t="s">
        <v>49</v>
      </c>
      <c r="K627" t="s">
        <v>24</v>
      </c>
      <c r="L627">
        <v>5</v>
      </c>
      <c r="M627">
        <v>3690</v>
      </c>
      <c r="N627">
        <v>0.12</v>
      </c>
      <c r="O627">
        <v>2830</v>
      </c>
    </row>
    <row r="628" spans="1:15" x14ac:dyDescent="0.25">
      <c r="A628" t="s">
        <v>775</v>
      </c>
      <c r="B628">
        <v>45625</v>
      </c>
      <c r="C628" t="s">
        <v>56</v>
      </c>
      <c r="D628" t="s">
        <v>143</v>
      </c>
      <c r="E628" t="s">
        <v>91</v>
      </c>
      <c r="F628" t="s">
        <v>19</v>
      </c>
      <c r="G628" t="s">
        <v>59</v>
      </c>
      <c r="H628" t="s">
        <v>69</v>
      </c>
      <c r="I628" t="s">
        <v>70</v>
      </c>
      <c r="J628" t="s">
        <v>40</v>
      </c>
      <c r="K628" t="s">
        <v>24</v>
      </c>
      <c r="L628">
        <v>4</v>
      </c>
      <c r="M628">
        <v>27000</v>
      </c>
      <c r="N628">
        <v>0.18</v>
      </c>
      <c r="O628">
        <v>17730</v>
      </c>
    </row>
    <row r="629" spans="1:15" x14ac:dyDescent="0.25">
      <c r="A629" t="s">
        <v>776</v>
      </c>
      <c r="B629">
        <v>45625</v>
      </c>
      <c r="C629" t="s">
        <v>42</v>
      </c>
      <c r="D629" t="s">
        <v>265</v>
      </c>
      <c r="E629" t="s">
        <v>44</v>
      </c>
      <c r="F629" t="s">
        <v>19</v>
      </c>
      <c r="G629" t="s">
        <v>59</v>
      </c>
      <c r="H629" t="s">
        <v>73</v>
      </c>
      <c r="I629" t="s">
        <v>113</v>
      </c>
      <c r="J629" t="s">
        <v>40</v>
      </c>
      <c r="K629" t="s">
        <v>24</v>
      </c>
      <c r="L629">
        <v>1</v>
      </c>
      <c r="M629">
        <v>31810</v>
      </c>
      <c r="N629">
        <v>0.08</v>
      </c>
      <c r="O629">
        <v>24910</v>
      </c>
    </row>
    <row r="630" spans="1:15" x14ac:dyDescent="0.25">
      <c r="A630" t="s">
        <v>777</v>
      </c>
      <c r="B630">
        <v>45625</v>
      </c>
      <c r="C630" t="s">
        <v>76</v>
      </c>
      <c r="D630" t="s">
        <v>125</v>
      </c>
      <c r="E630" t="s">
        <v>78</v>
      </c>
      <c r="F630" t="s">
        <v>92</v>
      </c>
      <c r="G630" t="s">
        <v>27</v>
      </c>
      <c r="H630" t="s">
        <v>214</v>
      </c>
      <c r="I630" t="s">
        <v>252</v>
      </c>
      <c r="J630" t="s">
        <v>23</v>
      </c>
      <c r="K630" t="s">
        <v>24</v>
      </c>
      <c r="L630">
        <v>2</v>
      </c>
      <c r="M630">
        <v>15030</v>
      </c>
      <c r="N630">
        <v>0.18</v>
      </c>
      <c r="O630">
        <v>9230</v>
      </c>
    </row>
    <row r="631" spans="1:15" x14ac:dyDescent="0.25">
      <c r="A631" t="s">
        <v>778</v>
      </c>
      <c r="B631">
        <v>45625</v>
      </c>
      <c r="C631" t="s">
        <v>76</v>
      </c>
      <c r="D631" t="s">
        <v>217</v>
      </c>
      <c r="E631" t="s">
        <v>78</v>
      </c>
      <c r="F631" t="s">
        <v>19</v>
      </c>
      <c r="G631" t="s">
        <v>20</v>
      </c>
      <c r="H631" t="s">
        <v>21</v>
      </c>
      <c r="I631" t="s">
        <v>362</v>
      </c>
      <c r="J631" t="s">
        <v>40</v>
      </c>
      <c r="K631" t="s">
        <v>24</v>
      </c>
      <c r="L631">
        <v>3</v>
      </c>
      <c r="M631">
        <v>9170</v>
      </c>
      <c r="N631">
        <v>0.2</v>
      </c>
      <c r="O631">
        <v>6520</v>
      </c>
    </row>
    <row r="632" spans="1:15" x14ac:dyDescent="0.25">
      <c r="A632" t="s">
        <v>779</v>
      </c>
      <c r="B632">
        <v>45625</v>
      </c>
      <c r="C632" t="s">
        <v>16</v>
      </c>
      <c r="D632" t="s">
        <v>191</v>
      </c>
      <c r="E632" t="s">
        <v>32</v>
      </c>
      <c r="F632" t="s">
        <v>52</v>
      </c>
      <c r="G632" t="s">
        <v>20</v>
      </c>
      <c r="H632" t="s">
        <v>21</v>
      </c>
      <c r="I632" t="s">
        <v>22</v>
      </c>
      <c r="J632" t="s">
        <v>40</v>
      </c>
      <c r="K632" t="s">
        <v>24</v>
      </c>
      <c r="L632">
        <v>13</v>
      </c>
      <c r="M632">
        <v>1890</v>
      </c>
      <c r="N632">
        <v>0.2</v>
      </c>
      <c r="O632">
        <v>1100</v>
      </c>
    </row>
    <row r="633" spans="1:15" x14ac:dyDescent="0.25">
      <c r="A633" t="s">
        <v>780</v>
      </c>
      <c r="B633">
        <v>45625</v>
      </c>
      <c r="C633" t="s">
        <v>56</v>
      </c>
      <c r="D633" t="s">
        <v>127</v>
      </c>
      <c r="E633" t="s">
        <v>91</v>
      </c>
      <c r="F633" t="s">
        <v>52</v>
      </c>
      <c r="G633" t="s">
        <v>20</v>
      </c>
      <c r="H633" t="s">
        <v>21</v>
      </c>
      <c r="I633" t="s">
        <v>65</v>
      </c>
      <c r="J633" t="s">
        <v>49</v>
      </c>
      <c r="K633" t="s">
        <v>24</v>
      </c>
      <c r="L633">
        <v>14</v>
      </c>
      <c r="M633">
        <v>8750</v>
      </c>
      <c r="N633">
        <v>0.1</v>
      </c>
      <c r="O633">
        <v>5930</v>
      </c>
    </row>
    <row r="634" spans="1:15" x14ac:dyDescent="0.25">
      <c r="A634" t="s">
        <v>781</v>
      </c>
      <c r="B634">
        <v>45626</v>
      </c>
      <c r="C634" t="s">
        <v>42</v>
      </c>
      <c r="D634" t="s">
        <v>43</v>
      </c>
      <c r="E634" t="s">
        <v>64</v>
      </c>
      <c r="F634" t="s">
        <v>19</v>
      </c>
      <c r="G634" t="s">
        <v>27</v>
      </c>
      <c r="H634" t="s">
        <v>79</v>
      </c>
      <c r="I634" t="s">
        <v>80</v>
      </c>
      <c r="J634" t="s">
        <v>40</v>
      </c>
      <c r="K634" t="s">
        <v>24</v>
      </c>
      <c r="L634">
        <v>15</v>
      </c>
      <c r="M634">
        <v>4850</v>
      </c>
      <c r="N634">
        <v>0.2</v>
      </c>
      <c r="O634">
        <v>3280</v>
      </c>
    </row>
    <row r="635" spans="1:15" x14ac:dyDescent="0.25">
      <c r="A635" t="s">
        <v>782</v>
      </c>
      <c r="B635">
        <v>45626</v>
      </c>
      <c r="C635" t="s">
        <v>42</v>
      </c>
      <c r="D635" t="s">
        <v>43</v>
      </c>
      <c r="E635" t="s">
        <v>64</v>
      </c>
      <c r="F635" t="s">
        <v>19</v>
      </c>
      <c r="G635" t="s">
        <v>27</v>
      </c>
      <c r="H635" t="s">
        <v>28</v>
      </c>
      <c r="I635" t="s">
        <v>29</v>
      </c>
      <c r="J635" t="s">
        <v>49</v>
      </c>
      <c r="K635" t="s">
        <v>24</v>
      </c>
      <c r="L635">
        <v>4</v>
      </c>
      <c r="M635">
        <v>28340</v>
      </c>
      <c r="N635">
        <v>0.05</v>
      </c>
      <c r="O635">
        <v>18310</v>
      </c>
    </row>
    <row r="636" spans="1:15" x14ac:dyDescent="0.25">
      <c r="A636" t="s">
        <v>783</v>
      </c>
      <c r="B636">
        <v>45626</v>
      </c>
      <c r="C636" t="s">
        <v>16</v>
      </c>
      <c r="D636" t="s">
        <v>82</v>
      </c>
      <c r="E636" t="s">
        <v>32</v>
      </c>
      <c r="F636" t="s">
        <v>92</v>
      </c>
      <c r="G636" t="s">
        <v>59</v>
      </c>
      <c r="H636" t="s">
        <v>69</v>
      </c>
      <c r="I636" t="s">
        <v>121</v>
      </c>
      <c r="J636" t="s">
        <v>49</v>
      </c>
      <c r="K636" t="s">
        <v>94</v>
      </c>
      <c r="L636">
        <v>8</v>
      </c>
      <c r="M636">
        <v>3670</v>
      </c>
      <c r="N636">
        <v>0.08</v>
      </c>
      <c r="O636">
        <v>2650</v>
      </c>
    </row>
    <row r="637" spans="1:15" x14ac:dyDescent="0.25">
      <c r="A637" t="s">
        <v>784</v>
      </c>
      <c r="B637">
        <v>45627</v>
      </c>
      <c r="C637" t="s">
        <v>76</v>
      </c>
      <c r="D637" t="s">
        <v>112</v>
      </c>
      <c r="E637" t="s">
        <v>78</v>
      </c>
      <c r="F637" t="s">
        <v>19</v>
      </c>
      <c r="G637" t="s">
        <v>20</v>
      </c>
      <c r="H637" t="s">
        <v>21</v>
      </c>
      <c r="I637" t="s">
        <v>65</v>
      </c>
      <c r="J637" t="s">
        <v>23</v>
      </c>
      <c r="K637" t="s">
        <v>24</v>
      </c>
      <c r="L637">
        <v>8</v>
      </c>
      <c r="M637">
        <v>8270</v>
      </c>
      <c r="N637">
        <v>0.1</v>
      </c>
      <c r="O637">
        <v>5390</v>
      </c>
    </row>
    <row r="638" spans="1:15" x14ac:dyDescent="0.25">
      <c r="A638" t="s">
        <v>785</v>
      </c>
      <c r="B638">
        <v>45627</v>
      </c>
      <c r="C638" t="s">
        <v>16</v>
      </c>
      <c r="D638" t="s">
        <v>153</v>
      </c>
      <c r="E638" t="s">
        <v>26</v>
      </c>
      <c r="F638" t="s">
        <v>92</v>
      </c>
      <c r="G638" t="s">
        <v>46</v>
      </c>
      <c r="H638" t="s">
        <v>100</v>
      </c>
      <c r="I638" t="s">
        <v>101</v>
      </c>
      <c r="J638" t="s">
        <v>40</v>
      </c>
      <c r="K638" t="s">
        <v>35</v>
      </c>
      <c r="L638">
        <v>25</v>
      </c>
      <c r="M638">
        <v>1930</v>
      </c>
      <c r="N638">
        <v>0.1</v>
      </c>
      <c r="O638">
        <v>1340</v>
      </c>
    </row>
    <row r="639" spans="1:15" x14ac:dyDescent="0.25">
      <c r="A639" t="s">
        <v>786</v>
      </c>
      <c r="B639">
        <v>45627</v>
      </c>
      <c r="C639" t="s">
        <v>37</v>
      </c>
      <c r="D639" t="s">
        <v>115</v>
      </c>
      <c r="E639" t="s">
        <v>39</v>
      </c>
      <c r="F639" t="s">
        <v>45</v>
      </c>
      <c r="G639" t="s">
        <v>59</v>
      </c>
      <c r="H639" t="s">
        <v>73</v>
      </c>
      <c r="I639" t="s">
        <v>74</v>
      </c>
      <c r="J639" t="s">
        <v>23</v>
      </c>
      <c r="K639" t="s">
        <v>24</v>
      </c>
      <c r="L639">
        <v>6</v>
      </c>
      <c r="M639">
        <v>44580</v>
      </c>
      <c r="N639">
        <v>0.12</v>
      </c>
      <c r="O639">
        <v>33460</v>
      </c>
    </row>
    <row r="640" spans="1:15" x14ac:dyDescent="0.25">
      <c r="A640" t="s">
        <v>787</v>
      </c>
      <c r="B640">
        <v>45628</v>
      </c>
      <c r="C640" t="s">
        <v>16</v>
      </c>
      <c r="D640" t="s">
        <v>82</v>
      </c>
      <c r="E640" t="s">
        <v>26</v>
      </c>
      <c r="F640" t="s">
        <v>19</v>
      </c>
      <c r="G640" t="s">
        <v>20</v>
      </c>
      <c r="H640" t="s">
        <v>33</v>
      </c>
      <c r="I640" t="s">
        <v>139</v>
      </c>
      <c r="J640" t="s">
        <v>40</v>
      </c>
      <c r="K640" t="s">
        <v>24</v>
      </c>
      <c r="L640">
        <v>3</v>
      </c>
      <c r="M640">
        <v>61960</v>
      </c>
      <c r="N640">
        <v>0.15</v>
      </c>
      <c r="O640">
        <v>46310</v>
      </c>
    </row>
    <row r="641" spans="1:15" x14ac:dyDescent="0.25">
      <c r="A641" t="s">
        <v>788</v>
      </c>
      <c r="B641">
        <v>45629</v>
      </c>
      <c r="C641" t="s">
        <v>56</v>
      </c>
      <c r="D641" t="s">
        <v>103</v>
      </c>
      <c r="E641" t="s">
        <v>91</v>
      </c>
      <c r="F641" t="s">
        <v>19</v>
      </c>
      <c r="G641" t="s">
        <v>27</v>
      </c>
      <c r="H641" t="s">
        <v>214</v>
      </c>
      <c r="I641" t="s">
        <v>215</v>
      </c>
      <c r="J641" t="s">
        <v>40</v>
      </c>
      <c r="K641" t="s">
        <v>24</v>
      </c>
      <c r="L641">
        <v>4</v>
      </c>
      <c r="M641">
        <v>34790</v>
      </c>
      <c r="N641">
        <v>0.05</v>
      </c>
      <c r="O641">
        <v>23230</v>
      </c>
    </row>
    <row r="642" spans="1:15" x14ac:dyDescent="0.25">
      <c r="A642" t="s">
        <v>789</v>
      </c>
      <c r="B642">
        <v>45630</v>
      </c>
      <c r="C642" t="s">
        <v>37</v>
      </c>
      <c r="D642" t="s">
        <v>67</v>
      </c>
      <c r="E642" t="s">
        <v>39</v>
      </c>
      <c r="F642" t="s">
        <v>45</v>
      </c>
      <c r="G642" t="s">
        <v>59</v>
      </c>
      <c r="H642" t="s">
        <v>69</v>
      </c>
      <c r="I642" t="s">
        <v>121</v>
      </c>
      <c r="J642" t="s">
        <v>40</v>
      </c>
      <c r="K642" t="s">
        <v>94</v>
      </c>
      <c r="L642">
        <v>22</v>
      </c>
      <c r="M642">
        <v>3680</v>
      </c>
      <c r="N642">
        <v>0.12</v>
      </c>
      <c r="O642">
        <v>2560</v>
      </c>
    </row>
    <row r="643" spans="1:15" x14ac:dyDescent="0.25">
      <c r="A643" t="s">
        <v>790</v>
      </c>
      <c r="B643">
        <v>45631</v>
      </c>
      <c r="C643" t="s">
        <v>76</v>
      </c>
      <c r="D643" t="s">
        <v>125</v>
      </c>
      <c r="E643" t="s">
        <v>78</v>
      </c>
      <c r="F643" t="s">
        <v>52</v>
      </c>
      <c r="G643" t="s">
        <v>59</v>
      </c>
      <c r="H643" t="s">
        <v>69</v>
      </c>
      <c r="I643" t="s">
        <v>121</v>
      </c>
      <c r="J643" t="s">
        <v>23</v>
      </c>
      <c r="K643" t="s">
        <v>119</v>
      </c>
      <c r="L643">
        <v>2</v>
      </c>
      <c r="M643">
        <v>3620</v>
      </c>
      <c r="N643">
        <v>0.15</v>
      </c>
      <c r="O643">
        <v>2080</v>
      </c>
    </row>
    <row r="644" spans="1:15" x14ac:dyDescent="0.25">
      <c r="A644" t="s">
        <v>791</v>
      </c>
      <c r="B644">
        <v>45631</v>
      </c>
      <c r="C644" t="s">
        <v>56</v>
      </c>
      <c r="D644" t="s">
        <v>72</v>
      </c>
      <c r="E644" t="s">
        <v>91</v>
      </c>
      <c r="F644" t="s">
        <v>19</v>
      </c>
      <c r="G644" t="s">
        <v>46</v>
      </c>
      <c r="H644" t="s">
        <v>179</v>
      </c>
      <c r="I644" t="s">
        <v>221</v>
      </c>
      <c r="J644" t="s">
        <v>40</v>
      </c>
      <c r="K644" t="s">
        <v>24</v>
      </c>
      <c r="L644">
        <v>22</v>
      </c>
      <c r="M644">
        <v>1590</v>
      </c>
      <c r="N644">
        <v>0.1</v>
      </c>
      <c r="O644">
        <v>1060</v>
      </c>
    </row>
    <row r="645" spans="1:15" x14ac:dyDescent="0.25">
      <c r="A645" t="s">
        <v>792</v>
      </c>
      <c r="B645">
        <v>45632</v>
      </c>
      <c r="C645" t="s">
        <v>37</v>
      </c>
      <c r="D645" t="s">
        <v>213</v>
      </c>
      <c r="E645" t="s">
        <v>68</v>
      </c>
      <c r="F645" t="s">
        <v>92</v>
      </c>
      <c r="G645" t="s">
        <v>20</v>
      </c>
      <c r="H645" t="s">
        <v>109</v>
      </c>
      <c r="I645" t="s">
        <v>159</v>
      </c>
      <c r="J645" t="s">
        <v>23</v>
      </c>
      <c r="K645" t="s">
        <v>24</v>
      </c>
      <c r="L645">
        <v>14</v>
      </c>
      <c r="M645">
        <v>19040</v>
      </c>
      <c r="N645">
        <v>0</v>
      </c>
      <c r="O645">
        <v>12580</v>
      </c>
    </row>
    <row r="646" spans="1:15" x14ac:dyDescent="0.25">
      <c r="A646" t="s">
        <v>793</v>
      </c>
      <c r="B646">
        <v>45632</v>
      </c>
      <c r="C646" t="s">
        <v>37</v>
      </c>
      <c r="D646" t="s">
        <v>213</v>
      </c>
      <c r="E646" t="s">
        <v>68</v>
      </c>
      <c r="F646" t="s">
        <v>92</v>
      </c>
      <c r="G646" t="s">
        <v>59</v>
      </c>
      <c r="H646" t="s">
        <v>60</v>
      </c>
      <c r="I646" t="s">
        <v>200</v>
      </c>
      <c r="J646" t="s">
        <v>23</v>
      </c>
      <c r="K646" t="s">
        <v>24</v>
      </c>
      <c r="L646">
        <v>14</v>
      </c>
      <c r="M646">
        <v>8990</v>
      </c>
      <c r="N646">
        <v>0.25</v>
      </c>
      <c r="O646">
        <v>6020</v>
      </c>
    </row>
    <row r="647" spans="1:15" x14ac:dyDescent="0.25">
      <c r="A647" t="s">
        <v>794</v>
      </c>
      <c r="B647">
        <v>45632</v>
      </c>
      <c r="C647" t="s">
        <v>56</v>
      </c>
      <c r="D647" t="s">
        <v>127</v>
      </c>
      <c r="E647" t="s">
        <v>58</v>
      </c>
      <c r="F647" t="s">
        <v>19</v>
      </c>
      <c r="G647" t="s">
        <v>27</v>
      </c>
      <c r="H647" t="s">
        <v>53</v>
      </c>
      <c r="I647" t="s">
        <v>54</v>
      </c>
      <c r="J647" t="s">
        <v>49</v>
      </c>
      <c r="K647" t="s">
        <v>24</v>
      </c>
      <c r="L647">
        <v>1</v>
      </c>
      <c r="M647">
        <v>44070</v>
      </c>
      <c r="N647">
        <v>0.12</v>
      </c>
      <c r="O647">
        <v>27730</v>
      </c>
    </row>
    <row r="648" spans="1:15" x14ac:dyDescent="0.25">
      <c r="A648" t="s">
        <v>795</v>
      </c>
      <c r="B648">
        <v>45633</v>
      </c>
      <c r="C648" t="s">
        <v>42</v>
      </c>
      <c r="D648" t="s">
        <v>96</v>
      </c>
      <c r="E648" t="s">
        <v>44</v>
      </c>
      <c r="F648" t="s">
        <v>92</v>
      </c>
      <c r="G648" t="s">
        <v>20</v>
      </c>
      <c r="H648" t="s">
        <v>21</v>
      </c>
      <c r="I648" t="s">
        <v>362</v>
      </c>
      <c r="J648" t="s">
        <v>23</v>
      </c>
      <c r="K648" t="s">
        <v>24</v>
      </c>
      <c r="L648">
        <v>10</v>
      </c>
      <c r="M648">
        <v>9300</v>
      </c>
      <c r="N648">
        <v>0.1</v>
      </c>
      <c r="O648">
        <v>6620</v>
      </c>
    </row>
    <row r="649" spans="1:15" x14ac:dyDescent="0.25">
      <c r="A649" t="s">
        <v>796</v>
      </c>
      <c r="B649">
        <v>45633</v>
      </c>
      <c r="C649" t="s">
        <v>56</v>
      </c>
      <c r="D649" t="s">
        <v>103</v>
      </c>
      <c r="E649" t="s">
        <v>91</v>
      </c>
      <c r="F649" t="s">
        <v>52</v>
      </c>
      <c r="G649" t="s">
        <v>27</v>
      </c>
      <c r="H649" t="s">
        <v>79</v>
      </c>
      <c r="I649" t="s">
        <v>262</v>
      </c>
      <c r="J649" t="s">
        <v>23</v>
      </c>
      <c r="K649" t="s">
        <v>24</v>
      </c>
      <c r="L649">
        <v>32</v>
      </c>
      <c r="M649">
        <v>2800</v>
      </c>
      <c r="N649">
        <v>0</v>
      </c>
      <c r="O649">
        <v>1710</v>
      </c>
    </row>
    <row r="650" spans="1:15" x14ac:dyDescent="0.25">
      <c r="A650" t="s">
        <v>797</v>
      </c>
      <c r="B650">
        <v>45634</v>
      </c>
      <c r="C650" t="s">
        <v>37</v>
      </c>
      <c r="D650" t="s">
        <v>161</v>
      </c>
      <c r="E650" t="s">
        <v>39</v>
      </c>
      <c r="F650" t="s">
        <v>92</v>
      </c>
      <c r="G650" t="s">
        <v>20</v>
      </c>
      <c r="H650" t="s">
        <v>33</v>
      </c>
      <c r="I650" t="s">
        <v>182</v>
      </c>
      <c r="J650" t="s">
        <v>40</v>
      </c>
      <c r="K650" t="s">
        <v>119</v>
      </c>
      <c r="L650">
        <v>6</v>
      </c>
      <c r="M650">
        <v>107840</v>
      </c>
      <c r="N650">
        <v>0.15</v>
      </c>
      <c r="O650">
        <v>75940</v>
      </c>
    </row>
    <row r="651" spans="1:15" x14ac:dyDescent="0.25">
      <c r="A651" t="s">
        <v>798</v>
      </c>
      <c r="B651">
        <v>45634</v>
      </c>
      <c r="C651" t="s">
        <v>37</v>
      </c>
      <c r="D651" t="s">
        <v>166</v>
      </c>
      <c r="E651" t="s">
        <v>39</v>
      </c>
      <c r="F651" t="s">
        <v>52</v>
      </c>
      <c r="G651" t="s">
        <v>20</v>
      </c>
      <c r="H651" t="s">
        <v>33</v>
      </c>
      <c r="I651" t="s">
        <v>34</v>
      </c>
      <c r="J651" t="s">
        <v>40</v>
      </c>
      <c r="K651" t="s">
        <v>24</v>
      </c>
      <c r="L651">
        <v>2</v>
      </c>
      <c r="M651">
        <v>57390</v>
      </c>
      <c r="N651">
        <v>0.18</v>
      </c>
      <c r="O651">
        <v>32930</v>
      </c>
    </row>
    <row r="652" spans="1:15" x14ac:dyDescent="0.25">
      <c r="A652" t="s">
        <v>799</v>
      </c>
      <c r="B652">
        <v>45634</v>
      </c>
      <c r="C652" t="s">
        <v>16</v>
      </c>
      <c r="D652" t="s">
        <v>153</v>
      </c>
      <c r="E652" t="s">
        <v>32</v>
      </c>
      <c r="F652" t="s">
        <v>92</v>
      </c>
      <c r="G652" t="s">
        <v>27</v>
      </c>
      <c r="H652" t="s">
        <v>53</v>
      </c>
      <c r="I652" t="s">
        <v>131</v>
      </c>
      <c r="J652" t="s">
        <v>23</v>
      </c>
      <c r="K652" t="s">
        <v>24</v>
      </c>
      <c r="L652">
        <v>3</v>
      </c>
      <c r="M652">
        <v>36820</v>
      </c>
      <c r="N652">
        <v>0.2</v>
      </c>
      <c r="O652">
        <v>20870</v>
      </c>
    </row>
    <row r="653" spans="1:15" x14ac:dyDescent="0.25">
      <c r="A653" t="s">
        <v>800</v>
      </c>
      <c r="B653">
        <v>45634</v>
      </c>
      <c r="C653" t="s">
        <v>76</v>
      </c>
      <c r="D653" t="s">
        <v>150</v>
      </c>
      <c r="E653" t="s">
        <v>78</v>
      </c>
      <c r="F653" t="s">
        <v>19</v>
      </c>
      <c r="G653" t="s">
        <v>20</v>
      </c>
      <c r="H653" t="s">
        <v>21</v>
      </c>
      <c r="I653" t="s">
        <v>362</v>
      </c>
      <c r="J653" t="s">
        <v>23</v>
      </c>
      <c r="K653" t="s">
        <v>24</v>
      </c>
      <c r="L653">
        <v>14</v>
      </c>
      <c r="M653">
        <v>9210</v>
      </c>
      <c r="N653">
        <v>0.12</v>
      </c>
      <c r="O653">
        <v>5350</v>
      </c>
    </row>
    <row r="654" spans="1:15" x14ac:dyDescent="0.25">
      <c r="A654" t="s">
        <v>801</v>
      </c>
      <c r="B654">
        <v>45635</v>
      </c>
      <c r="C654" t="s">
        <v>42</v>
      </c>
      <c r="D654" t="s">
        <v>265</v>
      </c>
      <c r="E654" t="s">
        <v>44</v>
      </c>
      <c r="F654" t="s">
        <v>92</v>
      </c>
      <c r="G654" t="s">
        <v>59</v>
      </c>
      <c r="H654" t="s">
        <v>69</v>
      </c>
      <c r="I654" t="s">
        <v>70</v>
      </c>
      <c r="J654" t="s">
        <v>40</v>
      </c>
      <c r="K654" t="s">
        <v>24</v>
      </c>
      <c r="L654">
        <v>13</v>
      </c>
      <c r="M654">
        <v>27520</v>
      </c>
      <c r="N654">
        <v>0.08</v>
      </c>
      <c r="O654">
        <v>20440</v>
      </c>
    </row>
    <row r="655" spans="1:15" x14ac:dyDescent="0.25">
      <c r="A655" t="s">
        <v>802</v>
      </c>
      <c r="B655">
        <v>45636</v>
      </c>
      <c r="C655" t="s">
        <v>37</v>
      </c>
      <c r="D655" t="s">
        <v>166</v>
      </c>
      <c r="E655" t="s">
        <v>68</v>
      </c>
      <c r="F655" t="s">
        <v>92</v>
      </c>
      <c r="G655" t="s">
        <v>20</v>
      </c>
      <c r="H655" t="s">
        <v>33</v>
      </c>
      <c r="I655" t="s">
        <v>182</v>
      </c>
      <c r="J655" t="s">
        <v>23</v>
      </c>
      <c r="K655" t="s">
        <v>24</v>
      </c>
      <c r="L655">
        <v>2</v>
      </c>
      <c r="M655">
        <v>102990</v>
      </c>
      <c r="N655">
        <v>0.1</v>
      </c>
      <c r="O655">
        <v>70850</v>
      </c>
    </row>
    <row r="656" spans="1:15" x14ac:dyDescent="0.25">
      <c r="A656" t="s">
        <v>803</v>
      </c>
      <c r="B656">
        <v>45637</v>
      </c>
      <c r="C656" t="s">
        <v>56</v>
      </c>
      <c r="D656" t="s">
        <v>143</v>
      </c>
      <c r="E656" t="s">
        <v>58</v>
      </c>
      <c r="F656" t="s">
        <v>52</v>
      </c>
      <c r="G656" t="s">
        <v>46</v>
      </c>
      <c r="H656" t="s">
        <v>179</v>
      </c>
      <c r="I656" t="s">
        <v>236</v>
      </c>
      <c r="J656" t="s">
        <v>49</v>
      </c>
      <c r="K656" t="s">
        <v>24</v>
      </c>
      <c r="L656">
        <v>15</v>
      </c>
      <c r="M656">
        <v>2350</v>
      </c>
      <c r="N656">
        <v>0.2</v>
      </c>
      <c r="O656">
        <v>1390</v>
      </c>
    </row>
    <row r="657" spans="1:15" x14ac:dyDescent="0.25">
      <c r="A657" t="s">
        <v>804</v>
      </c>
      <c r="B657">
        <v>45637</v>
      </c>
      <c r="C657" t="s">
        <v>16</v>
      </c>
      <c r="D657" t="s">
        <v>82</v>
      </c>
      <c r="E657" t="s">
        <v>18</v>
      </c>
      <c r="F657" t="s">
        <v>19</v>
      </c>
      <c r="G657" t="s">
        <v>20</v>
      </c>
      <c r="H657" t="s">
        <v>33</v>
      </c>
      <c r="I657" t="s">
        <v>139</v>
      </c>
      <c r="J657" t="s">
        <v>49</v>
      </c>
      <c r="K657" t="s">
        <v>24</v>
      </c>
      <c r="L657">
        <v>3</v>
      </c>
      <c r="M657">
        <v>59900</v>
      </c>
      <c r="N657">
        <v>0.12</v>
      </c>
      <c r="O657">
        <v>45600</v>
      </c>
    </row>
    <row r="658" spans="1:15" x14ac:dyDescent="0.25">
      <c r="A658" t="s">
        <v>805</v>
      </c>
      <c r="B658">
        <v>45637</v>
      </c>
      <c r="C658" t="s">
        <v>16</v>
      </c>
      <c r="D658" t="s">
        <v>153</v>
      </c>
      <c r="E658" t="s">
        <v>18</v>
      </c>
      <c r="F658" t="s">
        <v>45</v>
      </c>
      <c r="G658" t="s">
        <v>59</v>
      </c>
      <c r="H658" t="s">
        <v>154</v>
      </c>
      <c r="I658" t="s">
        <v>249</v>
      </c>
      <c r="J658" t="s">
        <v>23</v>
      </c>
      <c r="K658" t="s">
        <v>24</v>
      </c>
      <c r="L658">
        <v>4</v>
      </c>
      <c r="M658">
        <v>6460</v>
      </c>
      <c r="N658">
        <v>0.2</v>
      </c>
      <c r="O658">
        <v>4610</v>
      </c>
    </row>
    <row r="659" spans="1:15" x14ac:dyDescent="0.25">
      <c r="A659" t="s">
        <v>806</v>
      </c>
      <c r="B659">
        <v>45638</v>
      </c>
      <c r="C659" t="s">
        <v>37</v>
      </c>
      <c r="D659" t="s">
        <v>38</v>
      </c>
      <c r="E659" t="s">
        <v>39</v>
      </c>
      <c r="F659" t="s">
        <v>19</v>
      </c>
      <c r="G659" t="s">
        <v>83</v>
      </c>
      <c r="H659" t="s">
        <v>136</v>
      </c>
      <c r="I659" t="s">
        <v>137</v>
      </c>
      <c r="J659" t="s">
        <v>40</v>
      </c>
      <c r="K659" t="s">
        <v>24</v>
      </c>
      <c r="L659">
        <v>24</v>
      </c>
      <c r="M659">
        <v>1690</v>
      </c>
      <c r="N659">
        <v>0</v>
      </c>
      <c r="O659">
        <v>1300</v>
      </c>
    </row>
    <row r="660" spans="1:15" x14ac:dyDescent="0.25">
      <c r="A660" t="s">
        <v>807</v>
      </c>
      <c r="B660">
        <v>45638</v>
      </c>
      <c r="C660" t="s">
        <v>37</v>
      </c>
      <c r="D660" t="s">
        <v>161</v>
      </c>
      <c r="E660" t="s">
        <v>39</v>
      </c>
      <c r="F660" t="s">
        <v>19</v>
      </c>
      <c r="G660" t="s">
        <v>27</v>
      </c>
      <c r="H660" t="s">
        <v>28</v>
      </c>
      <c r="I660" t="s">
        <v>141</v>
      </c>
      <c r="J660" t="s">
        <v>23</v>
      </c>
      <c r="K660" t="s">
        <v>24</v>
      </c>
      <c r="L660">
        <v>2</v>
      </c>
      <c r="M660">
        <v>15670</v>
      </c>
      <c r="N660">
        <v>0.25</v>
      </c>
      <c r="O660">
        <v>12140</v>
      </c>
    </row>
    <row r="661" spans="1:15" x14ac:dyDescent="0.25">
      <c r="A661" t="s">
        <v>808</v>
      </c>
      <c r="B661">
        <v>45638</v>
      </c>
      <c r="C661" t="s">
        <v>42</v>
      </c>
      <c r="D661" t="s">
        <v>265</v>
      </c>
      <c r="E661" t="s">
        <v>44</v>
      </c>
      <c r="F661" t="s">
        <v>92</v>
      </c>
      <c r="G661" t="s">
        <v>59</v>
      </c>
      <c r="H661" t="s">
        <v>154</v>
      </c>
      <c r="I661" t="s">
        <v>249</v>
      </c>
      <c r="J661" t="s">
        <v>23</v>
      </c>
      <c r="K661" t="s">
        <v>24</v>
      </c>
      <c r="L661">
        <v>11</v>
      </c>
      <c r="M661">
        <v>6770</v>
      </c>
      <c r="N661">
        <v>0.1</v>
      </c>
      <c r="O661">
        <v>4160</v>
      </c>
    </row>
    <row r="662" spans="1:15" x14ac:dyDescent="0.25">
      <c r="A662" t="s">
        <v>809</v>
      </c>
      <c r="B662">
        <v>45638</v>
      </c>
      <c r="C662" t="s">
        <v>76</v>
      </c>
      <c r="D662" t="s">
        <v>217</v>
      </c>
      <c r="E662" t="s">
        <v>170</v>
      </c>
      <c r="F662" t="s">
        <v>45</v>
      </c>
      <c r="G662" t="s">
        <v>20</v>
      </c>
      <c r="H662" t="s">
        <v>87</v>
      </c>
      <c r="I662" t="s">
        <v>88</v>
      </c>
      <c r="J662" t="s">
        <v>23</v>
      </c>
      <c r="K662" t="s">
        <v>24</v>
      </c>
      <c r="L662">
        <v>3</v>
      </c>
      <c r="M662">
        <v>31040</v>
      </c>
      <c r="N662">
        <v>0.25</v>
      </c>
      <c r="O662">
        <v>24190</v>
      </c>
    </row>
    <row r="663" spans="1:15" x14ac:dyDescent="0.25">
      <c r="A663" t="s">
        <v>810</v>
      </c>
      <c r="B663">
        <v>45639</v>
      </c>
      <c r="C663" t="s">
        <v>16</v>
      </c>
      <c r="D663" t="s">
        <v>31</v>
      </c>
      <c r="E663" t="s">
        <v>32</v>
      </c>
      <c r="F663" t="s">
        <v>92</v>
      </c>
      <c r="G663" t="s">
        <v>20</v>
      </c>
      <c r="H663" t="s">
        <v>21</v>
      </c>
      <c r="I663" t="s">
        <v>22</v>
      </c>
      <c r="J663" t="s">
        <v>40</v>
      </c>
      <c r="K663" t="s">
        <v>24</v>
      </c>
      <c r="L663">
        <v>38</v>
      </c>
      <c r="M663">
        <v>1840</v>
      </c>
      <c r="N663">
        <v>0.08</v>
      </c>
      <c r="O663">
        <v>1340</v>
      </c>
    </row>
    <row r="664" spans="1:15" x14ac:dyDescent="0.25">
      <c r="A664" t="s">
        <v>811</v>
      </c>
      <c r="B664">
        <v>45640</v>
      </c>
      <c r="C664" t="s">
        <v>42</v>
      </c>
      <c r="D664" t="s">
        <v>146</v>
      </c>
      <c r="E664" t="s">
        <v>44</v>
      </c>
      <c r="F664" t="s">
        <v>92</v>
      </c>
      <c r="G664" t="s">
        <v>59</v>
      </c>
      <c r="H664" t="s">
        <v>73</v>
      </c>
      <c r="I664" t="s">
        <v>113</v>
      </c>
      <c r="J664" t="s">
        <v>23</v>
      </c>
      <c r="K664" t="s">
        <v>24</v>
      </c>
      <c r="L664">
        <v>1</v>
      </c>
      <c r="M664">
        <v>31320</v>
      </c>
      <c r="N664">
        <v>0.25</v>
      </c>
      <c r="O664">
        <v>18490</v>
      </c>
    </row>
    <row r="665" spans="1:15" x14ac:dyDescent="0.25">
      <c r="A665" t="s">
        <v>812</v>
      </c>
      <c r="B665">
        <v>45641</v>
      </c>
      <c r="C665" t="s">
        <v>42</v>
      </c>
      <c r="D665" t="s">
        <v>130</v>
      </c>
      <c r="E665" t="s">
        <v>64</v>
      </c>
      <c r="F665" t="s">
        <v>19</v>
      </c>
      <c r="G665" t="s">
        <v>27</v>
      </c>
      <c r="H665" t="s">
        <v>214</v>
      </c>
      <c r="I665" t="s">
        <v>252</v>
      </c>
      <c r="J665" t="s">
        <v>23</v>
      </c>
      <c r="K665" t="s">
        <v>24</v>
      </c>
      <c r="L665">
        <v>8</v>
      </c>
      <c r="M665">
        <v>13670</v>
      </c>
      <c r="N665">
        <v>0.1</v>
      </c>
      <c r="O665">
        <v>8600</v>
      </c>
    </row>
    <row r="666" spans="1:15" x14ac:dyDescent="0.25">
      <c r="A666" t="s">
        <v>813</v>
      </c>
      <c r="B666">
        <v>45641</v>
      </c>
      <c r="C666" t="s">
        <v>56</v>
      </c>
      <c r="D666" t="s">
        <v>103</v>
      </c>
      <c r="E666" t="s">
        <v>58</v>
      </c>
      <c r="F666" t="s">
        <v>52</v>
      </c>
      <c r="G666" t="s">
        <v>83</v>
      </c>
      <c r="H666" t="s">
        <v>184</v>
      </c>
      <c r="I666" t="s">
        <v>185</v>
      </c>
      <c r="J666" t="s">
        <v>40</v>
      </c>
      <c r="K666" t="s">
        <v>24</v>
      </c>
      <c r="L666">
        <v>12</v>
      </c>
      <c r="M666">
        <v>4430</v>
      </c>
      <c r="N666">
        <v>0</v>
      </c>
      <c r="O666">
        <v>2580</v>
      </c>
    </row>
    <row r="667" spans="1:15" x14ac:dyDescent="0.25">
      <c r="A667" t="s">
        <v>814</v>
      </c>
      <c r="B667">
        <v>45641</v>
      </c>
      <c r="C667" t="s">
        <v>56</v>
      </c>
      <c r="D667" t="s">
        <v>133</v>
      </c>
      <c r="E667" t="s">
        <v>91</v>
      </c>
      <c r="F667" t="s">
        <v>19</v>
      </c>
      <c r="G667" t="s">
        <v>20</v>
      </c>
      <c r="H667" t="s">
        <v>87</v>
      </c>
      <c r="I667" t="s">
        <v>105</v>
      </c>
      <c r="J667" t="s">
        <v>23</v>
      </c>
      <c r="K667" t="s">
        <v>24</v>
      </c>
      <c r="L667">
        <v>2</v>
      </c>
      <c r="M667">
        <v>51050</v>
      </c>
      <c r="N667">
        <v>0.08</v>
      </c>
      <c r="O667">
        <v>35570</v>
      </c>
    </row>
    <row r="668" spans="1:15" x14ac:dyDescent="0.25">
      <c r="A668" t="s">
        <v>815</v>
      </c>
      <c r="B668">
        <v>45641</v>
      </c>
      <c r="C668" t="s">
        <v>42</v>
      </c>
      <c r="D668" t="s">
        <v>130</v>
      </c>
      <c r="E668" t="s">
        <v>97</v>
      </c>
      <c r="F668" t="s">
        <v>52</v>
      </c>
      <c r="G668" t="s">
        <v>46</v>
      </c>
      <c r="H668" t="s">
        <v>179</v>
      </c>
      <c r="I668" t="s">
        <v>236</v>
      </c>
      <c r="J668" t="s">
        <v>40</v>
      </c>
      <c r="K668" t="s">
        <v>24</v>
      </c>
      <c r="L668">
        <v>21</v>
      </c>
      <c r="M668">
        <v>2140</v>
      </c>
      <c r="N668">
        <v>0.08</v>
      </c>
      <c r="O668">
        <v>1660</v>
      </c>
    </row>
    <row r="669" spans="1:15" x14ac:dyDescent="0.25">
      <c r="A669" t="s">
        <v>816</v>
      </c>
      <c r="B669">
        <v>45641</v>
      </c>
      <c r="C669" t="s">
        <v>37</v>
      </c>
      <c r="D669" t="s">
        <v>161</v>
      </c>
      <c r="E669" t="s">
        <v>68</v>
      </c>
      <c r="F669" t="s">
        <v>92</v>
      </c>
      <c r="G669" t="s">
        <v>59</v>
      </c>
      <c r="H669" t="s">
        <v>73</v>
      </c>
      <c r="I669" t="s">
        <v>113</v>
      </c>
      <c r="J669" t="s">
        <v>40</v>
      </c>
      <c r="K669" t="s">
        <v>24</v>
      </c>
      <c r="L669">
        <v>4</v>
      </c>
      <c r="M669">
        <v>33780</v>
      </c>
      <c r="N669">
        <v>0</v>
      </c>
      <c r="O669">
        <v>24110</v>
      </c>
    </row>
    <row r="670" spans="1:15" x14ac:dyDescent="0.25">
      <c r="A670" t="s">
        <v>817</v>
      </c>
      <c r="B670">
        <v>45641</v>
      </c>
      <c r="C670" t="s">
        <v>56</v>
      </c>
      <c r="D670" t="s">
        <v>57</v>
      </c>
      <c r="E670" t="s">
        <v>134</v>
      </c>
      <c r="F670" t="s">
        <v>19</v>
      </c>
      <c r="G670" t="s">
        <v>59</v>
      </c>
      <c r="H670" t="s">
        <v>60</v>
      </c>
      <c r="I670" t="s">
        <v>200</v>
      </c>
      <c r="J670" t="s">
        <v>40</v>
      </c>
      <c r="K670" t="s">
        <v>24</v>
      </c>
      <c r="L670">
        <v>3</v>
      </c>
      <c r="M670">
        <v>8210</v>
      </c>
      <c r="N670">
        <v>0.18</v>
      </c>
      <c r="O670">
        <v>6300</v>
      </c>
    </row>
    <row r="671" spans="1:15" x14ac:dyDescent="0.25">
      <c r="A671" t="s">
        <v>818</v>
      </c>
      <c r="B671">
        <v>45643</v>
      </c>
      <c r="C671" t="s">
        <v>42</v>
      </c>
      <c r="D671" t="s">
        <v>265</v>
      </c>
      <c r="E671" t="s">
        <v>64</v>
      </c>
      <c r="F671" t="s">
        <v>19</v>
      </c>
      <c r="G671" t="s">
        <v>46</v>
      </c>
      <c r="H671" t="s">
        <v>100</v>
      </c>
      <c r="I671" t="s">
        <v>177</v>
      </c>
      <c r="J671" t="s">
        <v>40</v>
      </c>
      <c r="K671" t="s">
        <v>24</v>
      </c>
      <c r="L671">
        <v>13</v>
      </c>
      <c r="M671">
        <v>2530</v>
      </c>
      <c r="N671">
        <v>0.12</v>
      </c>
      <c r="O671">
        <v>1620</v>
      </c>
    </row>
    <row r="672" spans="1:15" x14ac:dyDescent="0.25">
      <c r="A672" t="s">
        <v>819</v>
      </c>
      <c r="B672">
        <v>45644</v>
      </c>
      <c r="C672" t="s">
        <v>56</v>
      </c>
      <c r="D672" t="s">
        <v>57</v>
      </c>
      <c r="E672" t="s">
        <v>134</v>
      </c>
      <c r="F672" t="s">
        <v>52</v>
      </c>
      <c r="G672" t="s">
        <v>27</v>
      </c>
      <c r="H672" t="s">
        <v>214</v>
      </c>
      <c r="I672" t="s">
        <v>252</v>
      </c>
      <c r="J672" t="s">
        <v>40</v>
      </c>
      <c r="K672" t="s">
        <v>24</v>
      </c>
      <c r="L672">
        <v>5</v>
      </c>
      <c r="M672">
        <v>14940</v>
      </c>
      <c r="N672">
        <v>0.1</v>
      </c>
      <c r="O672">
        <v>11570</v>
      </c>
    </row>
    <row r="673" spans="1:15" x14ac:dyDescent="0.25">
      <c r="A673" t="s">
        <v>820</v>
      </c>
      <c r="B673">
        <v>45644</v>
      </c>
      <c r="C673" t="s">
        <v>56</v>
      </c>
      <c r="D673" t="s">
        <v>143</v>
      </c>
      <c r="E673" t="s">
        <v>58</v>
      </c>
      <c r="F673" t="s">
        <v>19</v>
      </c>
      <c r="G673" t="s">
        <v>27</v>
      </c>
      <c r="H673" t="s">
        <v>53</v>
      </c>
      <c r="I673" t="s">
        <v>131</v>
      </c>
      <c r="J673" t="s">
        <v>23</v>
      </c>
      <c r="K673" t="s">
        <v>119</v>
      </c>
      <c r="L673">
        <v>3</v>
      </c>
      <c r="M673">
        <v>38760</v>
      </c>
      <c r="N673">
        <v>0.15</v>
      </c>
      <c r="O673">
        <v>26670</v>
      </c>
    </row>
    <row r="674" spans="1:15" x14ac:dyDescent="0.25">
      <c r="A674" t="s">
        <v>821</v>
      </c>
      <c r="B674">
        <v>45645</v>
      </c>
      <c r="C674" t="s">
        <v>37</v>
      </c>
      <c r="D674" t="s">
        <v>213</v>
      </c>
      <c r="E674" t="s">
        <v>68</v>
      </c>
      <c r="F674" t="s">
        <v>19</v>
      </c>
      <c r="G674" t="s">
        <v>20</v>
      </c>
      <c r="H674" t="s">
        <v>21</v>
      </c>
      <c r="I674" t="s">
        <v>65</v>
      </c>
      <c r="J674" t="s">
        <v>23</v>
      </c>
      <c r="K674" t="s">
        <v>24</v>
      </c>
      <c r="L674">
        <v>13</v>
      </c>
      <c r="M674">
        <v>8160</v>
      </c>
      <c r="N674">
        <v>0.15</v>
      </c>
      <c r="O674">
        <v>5160</v>
      </c>
    </row>
    <row r="675" spans="1:15" x14ac:dyDescent="0.25">
      <c r="A675" t="s">
        <v>822</v>
      </c>
      <c r="B675">
        <v>45645</v>
      </c>
      <c r="C675" t="s">
        <v>16</v>
      </c>
      <c r="D675" t="s">
        <v>17</v>
      </c>
      <c r="E675" t="s">
        <v>32</v>
      </c>
      <c r="F675" t="s">
        <v>52</v>
      </c>
      <c r="G675" t="s">
        <v>46</v>
      </c>
      <c r="H675" t="s">
        <v>179</v>
      </c>
      <c r="I675" t="s">
        <v>180</v>
      </c>
      <c r="J675" t="s">
        <v>23</v>
      </c>
      <c r="K675" t="s">
        <v>24</v>
      </c>
      <c r="L675">
        <v>2</v>
      </c>
      <c r="M675">
        <v>3960</v>
      </c>
      <c r="N675">
        <v>0.05</v>
      </c>
      <c r="O675">
        <v>2520</v>
      </c>
    </row>
    <row r="676" spans="1:15" x14ac:dyDescent="0.25">
      <c r="A676" t="s">
        <v>823</v>
      </c>
      <c r="B676">
        <v>45646</v>
      </c>
      <c r="C676" t="s">
        <v>56</v>
      </c>
      <c r="D676" t="s">
        <v>127</v>
      </c>
      <c r="E676" t="s">
        <v>91</v>
      </c>
      <c r="F676" t="s">
        <v>52</v>
      </c>
      <c r="G676" t="s">
        <v>20</v>
      </c>
      <c r="H676" t="s">
        <v>87</v>
      </c>
      <c r="I676" t="s">
        <v>88</v>
      </c>
      <c r="J676" t="s">
        <v>40</v>
      </c>
      <c r="K676" t="s">
        <v>24</v>
      </c>
      <c r="L676">
        <v>4</v>
      </c>
      <c r="M676">
        <v>30520</v>
      </c>
      <c r="N676">
        <v>0.1</v>
      </c>
      <c r="O676">
        <v>20600</v>
      </c>
    </row>
    <row r="677" spans="1:15" x14ac:dyDescent="0.25">
      <c r="A677" t="s">
        <v>824</v>
      </c>
      <c r="B677">
        <v>45646</v>
      </c>
      <c r="C677" t="s">
        <v>16</v>
      </c>
      <c r="D677" t="s">
        <v>17</v>
      </c>
      <c r="E677" t="s">
        <v>32</v>
      </c>
      <c r="F677" t="s">
        <v>19</v>
      </c>
      <c r="G677" t="s">
        <v>83</v>
      </c>
      <c r="H677" t="s">
        <v>136</v>
      </c>
      <c r="I677" t="s">
        <v>137</v>
      </c>
      <c r="J677" t="s">
        <v>40</v>
      </c>
      <c r="K677" t="s">
        <v>24</v>
      </c>
      <c r="L677">
        <v>34</v>
      </c>
      <c r="M677">
        <v>1650</v>
      </c>
      <c r="N677">
        <v>0.12</v>
      </c>
      <c r="O677">
        <v>1130</v>
      </c>
    </row>
    <row r="678" spans="1:15" x14ac:dyDescent="0.25">
      <c r="A678" t="s">
        <v>825</v>
      </c>
      <c r="B678">
        <v>45647</v>
      </c>
      <c r="C678" t="s">
        <v>16</v>
      </c>
      <c r="D678" t="s">
        <v>51</v>
      </c>
      <c r="E678" t="s">
        <v>26</v>
      </c>
      <c r="F678" t="s">
        <v>19</v>
      </c>
      <c r="G678" t="s">
        <v>20</v>
      </c>
      <c r="H678" t="s">
        <v>33</v>
      </c>
      <c r="I678" t="s">
        <v>182</v>
      </c>
      <c r="J678" t="s">
        <v>40</v>
      </c>
      <c r="K678" t="s">
        <v>24</v>
      </c>
      <c r="L678">
        <v>4</v>
      </c>
      <c r="M678">
        <v>111140</v>
      </c>
      <c r="N678">
        <v>0.12</v>
      </c>
      <c r="O678">
        <v>73330</v>
      </c>
    </row>
    <row r="679" spans="1:15" x14ac:dyDescent="0.25">
      <c r="A679" t="s">
        <v>826</v>
      </c>
      <c r="B679">
        <v>45648</v>
      </c>
      <c r="C679" t="s">
        <v>42</v>
      </c>
      <c r="D679" t="s">
        <v>96</v>
      </c>
      <c r="E679" t="s">
        <v>97</v>
      </c>
      <c r="F679" t="s">
        <v>92</v>
      </c>
      <c r="G679" t="s">
        <v>20</v>
      </c>
      <c r="H679" t="s">
        <v>33</v>
      </c>
      <c r="I679" t="s">
        <v>34</v>
      </c>
      <c r="J679" t="s">
        <v>49</v>
      </c>
      <c r="K679" t="s">
        <v>119</v>
      </c>
      <c r="L679">
        <v>4</v>
      </c>
      <c r="M679">
        <v>53480</v>
      </c>
      <c r="N679">
        <v>0.12</v>
      </c>
      <c r="O679">
        <v>41930</v>
      </c>
    </row>
    <row r="680" spans="1:15" x14ac:dyDescent="0.25">
      <c r="A680" t="s">
        <v>827</v>
      </c>
      <c r="B680">
        <v>45648</v>
      </c>
      <c r="C680" t="s">
        <v>42</v>
      </c>
      <c r="D680" t="s">
        <v>130</v>
      </c>
      <c r="E680" t="s">
        <v>64</v>
      </c>
      <c r="F680" t="s">
        <v>19</v>
      </c>
      <c r="G680" t="s">
        <v>46</v>
      </c>
      <c r="H680" t="s">
        <v>179</v>
      </c>
      <c r="I680" t="s">
        <v>236</v>
      </c>
      <c r="J680" t="s">
        <v>23</v>
      </c>
      <c r="K680" t="s">
        <v>24</v>
      </c>
      <c r="L680">
        <v>3</v>
      </c>
      <c r="M680">
        <v>2120</v>
      </c>
      <c r="N680">
        <v>0.08</v>
      </c>
      <c r="O680">
        <v>1540</v>
      </c>
    </row>
    <row r="681" spans="1:15" x14ac:dyDescent="0.25">
      <c r="A681" t="s">
        <v>828</v>
      </c>
      <c r="B681">
        <v>45648</v>
      </c>
      <c r="C681" t="s">
        <v>56</v>
      </c>
      <c r="D681" t="s">
        <v>143</v>
      </c>
      <c r="E681" t="s">
        <v>91</v>
      </c>
      <c r="F681" t="s">
        <v>19</v>
      </c>
      <c r="G681" t="s">
        <v>46</v>
      </c>
      <c r="H681" t="s">
        <v>179</v>
      </c>
      <c r="I681" t="s">
        <v>180</v>
      </c>
      <c r="J681" t="s">
        <v>40</v>
      </c>
      <c r="K681" t="s">
        <v>24</v>
      </c>
      <c r="L681">
        <v>12</v>
      </c>
      <c r="M681">
        <v>3940</v>
      </c>
      <c r="N681">
        <v>0.05</v>
      </c>
      <c r="O681">
        <v>2250</v>
      </c>
    </row>
    <row r="682" spans="1:15" x14ac:dyDescent="0.25">
      <c r="A682" t="s">
        <v>829</v>
      </c>
      <c r="B682">
        <v>45649</v>
      </c>
      <c r="C682" t="s">
        <v>37</v>
      </c>
      <c r="D682" t="s">
        <v>213</v>
      </c>
      <c r="E682" t="s">
        <v>39</v>
      </c>
      <c r="F682" t="s">
        <v>52</v>
      </c>
      <c r="G682" t="s">
        <v>46</v>
      </c>
      <c r="H682" t="s">
        <v>47</v>
      </c>
      <c r="I682" t="s">
        <v>93</v>
      </c>
      <c r="J682" t="s">
        <v>23</v>
      </c>
      <c r="K682" t="s">
        <v>119</v>
      </c>
      <c r="L682">
        <v>19</v>
      </c>
      <c r="M682">
        <v>1240</v>
      </c>
      <c r="N682">
        <v>0.15</v>
      </c>
      <c r="O682">
        <v>820</v>
      </c>
    </row>
    <row r="683" spans="1:15" x14ac:dyDescent="0.25">
      <c r="A683" t="s">
        <v>830</v>
      </c>
      <c r="B683">
        <v>45651</v>
      </c>
      <c r="C683" t="s">
        <v>56</v>
      </c>
      <c r="D683" t="s">
        <v>127</v>
      </c>
      <c r="E683" t="s">
        <v>58</v>
      </c>
      <c r="F683" t="s">
        <v>92</v>
      </c>
      <c r="G683" t="s">
        <v>27</v>
      </c>
      <c r="H683" t="s">
        <v>79</v>
      </c>
      <c r="I683" t="s">
        <v>80</v>
      </c>
      <c r="J683" t="s">
        <v>23</v>
      </c>
      <c r="K683" t="s">
        <v>24</v>
      </c>
      <c r="L683">
        <v>8</v>
      </c>
      <c r="M683">
        <v>4330</v>
      </c>
      <c r="N683">
        <v>0</v>
      </c>
      <c r="O683">
        <v>2870</v>
      </c>
    </row>
    <row r="684" spans="1:15" x14ac:dyDescent="0.25">
      <c r="A684" t="s">
        <v>831</v>
      </c>
      <c r="B684">
        <v>45651</v>
      </c>
      <c r="C684" t="s">
        <v>42</v>
      </c>
      <c r="D684" t="s">
        <v>265</v>
      </c>
      <c r="E684" t="s">
        <v>64</v>
      </c>
      <c r="F684" t="s">
        <v>19</v>
      </c>
      <c r="G684" t="s">
        <v>20</v>
      </c>
      <c r="H684" t="s">
        <v>33</v>
      </c>
      <c r="I684" t="s">
        <v>34</v>
      </c>
      <c r="J684" t="s">
        <v>23</v>
      </c>
      <c r="K684" t="s">
        <v>24</v>
      </c>
      <c r="L684">
        <v>3</v>
      </c>
      <c r="M684">
        <v>58620</v>
      </c>
      <c r="N684">
        <v>0.05</v>
      </c>
      <c r="O684">
        <v>43970</v>
      </c>
    </row>
    <row r="685" spans="1:15" x14ac:dyDescent="0.25">
      <c r="A685" t="s">
        <v>832</v>
      </c>
      <c r="B685">
        <v>45651</v>
      </c>
      <c r="C685" t="s">
        <v>16</v>
      </c>
      <c r="D685" t="s">
        <v>191</v>
      </c>
      <c r="E685" t="s">
        <v>32</v>
      </c>
      <c r="F685" t="s">
        <v>52</v>
      </c>
      <c r="G685" t="s">
        <v>83</v>
      </c>
      <c r="H685" t="s">
        <v>84</v>
      </c>
      <c r="I685" t="s">
        <v>85</v>
      </c>
      <c r="J685" t="s">
        <v>40</v>
      </c>
      <c r="K685" t="s">
        <v>24</v>
      </c>
      <c r="L685">
        <v>37</v>
      </c>
      <c r="M685">
        <v>2320</v>
      </c>
      <c r="N685">
        <v>0.05</v>
      </c>
      <c r="O685">
        <v>1510</v>
      </c>
    </row>
    <row r="686" spans="1:15" x14ac:dyDescent="0.25">
      <c r="A686" t="s">
        <v>833</v>
      </c>
      <c r="B686">
        <v>45651</v>
      </c>
      <c r="C686" t="s">
        <v>16</v>
      </c>
      <c r="D686" t="s">
        <v>153</v>
      </c>
      <c r="E686" t="s">
        <v>26</v>
      </c>
      <c r="F686" t="s">
        <v>92</v>
      </c>
      <c r="G686" t="s">
        <v>83</v>
      </c>
      <c r="H686" t="s">
        <v>136</v>
      </c>
      <c r="I686" t="s">
        <v>137</v>
      </c>
      <c r="J686" t="s">
        <v>49</v>
      </c>
      <c r="K686" t="s">
        <v>24</v>
      </c>
      <c r="L686">
        <v>9</v>
      </c>
      <c r="M686">
        <v>1700</v>
      </c>
      <c r="N686">
        <v>0.15</v>
      </c>
      <c r="O686">
        <v>1090</v>
      </c>
    </row>
    <row r="687" spans="1:15" x14ac:dyDescent="0.25">
      <c r="A687" t="s">
        <v>834</v>
      </c>
      <c r="B687">
        <v>45653</v>
      </c>
      <c r="C687" t="s">
        <v>42</v>
      </c>
      <c r="D687" t="s">
        <v>43</v>
      </c>
      <c r="E687" t="s">
        <v>64</v>
      </c>
      <c r="F687" t="s">
        <v>45</v>
      </c>
      <c r="G687" t="s">
        <v>20</v>
      </c>
      <c r="H687" t="s">
        <v>87</v>
      </c>
      <c r="I687" t="s">
        <v>88</v>
      </c>
      <c r="J687" t="s">
        <v>49</v>
      </c>
      <c r="K687" t="s">
        <v>24</v>
      </c>
      <c r="L687">
        <v>6</v>
      </c>
      <c r="M687">
        <v>33420</v>
      </c>
      <c r="N687">
        <v>0.2</v>
      </c>
      <c r="O687">
        <v>25940</v>
      </c>
    </row>
    <row r="688" spans="1:15" x14ac:dyDescent="0.25">
      <c r="A688" t="s">
        <v>835</v>
      </c>
      <c r="B688">
        <v>45653</v>
      </c>
      <c r="C688" t="s">
        <v>42</v>
      </c>
      <c r="D688" t="s">
        <v>123</v>
      </c>
      <c r="E688" t="s">
        <v>44</v>
      </c>
      <c r="F688" t="s">
        <v>52</v>
      </c>
      <c r="G688" t="s">
        <v>46</v>
      </c>
      <c r="H688" t="s">
        <v>47</v>
      </c>
      <c r="I688" t="s">
        <v>93</v>
      </c>
      <c r="J688" t="s">
        <v>23</v>
      </c>
      <c r="K688" t="s">
        <v>35</v>
      </c>
      <c r="L688">
        <v>10</v>
      </c>
      <c r="M688">
        <v>1240</v>
      </c>
      <c r="N688">
        <v>0</v>
      </c>
      <c r="O688">
        <v>770</v>
      </c>
    </row>
    <row r="689" spans="1:15" x14ac:dyDescent="0.25">
      <c r="A689" t="s">
        <v>836</v>
      </c>
      <c r="B689">
        <v>45653</v>
      </c>
      <c r="C689" t="s">
        <v>76</v>
      </c>
      <c r="D689" t="s">
        <v>77</v>
      </c>
      <c r="E689" t="s">
        <v>78</v>
      </c>
      <c r="F689" t="s">
        <v>92</v>
      </c>
      <c r="G689" t="s">
        <v>27</v>
      </c>
      <c r="H689" t="s">
        <v>28</v>
      </c>
      <c r="I689" t="s">
        <v>29</v>
      </c>
      <c r="J689" t="s">
        <v>23</v>
      </c>
      <c r="K689" t="s">
        <v>24</v>
      </c>
      <c r="L689">
        <v>11</v>
      </c>
      <c r="M689">
        <v>28880</v>
      </c>
      <c r="N689">
        <v>0</v>
      </c>
      <c r="O689">
        <v>22380</v>
      </c>
    </row>
    <row r="690" spans="1:15" x14ac:dyDescent="0.25">
      <c r="A690" t="s">
        <v>837</v>
      </c>
      <c r="B690">
        <v>45653</v>
      </c>
      <c r="C690" t="s">
        <v>16</v>
      </c>
      <c r="D690" t="s">
        <v>31</v>
      </c>
      <c r="E690" t="s">
        <v>32</v>
      </c>
      <c r="F690" t="s">
        <v>19</v>
      </c>
      <c r="G690" t="s">
        <v>20</v>
      </c>
      <c r="H690" t="s">
        <v>21</v>
      </c>
      <c r="I690" t="s">
        <v>65</v>
      </c>
      <c r="J690" t="s">
        <v>23</v>
      </c>
      <c r="K690" t="s">
        <v>24</v>
      </c>
      <c r="L690">
        <v>10</v>
      </c>
      <c r="M690">
        <v>8810</v>
      </c>
      <c r="N690">
        <v>0</v>
      </c>
      <c r="O690">
        <v>5380</v>
      </c>
    </row>
    <row r="691" spans="1:15" x14ac:dyDescent="0.25">
      <c r="A691" t="s">
        <v>838</v>
      </c>
      <c r="B691">
        <v>45653</v>
      </c>
      <c r="C691" t="s">
        <v>56</v>
      </c>
      <c r="D691" t="s">
        <v>72</v>
      </c>
      <c r="E691" t="s">
        <v>91</v>
      </c>
      <c r="F691" t="s">
        <v>92</v>
      </c>
      <c r="G691" t="s">
        <v>46</v>
      </c>
      <c r="H691" t="s">
        <v>100</v>
      </c>
      <c r="I691" t="s">
        <v>177</v>
      </c>
      <c r="J691" t="s">
        <v>23</v>
      </c>
      <c r="K691" t="s">
        <v>24</v>
      </c>
      <c r="L691">
        <v>66</v>
      </c>
      <c r="M691">
        <v>2470</v>
      </c>
      <c r="N691">
        <v>0.12</v>
      </c>
      <c r="O691">
        <v>1400</v>
      </c>
    </row>
    <row r="692" spans="1:15" x14ac:dyDescent="0.25">
      <c r="A692" t="s">
        <v>839</v>
      </c>
      <c r="B692">
        <v>45654</v>
      </c>
      <c r="C692" t="s">
        <v>42</v>
      </c>
      <c r="D692" t="s">
        <v>146</v>
      </c>
      <c r="E692" t="s">
        <v>64</v>
      </c>
      <c r="F692" t="s">
        <v>52</v>
      </c>
      <c r="G692" t="s">
        <v>59</v>
      </c>
      <c r="H692" t="s">
        <v>69</v>
      </c>
      <c r="I692" t="s">
        <v>121</v>
      </c>
      <c r="J692" t="s">
        <v>23</v>
      </c>
      <c r="K692" t="s">
        <v>24</v>
      </c>
      <c r="L692">
        <v>15</v>
      </c>
      <c r="M692">
        <v>3340</v>
      </c>
      <c r="N692">
        <v>0.18</v>
      </c>
      <c r="O692">
        <v>2160</v>
      </c>
    </row>
    <row r="693" spans="1:15" x14ac:dyDescent="0.25">
      <c r="A693" t="s">
        <v>840</v>
      </c>
      <c r="B693">
        <v>45654</v>
      </c>
      <c r="C693" t="s">
        <v>16</v>
      </c>
      <c r="D693" t="s">
        <v>153</v>
      </c>
      <c r="E693" t="s">
        <v>26</v>
      </c>
      <c r="F693" t="s">
        <v>52</v>
      </c>
      <c r="G693" t="s">
        <v>59</v>
      </c>
      <c r="H693" t="s">
        <v>154</v>
      </c>
      <c r="I693" t="s">
        <v>249</v>
      </c>
      <c r="J693" t="s">
        <v>23</v>
      </c>
      <c r="K693" t="s">
        <v>24</v>
      </c>
      <c r="L693">
        <v>9</v>
      </c>
      <c r="M693">
        <v>6550</v>
      </c>
      <c r="N693">
        <v>0</v>
      </c>
      <c r="O693">
        <v>4260</v>
      </c>
    </row>
    <row r="694" spans="1:15" x14ac:dyDescent="0.25">
      <c r="A694" t="s">
        <v>841</v>
      </c>
      <c r="B694">
        <v>45654</v>
      </c>
      <c r="C694" t="s">
        <v>76</v>
      </c>
      <c r="D694" t="s">
        <v>112</v>
      </c>
      <c r="E694" t="s">
        <v>78</v>
      </c>
      <c r="F694" t="s">
        <v>45</v>
      </c>
      <c r="G694" t="s">
        <v>20</v>
      </c>
      <c r="H694" t="s">
        <v>21</v>
      </c>
      <c r="I694" t="s">
        <v>22</v>
      </c>
      <c r="J694" t="s">
        <v>49</v>
      </c>
      <c r="K694" t="s">
        <v>24</v>
      </c>
      <c r="L694">
        <v>45</v>
      </c>
      <c r="M694">
        <v>1800</v>
      </c>
      <c r="N694">
        <v>0.18</v>
      </c>
      <c r="O694">
        <v>1340</v>
      </c>
    </row>
    <row r="695" spans="1:15" x14ac:dyDescent="0.25">
      <c r="A695" t="s">
        <v>842</v>
      </c>
      <c r="B695">
        <v>45654</v>
      </c>
      <c r="C695" t="s">
        <v>56</v>
      </c>
      <c r="D695" t="s">
        <v>127</v>
      </c>
      <c r="E695" t="s">
        <v>91</v>
      </c>
      <c r="F695" t="s">
        <v>19</v>
      </c>
      <c r="G695" t="s">
        <v>46</v>
      </c>
      <c r="H695" t="s">
        <v>179</v>
      </c>
      <c r="I695" t="s">
        <v>221</v>
      </c>
      <c r="J695" t="s">
        <v>40</v>
      </c>
      <c r="K695" t="s">
        <v>24</v>
      </c>
      <c r="L695">
        <v>37</v>
      </c>
      <c r="M695">
        <v>1710</v>
      </c>
      <c r="N695">
        <v>0.05</v>
      </c>
      <c r="O695">
        <v>1300</v>
      </c>
    </row>
    <row r="696" spans="1:15" x14ac:dyDescent="0.25">
      <c r="A696" t="s">
        <v>843</v>
      </c>
      <c r="B696">
        <v>45656</v>
      </c>
      <c r="C696" t="s">
        <v>56</v>
      </c>
      <c r="D696" t="s">
        <v>57</v>
      </c>
      <c r="E696" t="s">
        <v>91</v>
      </c>
      <c r="F696" t="s">
        <v>19</v>
      </c>
      <c r="G696" t="s">
        <v>27</v>
      </c>
      <c r="H696" t="s">
        <v>79</v>
      </c>
      <c r="I696" t="s">
        <v>262</v>
      </c>
      <c r="J696" t="s">
        <v>49</v>
      </c>
      <c r="K696" t="s">
        <v>24</v>
      </c>
      <c r="L696">
        <v>21</v>
      </c>
      <c r="M696">
        <v>2640</v>
      </c>
      <c r="N696">
        <v>0.18</v>
      </c>
      <c r="O696">
        <v>1520</v>
      </c>
    </row>
    <row r="697" spans="1:15" x14ac:dyDescent="0.25">
      <c r="A697" t="s">
        <v>844</v>
      </c>
      <c r="B697">
        <v>45657</v>
      </c>
      <c r="C697" t="s">
        <v>16</v>
      </c>
      <c r="D697" t="s">
        <v>51</v>
      </c>
      <c r="E697" t="s">
        <v>26</v>
      </c>
      <c r="F697" t="s">
        <v>92</v>
      </c>
      <c r="G697" t="s">
        <v>59</v>
      </c>
      <c r="H697" t="s">
        <v>73</v>
      </c>
      <c r="I697" t="s">
        <v>113</v>
      </c>
      <c r="J697" t="s">
        <v>49</v>
      </c>
      <c r="K697" t="s">
        <v>24</v>
      </c>
      <c r="L697">
        <v>7</v>
      </c>
      <c r="M697">
        <v>34540</v>
      </c>
      <c r="N697">
        <v>0.12</v>
      </c>
      <c r="O697">
        <v>22520</v>
      </c>
    </row>
    <row r="698" spans="1:15" x14ac:dyDescent="0.25">
      <c r="A698" t="s">
        <v>845</v>
      </c>
      <c r="B698">
        <v>45658</v>
      </c>
      <c r="C698" t="s">
        <v>37</v>
      </c>
      <c r="D698" t="s">
        <v>166</v>
      </c>
      <c r="E698" t="s">
        <v>68</v>
      </c>
      <c r="F698" t="s">
        <v>92</v>
      </c>
      <c r="G698" t="s">
        <v>46</v>
      </c>
      <c r="H698" t="s">
        <v>100</v>
      </c>
      <c r="I698" t="s">
        <v>101</v>
      </c>
      <c r="J698" t="s">
        <v>23</v>
      </c>
      <c r="K698" t="s">
        <v>24</v>
      </c>
      <c r="L698">
        <v>50</v>
      </c>
      <c r="M698">
        <v>2000</v>
      </c>
      <c r="N698">
        <v>0.1</v>
      </c>
      <c r="O698">
        <v>1380</v>
      </c>
    </row>
    <row r="699" spans="1:15" x14ac:dyDescent="0.25">
      <c r="A699" t="s">
        <v>846</v>
      </c>
      <c r="B699">
        <v>45659</v>
      </c>
      <c r="C699" t="s">
        <v>42</v>
      </c>
      <c r="D699" t="s">
        <v>130</v>
      </c>
      <c r="E699" t="s">
        <v>44</v>
      </c>
      <c r="F699" t="s">
        <v>45</v>
      </c>
      <c r="G699" t="s">
        <v>46</v>
      </c>
      <c r="H699" t="s">
        <v>179</v>
      </c>
      <c r="I699" t="s">
        <v>180</v>
      </c>
      <c r="J699" t="s">
        <v>23</v>
      </c>
      <c r="K699" t="s">
        <v>24</v>
      </c>
      <c r="L699">
        <v>16</v>
      </c>
      <c r="M699">
        <v>3810</v>
      </c>
      <c r="N699">
        <v>0</v>
      </c>
      <c r="O699">
        <v>2210</v>
      </c>
    </row>
    <row r="700" spans="1:15" x14ac:dyDescent="0.25">
      <c r="A700" t="s">
        <v>847</v>
      </c>
      <c r="B700">
        <v>45659</v>
      </c>
      <c r="C700" t="s">
        <v>56</v>
      </c>
      <c r="D700" t="s">
        <v>72</v>
      </c>
      <c r="E700" t="s">
        <v>58</v>
      </c>
      <c r="F700" t="s">
        <v>92</v>
      </c>
      <c r="G700" t="s">
        <v>27</v>
      </c>
      <c r="H700" t="s">
        <v>214</v>
      </c>
      <c r="I700" t="s">
        <v>252</v>
      </c>
      <c r="J700" t="s">
        <v>23</v>
      </c>
      <c r="K700" t="s">
        <v>24</v>
      </c>
      <c r="L700">
        <v>8</v>
      </c>
      <c r="M700">
        <v>14600</v>
      </c>
      <c r="N700">
        <v>0</v>
      </c>
      <c r="O700">
        <v>8460</v>
      </c>
    </row>
    <row r="701" spans="1:15" x14ac:dyDescent="0.25">
      <c r="A701" t="s">
        <v>848</v>
      </c>
      <c r="B701">
        <v>45659</v>
      </c>
      <c r="C701" t="s">
        <v>56</v>
      </c>
      <c r="D701" t="s">
        <v>127</v>
      </c>
      <c r="E701" t="s">
        <v>58</v>
      </c>
      <c r="F701" t="s">
        <v>19</v>
      </c>
      <c r="G701" t="s">
        <v>83</v>
      </c>
      <c r="H701" t="s">
        <v>184</v>
      </c>
      <c r="I701" t="s">
        <v>185</v>
      </c>
      <c r="J701" t="s">
        <v>40</v>
      </c>
      <c r="K701" t="s">
        <v>24</v>
      </c>
      <c r="L701">
        <v>6</v>
      </c>
      <c r="M701">
        <v>4470</v>
      </c>
      <c r="N701">
        <v>0.05</v>
      </c>
      <c r="O701">
        <v>3100</v>
      </c>
    </row>
    <row r="702" spans="1:15" x14ac:dyDescent="0.25">
      <c r="A702" t="s">
        <v>849</v>
      </c>
      <c r="B702">
        <v>45659</v>
      </c>
      <c r="C702" t="s">
        <v>76</v>
      </c>
      <c r="D702" t="s">
        <v>77</v>
      </c>
      <c r="E702" t="s">
        <v>78</v>
      </c>
      <c r="F702" t="s">
        <v>45</v>
      </c>
      <c r="G702" t="s">
        <v>46</v>
      </c>
      <c r="H702" t="s">
        <v>47</v>
      </c>
      <c r="I702" t="s">
        <v>259</v>
      </c>
      <c r="J702" t="s">
        <v>40</v>
      </c>
      <c r="K702" t="s">
        <v>119</v>
      </c>
      <c r="L702">
        <v>13</v>
      </c>
      <c r="M702">
        <v>2850</v>
      </c>
      <c r="N702">
        <v>0.12</v>
      </c>
      <c r="O702">
        <v>2130</v>
      </c>
    </row>
    <row r="703" spans="1:15" x14ac:dyDescent="0.25">
      <c r="A703" t="s">
        <v>850</v>
      </c>
      <c r="B703">
        <v>45659</v>
      </c>
      <c r="C703" t="s">
        <v>42</v>
      </c>
      <c r="D703" t="s">
        <v>146</v>
      </c>
      <c r="E703" t="s">
        <v>97</v>
      </c>
      <c r="F703" t="s">
        <v>19</v>
      </c>
      <c r="G703" t="s">
        <v>46</v>
      </c>
      <c r="H703" t="s">
        <v>100</v>
      </c>
      <c r="I703" t="s">
        <v>177</v>
      </c>
      <c r="J703" t="s">
        <v>40</v>
      </c>
      <c r="K703" t="s">
        <v>24</v>
      </c>
      <c r="L703">
        <v>31</v>
      </c>
      <c r="M703">
        <v>2690</v>
      </c>
      <c r="N703">
        <v>0.05</v>
      </c>
      <c r="O703">
        <v>1890</v>
      </c>
    </row>
    <row r="704" spans="1:15" x14ac:dyDescent="0.25">
      <c r="A704" t="s">
        <v>851</v>
      </c>
      <c r="B704">
        <v>45659</v>
      </c>
      <c r="C704" t="s">
        <v>76</v>
      </c>
      <c r="D704" t="s">
        <v>77</v>
      </c>
      <c r="E704" t="s">
        <v>170</v>
      </c>
      <c r="F704" t="s">
        <v>92</v>
      </c>
      <c r="G704" t="s">
        <v>46</v>
      </c>
      <c r="H704" t="s">
        <v>47</v>
      </c>
      <c r="I704" t="s">
        <v>259</v>
      </c>
      <c r="J704" t="s">
        <v>40</v>
      </c>
      <c r="K704" t="s">
        <v>24</v>
      </c>
      <c r="L704">
        <v>17</v>
      </c>
      <c r="M704">
        <v>2960</v>
      </c>
      <c r="N704">
        <v>0.05</v>
      </c>
      <c r="O704">
        <v>2280</v>
      </c>
    </row>
    <row r="705" spans="1:15" x14ac:dyDescent="0.25">
      <c r="A705" t="s">
        <v>852</v>
      </c>
      <c r="B705">
        <v>45660</v>
      </c>
      <c r="C705" t="s">
        <v>42</v>
      </c>
      <c r="D705" t="s">
        <v>265</v>
      </c>
      <c r="E705" t="s">
        <v>97</v>
      </c>
      <c r="F705" t="s">
        <v>52</v>
      </c>
      <c r="G705" t="s">
        <v>27</v>
      </c>
      <c r="H705" t="s">
        <v>214</v>
      </c>
      <c r="I705" t="s">
        <v>215</v>
      </c>
      <c r="J705" t="s">
        <v>23</v>
      </c>
      <c r="K705" t="s">
        <v>24</v>
      </c>
      <c r="L705">
        <v>3</v>
      </c>
      <c r="M705">
        <v>35380</v>
      </c>
      <c r="N705">
        <v>0</v>
      </c>
      <c r="O705">
        <v>25430</v>
      </c>
    </row>
    <row r="706" spans="1:15" x14ac:dyDescent="0.25">
      <c r="A706" t="s">
        <v>853</v>
      </c>
      <c r="B706">
        <v>45660</v>
      </c>
      <c r="C706" t="s">
        <v>42</v>
      </c>
      <c r="D706" t="s">
        <v>123</v>
      </c>
      <c r="E706" t="s">
        <v>64</v>
      </c>
      <c r="F706" t="s">
        <v>19</v>
      </c>
      <c r="G706" t="s">
        <v>46</v>
      </c>
      <c r="H706" t="s">
        <v>47</v>
      </c>
      <c r="I706" t="s">
        <v>259</v>
      </c>
      <c r="J706" t="s">
        <v>40</v>
      </c>
      <c r="K706" t="s">
        <v>119</v>
      </c>
      <c r="L706">
        <v>34</v>
      </c>
      <c r="M706">
        <v>2790</v>
      </c>
      <c r="N706">
        <v>0.05</v>
      </c>
      <c r="O706">
        <v>1890</v>
      </c>
    </row>
    <row r="707" spans="1:15" x14ac:dyDescent="0.25">
      <c r="A707" t="s">
        <v>854</v>
      </c>
      <c r="B707">
        <v>45660</v>
      </c>
      <c r="C707" t="s">
        <v>56</v>
      </c>
      <c r="D707" t="s">
        <v>103</v>
      </c>
      <c r="E707" t="s">
        <v>91</v>
      </c>
      <c r="F707" t="s">
        <v>19</v>
      </c>
      <c r="G707" t="s">
        <v>59</v>
      </c>
      <c r="H707" t="s">
        <v>69</v>
      </c>
      <c r="I707" t="s">
        <v>70</v>
      </c>
      <c r="J707" t="s">
        <v>23</v>
      </c>
      <c r="K707" t="s">
        <v>94</v>
      </c>
      <c r="L707">
        <v>7</v>
      </c>
      <c r="M707">
        <v>29290</v>
      </c>
      <c r="N707">
        <v>0</v>
      </c>
      <c r="O707">
        <v>22740</v>
      </c>
    </row>
    <row r="708" spans="1:15" x14ac:dyDescent="0.25">
      <c r="A708" t="s">
        <v>855</v>
      </c>
      <c r="B708">
        <v>45660</v>
      </c>
      <c r="C708" t="s">
        <v>16</v>
      </c>
      <c r="D708" t="s">
        <v>31</v>
      </c>
      <c r="E708" t="s">
        <v>32</v>
      </c>
      <c r="F708" t="s">
        <v>92</v>
      </c>
      <c r="G708" t="s">
        <v>20</v>
      </c>
      <c r="H708" t="s">
        <v>87</v>
      </c>
      <c r="I708" t="s">
        <v>105</v>
      </c>
      <c r="J708" t="s">
        <v>23</v>
      </c>
      <c r="K708" t="s">
        <v>24</v>
      </c>
      <c r="L708">
        <v>4</v>
      </c>
      <c r="M708">
        <v>53040</v>
      </c>
      <c r="N708">
        <v>0.08</v>
      </c>
      <c r="O708">
        <v>39220</v>
      </c>
    </row>
    <row r="709" spans="1:15" x14ac:dyDescent="0.25">
      <c r="A709" t="s">
        <v>856</v>
      </c>
      <c r="B709">
        <v>45660</v>
      </c>
      <c r="C709" t="s">
        <v>76</v>
      </c>
      <c r="D709" t="s">
        <v>217</v>
      </c>
      <c r="E709" t="s">
        <v>78</v>
      </c>
      <c r="F709" t="s">
        <v>19</v>
      </c>
      <c r="G709" t="s">
        <v>46</v>
      </c>
      <c r="H709" t="s">
        <v>47</v>
      </c>
      <c r="I709" t="s">
        <v>259</v>
      </c>
      <c r="J709" t="s">
        <v>23</v>
      </c>
      <c r="K709" t="s">
        <v>24</v>
      </c>
      <c r="L709">
        <v>22</v>
      </c>
      <c r="M709">
        <v>2870</v>
      </c>
      <c r="N709">
        <v>0.1</v>
      </c>
      <c r="O709">
        <v>1770</v>
      </c>
    </row>
    <row r="710" spans="1:15" x14ac:dyDescent="0.25">
      <c r="A710" t="s">
        <v>857</v>
      </c>
      <c r="B710">
        <v>45660</v>
      </c>
      <c r="C710" t="s">
        <v>56</v>
      </c>
      <c r="D710" t="s">
        <v>57</v>
      </c>
      <c r="E710" t="s">
        <v>58</v>
      </c>
      <c r="F710" t="s">
        <v>19</v>
      </c>
      <c r="G710" t="s">
        <v>46</v>
      </c>
      <c r="H710" t="s">
        <v>100</v>
      </c>
      <c r="I710" t="s">
        <v>177</v>
      </c>
      <c r="J710" t="s">
        <v>40</v>
      </c>
      <c r="K710" t="s">
        <v>24</v>
      </c>
      <c r="L710">
        <v>9</v>
      </c>
      <c r="M710">
        <v>2610</v>
      </c>
      <c r="N710">
        <v>0.1</v>
      </c>
      <c r="O710">
        <v>1730</v>
      </c>
    </row>
    <row r="711" spans="1:15" x14ac:dyDescent="0.25">
      <c r="A711" t="s">
        <v>858</v>
      </c>
      <c r="B711">
        <v>45661</v>
      </c>
      <c r="C711" t="s">
        <v>76</v>
      </c>
      <c r="D711" t="s">
        <v>112</v>
      </c>
      <c r="E711" t="s">
        <v>78</v>
      </c>
      <c r="F711" t="s">
        <v>92</v>
      </c>
      <c r="G711" t="s">
        <v>27</v>
      </c>
      <c r="H711" t="s">
        <v>214</v>
      </c>
      <c r="I711" t="s">
        <v>252</v>
      </c>
      <c r="J711" t="s">
        <v>49</v>
      </c>
      <c r="K711" t="s">
        <v>24</v>
      </c>
      <c r="L711">
        <v>12</v>
      </c>
      <c r="M711">
        <v>13530</v>
      </c>
      <c r="N711">
        <v>0.05</v>
      </c>
      <c r="O711">
        <v>8660</v>
      </c>
    </row>
    <row r="712" spans="1:15" x14ac:dyDescent="0.25">
      <c r="A712" t="s">
        <v>859</v>
      </c>
      <c r="B712">
        <v>45661</v>
      </c>
      <c r="C712" t="s">
        <v>76</v>
      </c>
      <c r="D712" t="s">
        <v>112</v>
      </c>
      <c r="E712" t="s">
        <v>78</v>
      </c>
      <c r="F712" t="s">
        <v>52</v>
      </c>
      <c r="G712" t="s">
        <v>46</v>
      </c>
      <c r="H712" t="s">
        <v>179</v>
      </c>
      <c r="I712" t="s">
        <v>180</v>
      </c>
      <c r="J712" t="s">
        <v>23</v>
      </c>
      <c r="K712" t="s">
        <v>24</v>
      </c>
      <c r="L712">
        <v>6</v>
      </c>
      <c r="M712">
        <v>3620</v>
      </c>
      <c r="N712">
        <v>0.08</v>
      </c>
      <c r="O712">
        <v>2230</v>
      </c>
    </row>
    <row r="713" spans="1:15" x14ac:dyDescent="0.25">
      <c r="A713" t="s">
        <v>860</v>
      </c>
      <c r="B713">
        <v>45661</v>
      </c>
      <c r="C713" t="s">
        <v>42</v>
      </c>
      <c r="D713" t="s">
        <v>96</v>
      </c>
      <c r="E713" t="s">
        <v>44</v>
      </c>
      <c r="F713" t="s">
        <v>19</v>
      </c>
      <c r="G713" t="s">
        <v>27</v>
      </c>
      <c r="H713" t="s">
        <v>53</v>
      </c>
      <c r="I713" t="s">
        <v>131</v>
      </c>
      <c r="J713" t="s">
        <v>49</v>
      </c>
      <c r="K713" t="s">
        <v>24</v>
      </c>
      <c r="L713">
        <v>1</v>
      </c>
      <c r="M713">
        <v>36630</v>
      </c>
      <c r="N713">
        <v>0.05</v>
      </c>
      <c r="O713">
        <v>21110</v>
      </c>
    </row>
    <row r="714" spans="1:15" x14ac:dyDescent="0.25">
      <c r="A714" t="s">
        <v>861</v>
      </c>
      <c r="B714">
        <v>45661</v>
      </c>
      <c r="C714" t="s">
        <v>56</v>
      </c>
      <c r="D714" t="s">
        <v>103</v>
      </c>
      <c r="E714" t="s">
        <v>134</v>
      </c>
      <c r="F714" t="s">
        <v>19</v>
      </c>
      <c r="G714" t="s">
        <v>20</v>
      </c>
      <c r="H714" t="s">
        <v>33</v>
      </c>
      <c r="I714" t="s">
        <v>34</v>
      </c>
      <c r="J714" t="s">
        <v>40</v>
      </c>
      <c r="K714" t="s">
        <v>24</v>
      </c>
      <c r="L714">
        <v>3</v>
      </c>
      <c r="M714">
        <v>55230</v>
      </c>
      <c r="N714">
        <v>0.08</v>
      </c>
      <c r="O714">
        <v>33580</v>
      </c>
    </row>
    <row r="715" spans="1:15" x14ac:dyDescent="0.25">
      <c r="A715" t="s">
        <v>862</v>
      </c>
      <c r="B715">
        <v>45662</v>
      </c>
      <c r="C715" t="s">
        <v>42</v>
      </c>
      <c r="D715" t="s">
        <v>130</v>
      </c>
      <c r="E715" t="s">
        <v>64</v>
      </c>
      <c r="F715" t="s">
        <v>52</v>
      </c>
      <c r="G715" t="s">
        <v>83</v>
      </c>
      <c r="H715" t="s">
        <v>84</v>
      </c>
      <c r="I715" t="s">
        <v>85</v>
      </c>
      <c r="J715" t="s">
        <v>49</v>
      </c>
      <c r="K715" t="s">
        <v>24</v>
      </c>
      <c r="L715">
        <v>15</v>
      </c>
      <c r="M715">
        <v>2540</v>
      </c>
      <c r="N715">
        <v>0.18</v>
      </c>
      <c r="O715">
        <v>1810</v>
      </c>
    </row>
    <row r="716" spans="1:15" x14ac:dyDescent="0.25">
      <c r="A716" t="s">
        <v>863</v>
      </c>
      <c r="B716">
        <v>45662</v>
      </c>
      <c r="C716" t="s">
        <v>42</v>
      </c>
      <c r="D716" t="s">
        <v>43</v>
      </c>
      <c r="E716" t="s">
        <v>64</v>
      </c>
      <c r="F716" t="s">
        <v>92</v>
      </c>
      <c r="G716" t="s">
        <v>46</v>
      </c>
      <c r="H716" t="s">
        <v>47</v>
      </c>
      <c r="I716" t="s">
        <v>93</v>
      </c>
      <c r="J716" t="s">
        <v>40</v>
      </c>
      <c r="K716" t="s">
        <v>119</v>
      </c>
      <c r="L716">
        <v>42</v>
      </c>
      <c r="M716">
        <v>1230</v>
      </c>
      <c r="N716">
        <v>0.2</v>
      </c>
      <c r="O716">
        <v>830</v>
      </c>
    </row>
    <row r="717" spans="1:15" x14ac:dyDescent="0.25">
      <c r="A717" t="s">
        <v>864</v>
      </c>
      <c r="B717">
        <v>45662</v>
      </c>
      <c r="C717" t="s">
        <v>56</v>
      </c>
      <c r="D717" t="s">
        <v>57</v>
      </c>
      <c r="E717" t="s">
        <v>134</v>
      </c>
      <c r="F717" t="s">
        <v>92</v>
      </c>
      <c r="G717" t="s">
        <v>20</v>
      </c>
      <c r="H717" t="s">
        <v>87</v>
      </c>
      <c r="I717" t="s">
        <v>88</v>
      </c>
      <c r="J717" t="s">
        <v>23</v>
      </c>
      <c r="K717" t="s">
        <v>24</v>
      </c>
      <c r="L717">
        <v>8</v>
      </c>
      <c r="M717">
        <v>33790</v>
      </c>
      <c r="N717">
        <v>0.08</v>
      </c>
      <c r="O717">
        <v>21130</v>
      </c>
    </row>
    <row r="718" spans="1:15" x14ac:dyDescent="0.25">
      <c r="A718" t="s">
        <v>865</v>
      </c>
      <c r="B718">
        <v>45662</v>
      </c>
      <c r="C718" t="s">
        <v>56</v>
      </c>
      <c r="D718" t="s">
        <v>127</v>
      </c>
      <c r="E718" t="s">
        <v>134</v>
      </c>
      <c r="F718" t="s">
        <v>19</v>
      </c>
      <c r="G718" t="s">
        <v>46</v>
      </c>
      <c r="H718" t="s">
        <v>100</v>
      </c>
      <c r="I718" t="s">
        <v>177</v>
      </c>
      <c r="J718" t="s">
        <v>40</v>
      </c>
      <c r="K718" t="s">
        <v>24</v>
      </c>
      <c r="L718">
        <v>5</v>
      </c>
      <c r="M718">
        <v>2530</v>
      </c>
      <c r="N718">
        <v>0.05</v>
      </c>
      <c r="O718">
        <v>1960</v>
      </c>
    </row>
    <row r="719" spans="1:15" x14ac:dyDescent="0.25">
      <c r="A719" t="s">
        <v>866</v>
      </c>
      <c r="B719">
        <v>45663</v>
      </c>
      <c r="C719" t="s">
        <v>56</v>
      </c>
      <c r="D719" t="s">
        <v>103</v>
      </c>
      <c r="E719" t="s">
        <v>91</v>
      </c>
      <c r="F719" t="s">
        <v>19</v>
      </c>
      <c r="G719" t="s">
        <v>20</v>
      </c>
      <c r="H719" t="s">
        <v>109</v>
      </c>
      <c r="I719" t="s">
        <v>171</v>
      </c>
      <c r="J719" t="s">
        <v>49</v>
      </c>
      <c r="K719" t="s">
        <v>24</v>
      </c>
      <c r="L719">
        <v>1</v>
      </c>
      <c r="M719">
        <v>22600</v>
      </c>
      <c r="N719">
        <v>0.08</v>
      </c>
      <c r="O719">
        <v>14090</v>
      </c>
    </row>
    <row r="720" spans="1:15" x14ac:dyDescent="0.25">
      <c r="A720" t="s">
        <v>867</v>
      </c>
      <c r="B720">
        <v>45663</v>
      </c>
      <c r="C720" t="s">
        <v>16</v>
      </c>
      <c r="D720" t="s">
        <v>51</v>
      </c>
      <c r="E720" t="s">
        <v>32</v>
      </c>
      <c r="F720" t="s">
        <v>19</v>
      </c>
      <c r="G720" t="s">
        <v>83</v>
      </c>
      <c r="H720" t="s">
        <v>184</v>
      </c>
      <c r="I720" t="s">
        <v>196</v>
      </c>
      <c r="J720" t="s">
        <v>23</v>
      </c>
      <c r="K720" t="s">
        <v>24</v>
      </c>
      <c r="L720">
        <v>15</v>
      </c>
      <c r="M720">
        <v>3050</v>
      </c>
      <c r="N720">
        <v>0.2</v>
      </c>
      <c r="O720">
        <v>1980</v>
      </c>
    </row>
    <row r="721" spans="1:15" x14ac:dyDescent="0.25">
      <c r="A721" t="s">
        <v>868</v>
      </c>
      <c r="B721">
        <v>45663</v>
      </c>
      <c r="C721" t="s">
        <v>16</v>
      </c>
      <c r="D721" t="s">
        <v>82</v>
      </c>
      <c r="E721" t="s">
        <v>18</v>
      </c>
      <c r="F721" t="s">
        <v>19</v>
      </c>
      <c r="G721" t="s">
        <v>27</v>
      </c>
      <c r="H721" t="s">
        <v>28</v>
      </c>
      <c r="I721" t="s">
        <v>141</v>
      </c>
      <c r="J721" t="s">
        <v>40</v>
      </c>
      <c r="K721" t="s">
        <v>24</v>
      </c>
      <c r="L721">
        <v>1</v>
      </c>
      <c r="M721">
        <v>15540</v>
      </c>
      <c r="N721">
        <v>0.1</v>
      </c>
      <c r="O721">
        <v>9800</v>
      </c>
    </row>
    <row r="722" spans="1:15" x14ac:dyDescent="0.25">
      <c r="A722" t="s">
        <v>869</v>
      </c>
      <c r="B722">
        <v>45663</v>
      </c>
      <c r="C722" t="s">
        <v>16</v>
      </c>
      <c r="D722" t="s">
        <v>31</v>
      </c>
      <c r="E722" t="s">
        <v>32</v>
      </c>
      <c r="F722" t="s">
        <v>52</v>
      </c>
      <c r="G722" t="s">
        <v>83</v>
      </c>
      <c r="H722" t="s">
        <v>184</v>
      </c>
      <c r="I722" t="s">
        <v>185</v>
      </c>
      <c r="J722" t="s">
        <v>23</v>
      </c>
      <c r="K722" t="s">
        <v>24</v>
      </c>
      <c r="L722">
        <v>6</v>
      </c>
      <c r="M722">
        <v>4450</v>
      </c>
      <c r="N722">
        <v>0</v>
      </c>
      <c r="O722">
        <v>2580</v>
      </c>
    </row>
    <row r="723" spans="1:15" x14ac:dyDescent="0.25">
      <c r="A723" t="s">
        <v>870</v>
      </c>
      <c r="B723">
        <v>45666</v>
      </c>
      <c r="C723" t="s">
        <v>16</v>
      </c>
      <c r="D723" t="s">
        <v>82</v>
      </c>
      <c r="E723" t="s">
        <v>26</v>
      </c>
      <c r="F723" t="s">
        <v>52</v>
      </c>
      <c r="G723" t="s">
        <v>20</v>
      </c>
      <c r="H723" t="s">
        <v>87</v>
      </c>
      <c r="I723" t="s">
        <v>105</v>
      </c>
      <c r="J723" t="s">
        <v>23</v>
      </c>
      <c r="K723" t="s">
        <v>24</v>
      </c>
      <c r="L723">
        <v>4</v>
      </c>
      <c r="M723">
        <v>55190</v>
      </c>
      <c r="N723">
        <v>0</v>
      </c>
      <c r="O723">
        <v>41300</v>
      </c>
    </row>
    <row r="724" spans="1:15" x14ac:dyDescent="0.25">
      <c r="A724" t="s">
        <v>871</v>
      </c>
      <c r="B724">
        <v>45667</v>
      </c>
      <c r="C724" t="s">
        <v>56</v>
      </c>
      <c r="D724" t="s">
        <v>57</v>
      </c>
      <c r="E724" t="s">
        <v>58</v>
      </c>
      <c r="F724" t="s">
        <v>52</v>
      </c>
      <c r="G724" t="s">
        <v>59</v>
      </c>
      <c r="H724" t="s">
        <v>69</v>
      </c>
      <c r="I724" t="s">
        <v>70</v>
      </c>
      <c r="J724" t="s">
        <v>40</v>
      </c>
      <c r="K724" t="s">
        <v>24</v>
      </c>
      <c r="L724">
        <v>5</v>
      </c>
      <c r="M724">
        <v>28010</v>
      </c>
      <c r="N724">
        <v>0.15</v>
      </c>
      <c r="O724">
        <v>21930</v>
      </c>
    </row>
    <row r="725" spans="1:15" x14ac:dyDescent="0.25">
      <c r="A725" t="s">
        <v>872</v>
      </c>
      <c r="B725">
        <v>45667</v>
      </c>
      <c r="C725" t="s">
        <v>16</v>
      </c>
      <c r="D725" t="s">
        <v>191</v>
      </c>
      <c r="E725" t="s">
        <v>18</v>
      </c>
      <c r="F725" t="s">
        <v>92</v>
      </c>
      <c r="G725" t="s">
        <v>46</v>
      </c>
      <c r="H725" t="s">
        <v>179</v>
      </c>
      <c r="I725" t="s">
        <v>221</v>
      </c>
      <c r="J725" t="s">
        <v>23</v>
      </c>
      <c r="K725" t="s">
        <v>94</v>
      </c>
      <c r="L725">
        <v>48</v>
      </c>
      <c r="M725">
        <v>1570</v>
      </c>
      <c r="N725">
        <v>0.18</v>
      </c>
      <c r="O725">
        <v>1100</v>
      </c>
    </row>
    <row r="726" spans="1:15" x14ac:dyDescent="0.25">
      <c r="A726" t="s">
        <v>873</v>
      </c>
      <c r="B726">
        <v>45667</v>
      </c>
      <c r="C726" t="s">
        <v>56</v>
      </c>
      <c r="D726" t="s">
        <v>57</v>
      </c>
      <c r="E726" t="s">
        <v>58</v>
      </c>
      <c r="F726" t="s">
        <v>19</v>
      </c>
      <c r="G726" t="s">
        <v>20</v>
      </c>
      <c r="H726" t="s">
        <v>33</v>
      </c>
      <c r="I726" t="s">
        <v>34</v>
      </c>
      <c r="J726" t="s">
        <v>40</v>
      </c>
      <c r="K726" t="s">
        <v>94</v>
      </c>
      <c r="L726">
        <v>1</v>
      </c>
      <c r="M726">
        <v>55580</v>
      </c>
      <c r="N726">
        <v>0.08</v>
      </c>
      <c r="O726">
        <v>32210</v>
      </c>
    </row>
    <row r="727" spans="1:15" x14ac:dyDescent="0.25">
      <c r="A727" t="s">
        <v>874</v>
      </c>
      <c r="B727">
        <v>45668</v>
      </c>
      <c r="C727" t="s">
        <v>56</v>
      </c>
      <c r="D727" t="s">
        <v>133</v>
      </c>
      <c r="E727" t="s">
        <v>134</v>
      </c>
      <c r="F727" t="s">
        <v>92</v>
      </c>
      <c r="G727" t="s">
        <v>46</v>
      </c>
      <c r="H727" t="s">
        <v>47</v>
      </c>
      <c r="I727" t="s">
        <v>48</v>
      </c>
      <c r="J727" t="s">
        <v>49</v>
      </c>
      <c r="K727" t="s">
        <v>24</v>
      </c>
      <c r="L727">
        <v>54</v>
      </c>
      <c r="M727">
        <v>1820</v>
      </c>
      <c r="N727">
        <v>0.2</v>
      </c>
      <c r="O727">
        <v>1230</v>
      </c>
    </row>
    <row r="728" spans="1:15" x14ac:dyDescent="0.25">
      <c r="A728" t="s">
        <v>875</v>
      </c>
      <c r="B728">
        <v>45668</v>
      </c>
      <c r="C728" t="s">
        <v>76</v>
      </c>
      <c r="D728" t="s">
        <v>217</v>
      </c>
      <c r="E728" t="s">
        <v>78</v>
      </c>
      <c r="F728" t="s">
        <v>92</v>
      </c>
      <c r="G728" t="s">
        <v>83</v>
      </c>
      <c r="H728" t="s">
        <v>184</v>
      </c>
      <c r="I728" t="s">
        <v>196</v>
      </c>
      <c r="J728" t="s">
        <v>40</v>
      </c>
      <c r="K728" t="s">
        <v>24</v>
      </c>
      <c r="L728">
        <v>16</v>
      </c>
      <c r="M728">
        <v>3280</v>
      </c>
      <c r="N728">
        <v>0.15</v>
      </c>
      <c r="O728">
        <v>2340</v>
      </c>
    </row>
    <row r="729" spans="1:15" x14ac:dyDescent="0.25">
      <c r="A729" t="s">
        <v>876</v>
      </c>
      <c r="B729">
        <v>45669</v>
      </c>
      <c r="C729" t="s">
        <v>16</v>
      </c>
      <c r="D729" t="s">
        <v>31</v>
      </c>
      <c r="E729" t="s">
        <v>18</v>
      </c>
      <c r="F729" t="s">
        <v>52</v>
      </c>
      <c r="G729" t="s">
        <v>59</v>
      </c>
      <c r="H729" t="s">
        <v>73</v>
      </c>
      <c r="I729" t="s">
        <v>113</v>
      </c>
      <c r="J729" t="s">
        <v>40</v>
      </c>
      <c r="K729" t="s">
        <v>24</v>
      </c>
      <c r="L729">
        <v>4</v>
      </c>
      <c r="M729">
        <v>33810</v>
      </c>
      <c r="N729">
        <v>0.18</v>
      </c>
      <c r="O729">
        <v>19810</v>
      </c>
    </row>
    <row r="730" spans="1:15" x14ac:dyDescent="0.25">
      <c r="A730" t="s">
        <v>877</v>
      </c>
      <c r="B730">
        <v>45670</v>
      </c>
      <c r="C730" t="s">
        <v>42</v>
      </c>
      <c r="D730" t="s">
        <v>130</v>
      </c>
      <c r="E730" t="s">
        <v>44</v>
      </c>
      <c r="F730" t="s">
        <v>19</v>
      </c>
      <c r="G730" t="s">
        <v>20</v>
      </c>
      <c r="H730" t="s">
        <v>21</v>
      </c>
      <c r="I730" t="s">
        <v>65</v>
      </c>
      <c r="J730" t="s">
        <v>23</v>
      </c>
      <c r="K730" t="s">
        <v>24</v>
      </c>
      <c r="L730">
        <v>13</v>
      </c>
      <c r="M730">
        <v>8880</v>
      </c>
      <c r="N730">
        <v>0.2</v>
      </c>
      <c r="O730">
        <v>6660</v>
      </c>
    </row>
    <row r="731" spans="1:15" x14ac:dyDescent="0.25">
      <c r="A731" t="s">
        <v>878</v>
      </c>
      <c r="B731">
        <v>45670</v>
      </c>
      <c r="C731" t="s">
        <v>42</v>
      </c>
      <c r="D731" t="s">
        <v>123</v>
      </c>
      <c r="E731" t="s">
        <v>97</v>
      </c>
      <c r="F731" t="s">
        <v>19</v>
      </c>
      <c r="G731" t="s">
        <v>20</v>
      </c>
      <c r="H731" t="s">
        <v>21</v>
      </c>
      <c r="I731" t="s">
        <v>362</v>
      </c>
      <c r="J731" t="s">
        <v>23</v>
      </c>
      <c r="K731" t="s">
        <v>24</v>
      </c>
      <c r="L731">
        <v>10</v>
      </c>
      <c r="M731">
        <v>8870</v>
      </c>
      <c r="N731">
        <v>0.1</v>
      </c>
      <c r="O731">
        <v>6760</v>
      </c>
    </row>
    <row r="732" spans="1:15" x14ac:dyDescent="0.25">
      <c r="A732" t="s">
        <v>879</v>
      </c>
      <c r="B732">
        <v>45672</v>
      </c>
      <c r="C732" t="s">
        <v>76</v>
      </c>
      <c r="D732" t="s">
        <v>77</v>
      </c>
      <c r="E732" t="s">
        <v>170</v>
      </c>
      <c r="F732" t="s">
        <v>45</v>
      </c>
      <c r="G732" t="s">
        <v>20</v>
      </c>
      <c r="H732" t="s">
        <v>87</v>
      </c>
      <c r="I732" t="s">
        <v>105</v>
      </c>
      <c r="J732" t="s">
        <v>49</v>
      </c>
      <c r="K732" t="s">
        <v>119</v>
      </c>
      <c r="L732">
        <v>5</v>
      </c>
      <c r="M732">
        <v>50760</v>
      </c>
      <c r="N732">
        <v>0.1</v>
      </c>
      <c r="O732">
        <v>30970</v>
      </c>
    </row>
    <row r="733" spans="1:15" x14ac:dyDescent="0.25">
      <c r="A733" t="s">
        <v>880</v>
      </c>
      <c r="B733">
        <v>45672</v>
      </c>
      <c r="C733" t="s">
        <v>42</v>
      </c>
      <c r="D733" t="s">
        <v>123</v>
      </c>
      <c r="E733" t="s">
        <v>64</v>
      </c>
      <c r="F733" t="s">
        <v>19</v>
      </c>
      <c r="G733" t="s">
        <v>27</v>
      </c>
      <c r="H733" t="s">
        <v>53</v>
      </c>
      <c r="I733" t="s">
        <v>131</v>
      </c>
      <c r="J733" t="s">
        <v>49</v>
      </c>
      <c r="K733" t="s">
        <v>24</v>
      </c>
      <c r="L733">
        <v>3</v>
      </c>
      <c r="M733">
        <v>34980</v>
      </c>
      <c r="N733">
        <v>0.08</v>
      </c>
      <c r="O733">
        <v>22940</v>
      </c>
    </row>
    <row r="734" spans="1:15" x14ac:dyDescent="0.25">
      <c r="A734" t="s">
        <v>881</v>
      </c>
      <c r="B734">
        <v>45672</v>
      </c>
      <c r="C734" t="s">
        <v>76</v>
      </c>
      <c r="D734" t="s">
        <v>112</v>
      </c>
      <c r="E734" t="s">
        <v>170</v>
      </c>
      <c r="F734" t="s">
        <v>19</v>
      </c>
      <c r="G734" t="s">
        <v>20</v>
      </c>
      <c r="H734" t="s">
        <v>109</v>
      </c>
      <c r="I734" t="s">
        <v>171</v>
      </c>
      <c r="J734" t="s">
        <v>40</v>
      </c>
      <c r="K734" t="s">
        <v>24</v>
      </c>
      <c r="L734">
        <v>8</v>
      </c>
      <c r="M734">
        <v>23440</v>
      </c>
      <c r="N734">
        <v>0.12</v>
      </c>
      <c r="O734">
        <v>14540</v>
      </c>
    </row>
    <row r="735" spans="1:15" x14ac:dyDescent="0.25">
      <c r="A735" t="s">
        <v>882</v>
      </c>
      <c r="B735">
        <v>45673</v>
      </c>
      <c r="C735" t="s">
        <v>56</v>
      </c>
      <c r="D735" t="s">
        <v>127</v>
      </c>
      <c r="E735" t="s">
        <v>134</v>
      </c>
      <c r="F735" t="s">
        <v>45</v>
      </c>
      <c r="G735" t="s">
        <v>20</v>
      </c>
      <c r="H735" t="s">
        <v>109</v>
      </c>
      <c r="I735" t="s">
        <v>110</v>
      </c>
      <c r="J735" t="s">
        <v>40</v>
      </c>
      <c r="K735" t="s">
        <v>24</v>
      </c>
      <c r="L735">
        <v>6</v>
      </c>
      <c r="M735">
        <v>65920</v>
      </c>
      <c r="N735">
        <v>0.05</v>
      </c>
      <c r="O735">
        <v>50150</v>
      </c>
    </row>
    <row r="736" spans="1:15" x14ac:dyDescent="0.25">
      <c r="A736" t="s">
        <v>883</v>
      </c>
      <c r="B736">
        <v>45673</v>
      </c>
      <c r="C736" t="s">
        <v>76</v>
      </c>
      <c r="D736" t="s">
        <v>150</v>
      </c>
      <c r="E736" t="s">
        <v>170</v>
      </c>
      <c r="F736" t="s">
        <v>19</v>
      </c>
      <c r="G736" t="s">
        <v>59</v>
      </c>
      <c r="H736" t="s">
        <v>154</v>
      </c>
      <c r="I736" t="s">
        <v>155</v>
      </c>
      <c r="J736" t="s">
        <v>23</v>
      </c>
      <c r="K736" t="s">
        <v>119</v>
      </c>
      <c r="L736">
        <v>4</v>
      </c>
      <c r="M736">
        <v>12740</v>
      </c>
      <c r="N736">
        <v>0.05</v>
      </c>
      <c r="O736">
        <v>9750</v>
      </c>
    </row>
    <row r="737" spans="1:15" x14ac:dyDescent="0.25">
      <c r="A737" t="s">
        <v>884</v>
      </c>
      <c r="B737">
        <v>45674</v>
      </c>
      <c r="C737" t="s">
        <v>16</v>
      </c>
      <c r="D737" t="s">
        <v>31</v>
      </c>
      <c r="E737" t="s">
        <v>18</v>
      </c>
      <c r="F737" t="s">
        <v>19</v>
      </c>
      <c r="G737" t="s">
        <v>46</v>
      </c>
      <c r="H737" t="s">
        <v>179</v>
      </c>
      <c r="I737" t="s">
        <v>180</v>
      </c>
      <c r="J737" t="s">
        <v>40</v>
      </c>
      <c r="K737" t="s">
        <v>24</v>
      </c>
      <c r="L737">
        <v>13</v>
      </c>
      <c r="M737">
        <v>4070</v>
      </c>
      <c r="N737">
        <v>0</v>
      </c>
      <c r="O737">
        <v>2790</v>
      </c>
    </row>
    <row r="738" spans="1:15" x14ac:dyDescent="0.25">
      <c r="A738" t="s">
        <v>885</v>
      </c>
      <c r="B738">
        <v>45674</v>
      </c>
      <c r="C738" t="s">
        <v>76</v>
      </c>
      <c r="D738" t="s">
        <v>217</v>
      </c>
      <c r="E738" t="s">
        <v>78</v>
      </c>
      <c r="F738" t="s">
        <v>19</v>
      </c>
      <c r="G738" t="s">
        <v>20</v>
      </c>
      <c r="H738" t="s">
        <v>87</v>
      </c>
      <c r="I738" t="s">
        <v>105</v>
      </c>
      <c r="J738" t="s">
        <v>40</v>
      </c>
      <c r="K738" t="s">
        <v>24</v>
      </c>
      <c r="L738">
        <v>2</v>
      </c>
      <c r="M738">
        <v>51430</v>
      </c>
      <c r="N738">
        <v>0.15</v>
      </c>
      <c r="O738">
        <v>37810</v>
      </c>
    </row>
    <row r="739" spans="1:15" x14ac:dyDescent="0.25">
      <c r="A739" t="s">
        <v>886</v>
      </c>
      <c r="B739">
        <v>45675</v>
      </c>
      <c r="C739" t="s">
        <v>16</v>
      </c>
      <c r="D739" t="s">
        <v>17</v>
      </c>
      <c r="E739" t="s">
        <v>18</v>
      </c>
      <c r="F739" t="s">
        <v>92</v>
      </c>
      <c r="G739" t="s">
        <v>59</v>
      </c>
      <c r="H739" t="s">
        <v>154</v>
      </c>
      <c r="I739" t="s">
        <v>249</v>
      </c>
      <c r="J739" t="s">
        <v>23</v>
      </c>
      <c r="K739" t="s">
        <v>35</v>
      </c>
      <c r="L739">
        <v>7</v>
      </c>
      <c r="M739">
        <v>6520</v>
      </c>
      <c r="N739">
        <v>0.25</v>
      </c>
      <c r="O739">
        <v>4810</v>
      </c>
    </row>
    <row r="740" spans="1:15" x14ac:dyDescent="0.25">
      <c r="A740" t="s">
        <v>887</v>
      </c>
      <c r="B740">
        <v>45675</v>
      </c>
      <c r="C740" t="s">
        <v>76</v>
      </c>
      <c r="D740" t="s">
        <v>77</v>
      </c>
      <c r="E740" t="s">
        <v>170</v>
      </c>
      <c r="F740" t="s">
        <v>52</v>
      </c>
      <c r="G740" t="s">
        <v>59</v>
      </c>
      <c r="H740" t="s">
        <v>73</v>
      </c>
      <c r="I740" t="s">
        <v>113</v>
      </c>
      <c r="J740" t="s">
        <v>23</v>
      </c>
      <c r="K740" t="s">
        <v>24</v>
      </c>
      <c r="L740">
        <v>1</v>
      </c>
      <c r="M740">
        <v>30970</v>
      </c>
      <c r="N740">
        <v>0.15</v>
      </c>
      <c r="O740">
        <v>21340</v>
      </c>
    </row>
    <row r="741" spans="1:15" x14ac:dyDescent="0.25">
      <c r="A741" t="s">
        <v>888</v>
      </c>
      <c r="B741">
        <v>45675</v>
      </c>
      <c r="C741" t="s">
        <v>37</v>
      </c>
      <c r="D741" t="s">
        <v>115</v>
      </c>
      <c r="E741" t="s">
        <v>39</v>
      </c>
      <c r="F741" t="s">
        <v>92</v>
      </c>
      <c r="G741" t="s">
        <v>20</v>
      </c>
      <c r="H741" t="s">
        <v>33</v>
      </c>
      <c r="I741" t="s">
        <v>34</v>
      </c>
      <c r="J741" t="s">
        <v>40</v>
      </c>
      <c r="K741" t="s">
        <v>119</v>
      </c>
      <c r="L741">
        <v>4</v>
      </c>
      <c r="M741">
        <v>57920</v>
      </c>
      <c r="N741">
        <v>0.1</v>
      </c>
      <c r="O741">
        <v>43520</v>
      </c>
    </row>
    <row r="742" spans="1:15" x14ac:dyDescent="0.25">
      <c r="A742" t="s">
        <v>889</v>
      </c>
      <c r="B742">
        <v>45677</v>
      </c>
      <c r="C742" t="s">
        <v>37</v>
      </c>
      <c r="D742" t="s">
        <v>213</v>
      </c>
      <c r="E742" t="s">
        <v>68</v>
      </c>
      <c r="F742" t="s">
        <v>19</v>
      </c>
      <c r="G742" t="s">
        <v>20</v>
      </c>
      <c r="H742" t="s">
        <v>33</v>
      </c>
      <c r="I742" t="s">
        <v>182</v>
      </c>
      <c r="J742" t="s">
        <v>49</v>
      </c>
      <c r="K742" t="s">
        <v>24</v>
      </c>
      <c r="L742">
        <v>3</v>
      </c>
      <c r="M742">
        <v>101960</v>
      </c>
      <c r="N742">
        <v>0.2</v>
      </c>
      <c r="O742">
        <v>68490</v>
      </c>
    </row>
    <row r="743" spans="1:15" x14ac:dyDescent="0.25">
      <c r="A743" t="s">
        <v>890</v>
      </c>
      <c r="B743">
        <v>45677</v>
      </c>
      <c r="C743" t="s">
        <v>56</v>
      </c>
      <c r="D743" t="s">
        <v>103</v>
      </c>
      <c r="E743" t="s">
        <v>91</v>
      </c>
      <c r="F743" t="s">
        <v>92</v>
      </c>
      <c r="G743" t="s">
        <v>46</v>
      </c>
      <c r="H743" t="s">
        <v>179</v>
      </c>
      <c r="I743" t="s">
        <v>236</v>
      </c>
      <c r="J743" t="s">
        <v>23</v>
      </c>
      <c r="K743" t="s">
        <v>94</v>
      </c>
      <c r="L743">
        <v>12</v>
      </c>
      <c r="M743">
        <v>2120</v>
      </c>
      <c r="N743">
        <v>0.1</v>
      </c>
      <c r="O743">
        <v>1670</v>
      </c>
    </row>
    <row r="744" spans="1:15" x14ac:dyDescent="0.25">
      <c r="A744" t="s">
        <v>891</v>
      </c>
      <c r="B744">
        <v>45678</v>
      </c>
      <c r="C744" t="s">
        <v>37</v>
      </c>
      <c r="D744" t="s">
        <v>115</v>
      </c>
      <c r="E744" t="s">
        <v>39</v>
      </c>
      <c r="F744" t="s">
        <v>52</v>
      </c>
      <c r="G744" t="s">
        <v>20</v>
      </c>
      <c r="H744" t="s">
        <v>21</v>
      </c>
      <c r="I744" t="s">
        <v>362</v>
      </c>
      <c r="J744" t="s">
        <v>40</v>
      </c>
      <c r="K744" t="s">
        <v>35</v>
      </c>
      <c r="L744">
        <v>11</v>
      </c>
      <c r="M744">
        <v>9880</v>
      </c>
      <c r="N744">
        <v>0.08</v>
      </c>
      <c r="O744">
        <v>5850</v>
      </c>
    </row>
    <row r="745" spans="1:15" x14ac:dyDescent="0.25">
      <c r="A745" t="s">
        <v>892</v>
      </c>
      <c r="B745">
        <v>45680</v>
      </c>
      <c r="C745" t="s">
        <v>76</v>
      </c>
      <c r="D745" t="s">
        <v>77</v>
      </c>
      <c r="E745" t="s">
        <v>170</v>
      </c>
      <c r="F745" t="s">
        <v>52</v>
      </c>
      <c r="G745" t="s">
        <v>20</v>
      </c>
      <c r="H745" t="s">
        <v>33</v>
      </c>
      <c r="I745" t="s">
        <v>34</v>
      </c>
      <c r="J745" t="s">
        <v>23</v>
      </c>
      <c r="K745" t="s">
        <v>35</v>
      </c>
      <c r="L745">
        <v>2</v>
      </c>
      <c r="M745">
        <v>56100</v>
      </c>
      <c r="N745">
        <v>0.05</v>
      </c>
      <c r="O745">
        <v>43790</v>
      </c>
    </row>
    <row r="746" spans="1:15" x14ac:dyDescent="0.25">
      <c r="A746" t="s">
        <v>893</v>
      </c>
      <c r="B746">
        <v>45680</v>
      </c>
      <c r="C746" t="s">
        <v>16</v>
      </c>
      <c r="D746" t="s">
        <v>51</v>
      </c>
      <c r="E746" t="s">
        <v>32</v>
      </c>
      <c r="F746" t="s">
        <v>19</v>
      </c>
      <c r="G746" t="s">
        <v>27</v>
      </c>
      <c r="H746" t="s">
        <v>214</v>
      </c>
      <c r="I746" t="s">
        <v>215</v>
      </c>
      <c r="J746" t="s">
        <v>23</v>
      </c>
      <c r="K746" t="s">
        <v>24</v>
      </c>
      <c r="L746">
        <v>2</v>
      </c>
      <c r="M746">
        <v>32970</v>
      </c>
      <c r="N746">
        <v>0.12</v>
      </c>
      <c r="O746">
        <v>24620</v>
      </c>
    </row>
    <row r="747" spans="1:15" x14ac:dyDescent="0.25">
      <c r="A747" t="s">
        <v>894</v>
      </c>
      <c r="B747">
        <v>45681</v>
      </c>
      <c r="C747" t="s">
        <v>56</v>
      </c>
      <c r="D747" t="s">
        <v>143</v>
      </c>
      <c r="E747" t="s">
        <v>58</v>
      </c>
      <c r="F747" t="s">
        <v>45</v>
      </c>
      <c r="G747" t="s">
        <v>20</v>
      </c>
      <c r="H747" t="s">
        <v>109</v>
      </c>
      <c r="I747" t="s">
        <v>110</v>
      </c>
      <c r="J747" t="s">
        <v>49</v>
      </c>
      <c r="K747" t="s">
        <v>24</v>
      </c>
      <c r="L747">
        <v>6</v>
      </c>
      <c r="M747">
        <v>66690</v>
      </c>
      <c r="N747">
        <v>0</v>
      </c>
      <c r="O747">
        <v>45240</v>
      </c>
    </row>
    <row r="748" spans="1:15" x14ac:dyDescent="0.25">
      <c r="A748" t="s">
        <v>895</v>
      </c>
      <c r="B748">
        <v>45681</v>
      </c>
      <c r="C748" t="s">
        <v>37</v>
      </c>
      <c r="D748" t="s">
        <v>115</v>
      </c>
      <c r="E748" t="s">
        <v>39</v>
      </c>
      <c r="F748" t="s">
        <v>19</v>
      </c>
      <c r="G748" t="s">
        <v>46</v>
      </c>
      <c r="H748" t="s">
        <v>179</v>
      </c>
      <c r="I748" t="s">
        <v>236</v>
      </c>
      <c r="J748" t="s">
        <v>49</v>
      </c>
      <c r="K748" t="s">
        <v>24</v>
      </c>
      <c r="L748">
        <v>18</v>
      </c>
      <c r="M748">
        <v>2360</v>
      </c>
      <c r="N748">
        <v>0.1</v>
      </c>
      <c r="O748">
        <v>1720</v>
      </c>
    </row>
    <row r="749" spans="1:15" x14ac:dyDescent="0.25">
      <c r="A749" t="s">
        <v>896</v>
      </c>
      <c r="B749">
        <v>45683</v>
      </c>
      <c r="C749" t="s">
        <v>37</v>
      </c>
      <c r="D749" t="s">
        <v>166</v>
      </c>
      <c r="E749" t="s">
        <v>39</v>
      </c>
      <c r="F749" t="s">
        <v>45</v>
      </c>
      <c r="G749" t="s">
        <v>27</v>
      </c>
      <c r="H749" t="s">
        <v>53</v>
      </c>
      <c r="I749" t="s">
        <v>54</v>
      </c>
      <c r="J749" t="s">
        <v>40</v>
      </c>
      <c r="K749" t="s">
        <v>24</v>
      </c>
      <c r="L749">
        <v>2</v>
      </c>
      <c r="M749">
        <v>43410</v>
      </c>
      <c r="N749">
        <v>0</v>
      </c>
      <c r="O749">
        <v>31460</v>
      </c>
    </row>
    <row r="750" spans="1:15" x14ac:dyDescent="0.25">
      <c r="A750" t="s">
        <v>897</v>
      </c>
      <c r="B750">
        <v>45683</v>
      </c>
      <c r="C750" t="s">
        <v>42</v>
      </c>
      <c r="D750" t="s">
        <v>146</v>
      </c>
      <c r="E750" t="s">
        <v>64</v>
      </c>
      <c r="F750" t="s">
        <v>92</v>
      </c>
      <c r="G750" t="s">
        <v>27</v>
      </c>
      <c r="H750" t="s">
        <v>214</v>
      </c>
      <c r="I750" t="s">
        <v>252</v>
      </c>
      <c r="J750" t="s">
        <v>40</v>
      </c>
      <c r="K750" t="s">
        <v>24</v>
      </c>
      <c r="L750">
        <v>12</v>
      </c>
      <c r="M750">
        <v>13450</v>
      </c>
      <c r="N750">
        <v>0.08</v>
      </c>
      <c r="O750">
        <v>9680</v>
      </c>
    </row>
    <row r="751" spans="1:15" x14ac:dyDescent="0.25">
      <c r="A751" t="s">
        <v>898</v>
      </c>
      <c r="B751">
        <v>45683</v>
      </c>
      <c r="C751" t="s">
        <v>42</v>
      </c>
      <c r="D751" t="s">
        <v>265</v>
      </c>
      <c r="E751" t="s">
        <v>64</v>
      </c>
      <c r="F751" t="s">
        <v>92</v>
      </c>
      <c r="G751" t="s">
        <v>83</v>
      </c>
      <c r="H751" t="s">
        <v>136</v>
      </c>
      <c r="I751" t="s">
        <v>137</v>
      </c>
      <c r="J751" t="s">
        <v>49</v>
      </c>
      <c r="K751" t="s">
        <v>24</v>
      </c>
      <c r="L751">
        <v>13</v>
      </c>
      <c r="M751">
        <v>1560</v>
      </c>
      <c r="N751">
        <v>0.08</v>
      </c>
      <c r="O751">
        <v>1030</v>
      </c>
    </row>
    <row r="752" spans="1:15" x14ac:dyDescent="0.25">
      <c r="A752" t="s">
        <v>899</v>
      </c>
      <c r="B752">
        <v>45683</v>
      </c>
      <c r="C752" t="s">
        <v>76</v>
      </c>
      <c r="D752" t="s">
        <v>77</v>
      </c>
      <c r="E752" t="s">
        <v>170</v>
      </c>
      <c r="F752" t="s">
        <v>52</v>
      </c>
      <c r="G752" t="s">
        <v>59</v>
      </c>
      <c r="H752" t="s">
        <v>154</v>
      </c>
      <c r="I752" t="s">
        <v>249</v>
      </c>
      <c r="J752" t="s">
        <v>40</v>
      </c>
      <c r="K752" t="s">
        <v>24</v>
      </c>
      <c r="L752">
        <v>7</v>
      </c>
      <c r="M752">
        <v>6310</v>
      </c>
      <c r="N752">
        <v>0</v>
      </c>
      <c r="O752">
        <v>4340</v>
      </c>
    </row>
    <row r="753" spans="1:15" x14ac:dyDescent="0.25">
      <c r="A753" t="s">
        <v>900</v>
      </c>
      <c r="B753">
        <v>45684</v>
      </c>
      <c r="C753" t="s">
        <v>56</v>
      </c>
      <c r="D753" t="s">
        <v>57</v>
      </c>
      <c r="E753" t="s">
        <v>91</v>
      </c>
      <c r="F753" t="s">
        <v>19</v>
      </c>
      <c r="G753" t="s">
        <v>27</v>
      </c>
      <c r="H753" t="s">
        <v>79</v>
      </c>
      <c r="I753" t="s">
        <v>168</v>
      </c>
      <c r="J753" t="s">
        <v>40</v>
      </c>
      <c r="K753" t="s">
        <v>24</v>
      </c>
      <c r="L753">
        <v>12</v>
      </c>
      <c r="M753">
        <v>9190</v>
      </c>
      <c r="N753">
        <v>0.08</v>
      </c>
      <c r="O753">
        <v>5570</v>
      </c>
    </row>
    <row r="754" spans="1:15" x14ac:dyDescent="0.25">
      <c r="A754" t="s">
        <v>901</v>
      </c>
      <c r="B754">
        <v>45685</v>
      </c>
      <c r="C754" t="s">
        <v>16</v>
      </c>
      <c r="D754" t="s">
        <v>153</v>
      </c>
      <c r="E754" t="s">
        <v>32</v>
      </c>
      <c r="F754" t="s">
        <v>19</v>
      </c>
      <c r="G754" t="s">
        <v>20</v>
      </c>
      <c r="H754" t="s">
        <v>87</v>
      </c>
      <c r="I754" t="s">
        <v>105</v>
      </c>
      <c r="J754" t="s">
        <v>23</v>
      </c>
      <c r="K754" t="s">
        <v>119</v>
      </c>
      <c r="L754">
        <v>3</v>
      </c>
      <c r="M754">
        <v>51800</v>
      </c>
      <c r="N754">
        <v>0.2</v>
      </c>
      <c r="O754">
        <v>32360</v>
      </c>
    </row>
    <row r="755" spans="1:15" x14ac:dyDescent="0.25">
      <c r="A755" t="s">
        <v>902</v>
      </c>
      <c r="B755">
        <v>45685</v>
      </c>
      <c r="C755" t="s">
        <v>56</v>
      </c>
      <c r="D755" t="s">
        <v>57</v>
      </c>
      <c r="E755" t="s">
        <v>91</v>
      </c>
      <c r="F755" t="s">
        <v>19</v>
      </c>
      <c r="G755" t="s">
        <v>83</v>
      </c>
      <c r="H755" t="s">
        <v>136</v>
      </c>
      <c r="I755" t="s">
        <v>307</v>
      </c>
      <c r="J755" t="s">
        <v>40</v>
      </c>
      <c r="K755" t="s">
        <v>119</v>
      </c>
      <c r="L755">
        <v>10</v>
      </c>
      <c r="M755">
        <v>950</v>
      </c>
      <c r="N755">
        <v>0.08</v>
      </c>
      <c r="O755">
        <v>730</v>
      </c>
    </row>
    <row r="756" spans="1:15" x14ac:dyDescent="0.25">
      <c r="A756" t="s">
        <v>903</v>
      </c>
      <c r="B756">
        <v>45686</v>
      </c>
      <c r="C756" t="s">
        <v>42</v>
      </c>
      <c r="D756" t="s">
        <v>96</v>
      </c>
      <c r="E756" t="s">
        <v>97</v>
      </c>
      <c r="F756" t="s">
        <v>92</v>
      </c>
      <c r="G756" t="s">
        <v>83</v>
      </c>
      <c r="H756" t="s">
        <v>184</v>
      </c>
      <c r="I756" t="s">
        <v>185</v>
      </c>
      <c r="J756" t="s">
        <v>40</v>
      </c>
      <c r="K756" t="s">
        <v>119</v>
      </c>
      <c r="L756">
        <v>13</v>
      </c>
      <c r="M756">
        <v>4770</v>
      </c>
      <c r="N756">
        <v>0.15</v>
      </c>
      <c r="O756">
        <v>2710</v>
      </c>
    </row>
    <row r="757" spans="1:15" x14ac:dyDescent="0.25">
      <c r="A757" t="s">
        <v>904</v>
      </c>
      <c r="B757">
        <v>45686</v>
      </c>
      <c r="C757" t="s">
        <v>37</v>
      </c>
      <c r="D757" t="s">
        <v>67</v>
      </c>
      <c r="E757" t="s">
        <v>68</v>
      </c>
      <c r="F757" t="s">
        <v>92</v>
      </c>
      <c r="G757" t="s">
        <v>46</v>
      </c>
      <c r="H757" t="s">
        <v>47</v>
      </c>
      <c r="I757" t="s">
        <v>48</v>
      </c>
      <c r="J757" t="s">
        <v>40</v>
      </c>
      <c r="K757" t="s">
        <v>119</v>
      </c>
      <c r="L757">
        <v>5</v>
      </c>
      <c r="M757">
        <v>1760</v>
      </c>
      <c r="N757">
        <v>0.1</v>
      </c>
      <c r="O757">
        <v>1190</v>
      </c>
    </row>
    <row r="758" spans="1:15" x14ac:dyDescent="0.25">
      <c r="A758" t="s">
        <v>905</v>
      </c>
      <c r="B758">
        <v>45687</v>
      </c>
      <c r="C758" t="s">
        <v>56</v>
      </c>
      <c r="D758" t="s">
        <v>72</v>
      </c>
      <c r="E758" t="s">
        <v>906</v>
      </c>
      <c r="F758" t="s">
        <v>19</v>
      </c>
      <c r="G758" t="s">
        <v>46</v>
      </c>
      <c r="H758" t="s">
        <v>47</v>
      </c>
      <c r="I758" t="s">
        <v>93</v>
      </c>
      <c r="J758" t="s">
        <v>40</v>
      </c>
      <c r="K758" t="s">
        <v>94</v>
      </c>
      <c r="L758">
        <v>9</v>
      </c>
      <c r="M758">
        <v>1290</v>
      </c>
      <c r="N758">
        <v>0.12</v>
      </c>
      <c r="O758">
        <v>1000</v>
      </c>
    </row>
    <row r="759" spans="1:15" x14ac:dyDescent="0.25">
      <c r="A759" t="s">
        <v>907</v>
      </c>
      <c r="B759">
        <v>45688</v>
      </c>
      <c r="C759" t="s">
        <v>37</v>
      </c>
      <c r="D759" t="s">
        <v>115</v>
      </c>
      <c r="E759" t="s">
        <v>908</v>
      </c>
      <c r="F759" t="s">
        <v>19</v>
      </c>
      <c r="G759" t="s">
        <v>46</v>
      </c>
      <c r="H759" t="s">
        <v>47</v>
      </c>
      <c r="I759" t="s">
        <v>48</v>
      </c>
      <c r="J759" t="s">
        <v>40</v>
      </c>
      <c r="K759" t="s">
        <v>24</v>
      </c>
      <c r="L759">
        <v>21</v>
      </c>
      <c r="M759">
        <v>1860</v>
      </c>
      <c r="N759">
        <v>0.12</v>
      </c>
      <c r="O759">
        <v>1230</v>
      </c>
    </row>
    <row r="760" spans="1:15" x14ac:dyDescent="0.25">
      <c r="A760" t="s">
        <v>909</v>
      </c>
      <c r="B760">
        <v>45689</v>
      </c>
      <c r="C760" t="s">
        <v>42</v>
      </c>
      <c r="D760" t="s">
        <v>96</v>
      </c>
      <c r="E760" t="s">
        <v>44</v>
      </c>
      <c r="F760" t="s">
        <v>19</v>
      </c>
      <c r="G760" t="s">
        <v>20</v>
      </c>
      <c r="H760" t="s">
        <v>87</v>
      </c>
      <c r="I760" t="s">
        <v>105</v>
      </c>
      <c r="J760" t="s">
        <v>23</v>
      </c>
      <c r="K760" t="s">
        <v>24</v>
      </c>
      <c r="L760">
        <v>4</v>
      </c>
      <c r="M760">
        <v>51920</v>
      </c>
      <c r="N760">
        <v>0.05</v>
      </c>
      <c r="O760">
        <v>39630</v>
      </c>
    </row>
    <row r="761" spans="1:15" x14ac:dyDescent="0.25">
      <c r="A761" t="s">
        <v>910</v>
      </c>
      <c r="B761">
        <v>45689</v>
      </c>
      <c r="C761" t="s">
        <v>56</v>
      </c>
      <c r="D761" t="s">
        <v>72</v>
      </c>
      <c r="E761" t="s">
        <v>91</v>
      </c>
      <c r="F761" t="s">
        <v>45</v>
      </c>
      <c r="G761" t="s">
        <v>20</v>
      </c>
      <c r="H761" t="s">
        <v>21</v>
      </c>
      <c r="I761" t="s">
        <v>22</v>
      </c>
      <c r="J761" t="s">
        <v>23</v>
      </c>
      <c r="K761" t="s">
        <v>24</v>
      </c>
      <c r="L761">
        <v>47</v>
      </c>
      <c r="M761">
        <v>1740</v>
      </c>
      <c r="N761">
        <v>0.08</v>
      </c>
      <c r="O761">
        <v>1000</v>
      </c>
    </row>
    <row r="762" spans="1:15" x14ac:dyDescent="0.25">
      <c r="A762" t="s">
        <v>911</v>
      </c>
      <c r="B762">
        <v>45690</v>
      </c>
      <c r="C762" t="s">
        <v>16</v>
      </c>
      <c r="D762" t="s">
        <v>17</v>
      </c>
      <c r="E762" t="s">
        <v>26</v>
      </c>
      <c r="F762" t="s">
        <v>92</v>
      </c>
      <c r="G762" t="s">
        <v>27</v>
      </c>
      <c r="H762" t="s">
        <v>214</v>
      </c>
      <c r="I762" t="s">
        <v>215</v>
      </c>
      <c r="J762" t="s">
        <v>23</v>
      </c>
      <c r="K762" t="s">
        <v>24</v>
      </c>
      <c r="L762">
        <v>2</v>
      </c>
      <c r="M762">
        <v>36300</v>
      </c>
      <c r="N762">
        <v>0.05</v>
      </c>
      <c r="O762">
        <v>20790</v>
      </c>
    </row>
    <row r="763" spans="1:15" x14ac:dyDescent="0.25">
      <c r="A763" t="s">
        <v>912</v>
      </c>
      <c r="B763">
        <v>45690</v>
      </c>
      <c r="C763" t="s">
        <v>56</v>
      </c>
      <c r="D763" t="s">
        <v>127</v>
      </c>
      <c r="E763" t="s">
        <v>134</v>
      </c>
      <c r="F763" t="s">
        <v>19</v>
      </c>
      <c r="G763" t="s">
        <v>20</v>
      </c>
      <c r="H763" t="s">
        <v>33</v>
      </c>
      <c r="I763" t="s">
        <v>34</v>
      </c>
      <c r="J763" t="s">
        <v>23</v>
      </c>
      <c r="K763" t="s">
        <v>24</v>
      </c>
      <c r="L763">
        <v>1</v>
      </c>
      <c r="M763">
        <v>57260</v>
      </c>
      <c r="N763">
        <v>0.18</v>
      </c>
      <c r="O763">
        <v>43250</v>
      </c>
    </row>
    <row r="764" spans="1:15" x14ac:dyDescent="0.25">
      <c r="A764" t="s">
        <v>913</v>
      </c>
      <c r="B764">
        <v>45691</v>
      </c>
      <c r="C764" t="s">
        <v>76</v>
      </c>
      <c r="D764" t="s">
        <v>99</v>
      </c>
      <c r="E764" t="s">
        <v>78</v>
      </c>
      <c r="F764" t="s">
        <v>19</v>
      </c>
      <c r="G764" t="s">
        <v>46</v>
      </c>
      <c r="H764" t="s">
        <v>47</v>
      </c>
      <c r="I764" t="s">
        <v>93</v>
      </c>
      <c r="J764" t="s">
        <v>40</v>
      </c>
      <c r="K764" t="s">
        <v>24</v>
      </c>
      <c r="L764">
        <v>10</v>
      </c>
      <c r="M764">
        <v>1270</v>
      </c>
      <c r="N764">
        <v>0</v>
      </c>
      <c r="O764">
        <v>850</v>
      </c>
    </row>
    <row r="765" spans="1:15" x14ac:dyDescent="0.25">
      <c r="A765" t="s">
        <v>914</v>
      </c>
      <c r="B765">
        <v>45691</v>
      </c>
      <c r="C765" t="s">
        <v>76</v>
      </c>
      <c r="D765" t="s">
        <v>217</v>
      </c>
      <c r="E765" t="s">
        <v>170</v>
      </c>
      <c r="F765" t="s">
        <v>19</v>
      </c>
      <c r="G765" t="s">
        <v>59</v>
      </c>
      <c r="H765" t="s">
        <v>60</v>
      </c>
      <c r="I765" t="s">
        <v>200</v>
      </c>
      <c r="J765" t="s">
        <v>23</v>
      </c>
      <c r="K765" t="s">
        <v>24</v>
      </c>
      <c r="L765">
        <v>15</v>
      </c>
      <c r="M765">
        <v>8580</v>
      </c>
      <c r="N765">
        <v>0.08</v>
      </c>
      <c r="O765">
        <v>6200</v>
      </c>
    </row>
    <row r="766" spans="1:15" x14ac:dyDescent="0.25">
      <c r="A766" t="s">
        <v>915</v>
      </c>
      <c r="B766">
        <v>45691</v>
      </c>
      <c r="C766" t="s">
        <v>76</v>
      </c>
      <c r="D766" t="s">
        <v>217</v>
      </c>
      <c r="E766" t="s">
        <v>170</v>
      </c>
      <c r="F766" t="s">
        <v>19</v>
      </c>
      <c r="G766" t="s">
        <v>59</v>
      </c>
      <c r="H766" t="s">
        <v>154</v>
      </c>
      <c r="I766" t="s">
        <v>249</v>
      </c>
      <c r="J766" t="s">
        <v>49</v>
      </c>
      <c r="K766" t="s">
        <v>24</v>
      </c>
      <c r="L766">
        <v>9</v>
      </c>
      <c r="M766">
        <v>6980</v>
      </c>
      <c r="N766">
        <v>0.2</v>
      </c>
      <c r="O766">
        <v>3910</v>
      </c>
    </row>
    <row r="767" spans="1:15" x14ac:dyDescent="0.25">
      <c r="A767" t="s">
        <v>916</v>
      </c>
      <c r="B767">
        <v>45692</v>
      </c>
      <c r="C767" t="s">
        <v>42</v>
      </c>
      <c r="D767" t="s">
        <v>123</v>
      </c>
      <c r="E767" t="s">
        <v>64</v>
      </c>
      <c r="F767" t="s">
        <v>19</v>
      </c>
      <c r="G767" t="s">
        <v>83</v>
      </c>
      <c r="H767" t="s">
        <v>84</v>
      </c>
      <c r="I767" t="s">
        <v>292</v>
      </c>
      <c r="J767" t="s">
        <v>49</v>
      </c>
      <c r="K767" t="s">
        <v>35</v>
      </c>
      <c r="L767">
        <v>3</v>
      </c>
      <c r="M767">
        <v>45270</v>
      </c>
      <c r="N767">
        <v>0.05</v>
      </c>
      <c r="O767">
        <v>33790</v>
      </c>
    </row>
    <row r="768" spans="1:15" x14ac:dyDescent="0.25">
      <c r="A768" t="s">
        <v>917</v>
      </c>
      <c r="B768">
        <v>45693</v>
      </c>
      <c r="C768" t="s">
        <v>16</v>
      </c>
      <c r="D768" t="s">
        <v>31</v>
      </c>
      <c r="E768" t="s">
        <v>18</v>
      </c>
      <c r="F768" t="s">
        <v>19</v>
      </c>
      <c r="G768" t="s">
        <v>20</v>
      </c>
      <c r="H768" t="s">
        <v>87</v>
      </c>
      <c r="I768" t="s">
        <v>88</v>
      </c>
      <c r="J768" t="s">
        <v>40</v>
      </c>
      <c r="K768" t="s">
        <v>24</v>
      </c>
      <c r="L768">
        <v>4</v>
      </c>
      <c r="M768">
        <v>34340</v>
      </c>
      <c r="N768">
        <v>0.18</v>
      </c>
      <c r="O768">
        <v>20510</v>
      </c>
    </row>
    <row r="769" spans="1:15" x14ac:dyDescent="0.25">
      <c r="A769" t="s">
        <v>918</v>
      </c>
      <c r="B769">
        <v>45693</v>
      </c>
      <c r="C769" t="s">
        <v>76</v>
      </c>
      <c r="D769" t="s">
        <v>217</v>
      </c>
      <c r="E769" t="s">
        <v>170</v>
      </c>
      <c r="F769" t="s">
        <v>19</v>
      </c>
      <c r="G769" t="s">
        <v>20</v>
      </c>
      <c r="H769" t="s">
        <v>21</v>
      </c>
      <c r="I769" t="s">
        <v>362</v>
      </c>
      <c r="J769" t="s">
        <v>40</v>
      </c>
      <c r="K769" t="s">
        <v>119</v>
      </c>
      <c r="L769">
        <v>11</v>
      </c>
      <c r="M769">
        <v>9420</v>
      </c>
      <c r="N769">
        <v>0.15</v>
      </c>
      <c r="O769">
        <v>6450</v>
      </c>
    </row>
    <row r="770" spans="1:15" x14ac:dyDescent="0.25">
      <c r="A770" t="s">
        <v>919</v>
      </c>
      <c r="B770">
        <v>45693</v>
      </c>
      <c r="C770" t="s">
        <v>76</v>
      </c>
      <c r="D770" t="s">
        <v>77</v>
      </c>
      <c r="E770" t="s">
        <v>78</v>
      </c>
      <c r="F770" t="s">
        <v>19</v>
      </c>
      <c r="G770" t="s">
        <v>27</v>
      </c>
      <c r="H770" t="s">
        <v>28</v>
      </c>
      <c r="I770" t="s">
        <v>141</v>
      </c>
      <c r="J770" t="s">
        <v>49</v>
      </c>
      <c r="K770" t="s">
        <v>24</v>
      </c>
      <c r="L770">
        <v>3</v>
      </c>
      <c r="M770">
        <v>16190</v>
      </c>
      <c r="N770">
        <v>0</v>
      </c>
      <c r="O770">
        <v>11670</v>
      </c>
    </row>
    <row r="771" spans="1:15" x14ac:dyDescent="0.25">
      <c r="A771" t="s">
        <v>920</v>
      </c>
      <c r="B771">
        <v>45693</v>
      </c>
      <c r="C771" t="s">
        <v>16</v>
      </c>
      <c r="D771" t="s">
        <v>31</v>
      </c>
      <c r="E771" t="s">
        <v>26</v>
      </c>
      <c r="F771" t="s">
        <v>92</v>
      </c>
      <c r="G771" t="s">
        <v>20</v>
      </c>
      <c r="H771" t="s">
        <v>87</v>
      </c>
      <c r="I771" t="s">
        <v>105</v>
      </c>
      <c r="J771" t="s">
        <v>40</v>
      </c>
      <c r="K771" t="s">
        <v>24</v>
      </c>
      <c r="L771">
        <v>2</v>
      </c>
      <c r="M771">
        <v>54740</v>
      </c>
      <c r="N771">
        <v>0.05</v>
      </c>
      <c r="O771">
        <v>38390</v>
      </c>
    </row>
    <row r="772" spans="1:15" x14ac:dyDescent="0.25">
      <c r="A772" t="s">
        <v>921</v>
      </c>
      <c r="B772">
        <v>45694</v>
      </c>
      <c r="C772" t="s">
        <v>16</v>
      </c>
      <c r="D772" t="s">
        <v>51</v>
      </c>
      <c r="E772" t="s">
        <v>26</v>
      </c>
      <c r="F772" t="s">
        <v>92</v>
      </c>
      <c r="G772" t="s">
        <v>59</v>
      </c>
      <c r="H772" t="s">
        <v>154</v>
      </c>
      <c r="I772" t="s">
        <v>155</v>
      </c>
      <c r="J772" t="s">
        <v>40</v>
      </c>
      <c r="K772" t="s">
        <v>35</v>
      </c>
      <c r="L772">
        <v>7</v>
      </c>
      <c r="M772">
        <v>11890</v>
      </c>
      <c r="N772">
        <v>0.08</v>
      </c>
      <c r="O772">
        <v>8250</v>
      </c>
    </row>
    <row r="773" spans="1:15" x14ac:dyDescent="0.25">
      <c r="A773" t="s">
        <v>922</v>
      </c>
      <c r="B773">
        <v>45695</v>
      </c>
      <c r="C773" t="s">
        <v>16</v>
      </c>
      <c r="D773" t="s">
        <v>17</v>
      </c>
      <c r="E773" t="s">
        <v>32</v>
      </c>
      <c r="F773" t="s">
        <v>19</v>
      </c>
      <c r="G773" t="s">
        <v>20</v>
      </c>
      <c r="H773" t="s">
        <v>109</v>
      </c>
      <c r="I773" t="s">
        <v>110</v>
      </c>
      <c r="J773" t="s">
        <v>49</v>
      </c>
      <c r="K773" t="s">
        <v>24</v>
      </c>
      <c r="L773">
        <v>3</v>
      </c>
      <c r="M773">
        <v>69700</v>
      </c>
      <c r="N773">
        <v>0.15</v>
      </c>
      <c r="O773">
        <v>42230</v>
      </c>
    </row>
    <row r="774" spans="1:15" x14ac:dyDescent="0.25">
      <c r="A774" t="s">
        <v>923</v>
      </c>
      <c r="B774">
        <v>45695</v>
      </c>
      <c r="C774" t="s">
        <v>42</v>
      </c>
      <c r="D774" t="s">
        <v>96</v>
      </c>
      <c r="E774" t="s">
        <v>97</v>
      </c>
      <c r="F774" t="s">
        <v>45</v>
      </c>
      <c r="G774" t="s">
        <v>83</v>
      </c>
      <c r="H774" t="s">
        <v>136</v>
      </c>
      <c r="I774" t="s">
        <v>307</v>
      </c>
      <c r="J774" t="s">
        <v>23</v>
      </c>
      <c r="K774" t="s">
        <v>24</v>
      </c>
      <c r="L774">
        <v>47</v>
      </c>
      <c r="M774">
        <v>860</v>
      </c>
      <c r="N774">
        <v>0.1</v>
      </c>
      <c r="O774">
        <v>600</v>
      </c>
    </row>
    <row r="775" spans="1:15" x14ac:dyDescent="0.25">
      <c r="A775" t="s">
        <v>924</v>
      </c>
      <c r="B775">
        <v>45696</v>
      </c>
      <c r="C775" t="s">
        <v>16</v>
      </c>
      <c r="D775" t="s">
        <v>51</v>
      </c>
      <c r="E775" t="s">
        <v>32</v>
      </c>
      <c r="F775" t="s">
        <v>92</v>
      </c>
      <c r="G775" t="s">
        <v>46</v>
      </c>
      <c r="H775" t="s">
        <v>47</v>
      </c>
      <c r="I775" t="s">
        <v>259</v>
      </c>
      <c r="J775" t="s">
        <v>23</v>
      </c>
      <c r="K775" t="s">
        <v>24</v>
      </c>
      <c r="L775">
        <v>45</v>
      </c>
      <c r="M775">
        <v>2770</v>
      </c>
      <c r="N775">
        <v>0.08</v>
      </c>
      <c r="O775">
        <v>1810</v>
      </c>
    </row>
    <row r="776" spans="1:15" x14ac:dyDescent="0.25">
      <c r="A776" t="s">
        <v>925</v>
      </c>
      <c r="B776">
        <v>45697</v>
      </c>
      <c r="C776" t="s">
        <v>16</v>
      </c>
      <c r="D776" t="s">
        <v>82</v>
      </c>
      <c r="E776" t="s">
        <v>18</v>
      </c>
      <c r="F776" t="s">
        <v>19</v>
      </c>
      <c r="G776" t="s">
        <v>27</v>
      </c>
      <c r="H776" t="s">
        <v>214</v>
      </c>
      <c r="I776" t="s">
        <v>252</v>
      </c>
      <c r="J776" t="s">
        <v>40</v>
      </c>
      <c r="K776" t="s">
        <v>24</v>
      </c>
      <c r="L776">
        <v>8</v>
      </c>
      <c r="M776">
        <v>14060</v>
      </c>
      <c r="N776">
        <v>0.08</v>
      </c>
      <c r="O776">
        <v>8200</v>
      </c>
    </row>
    <row r="777" spans="1:15" x14ac:dyDescent="0.25">
      <c r="A777" t="s">
        <v>926</v>
      </c>
      <c r="B777">
        <v>45697</v>
      </c>
      <c r="C777" t="s">
        <v>42</v>
      </c>
      <c r="D777" t="s">
        <v>146</v>
      </c>
      <c r="E777" t="s">
        <v>44</v>
      </c>
      <c r="F777" t="s">
        <v>45</v>
      </c>
      <c r="G777" t="s">
        <v>83</v>
      </c>
      <c r="H777" t="s">
        <v>184</v>
      </c>
      <c r="I777" t="s">
        <v>185</v>
      </c>
      <c r="J777" t="s">
        <v>40</v>
      </c>
      <c r="K777" t="s">
        <v>24</v>
      </c>
      <c r="L777">
        <v>6</v>
      </c>
      <c r="M777">
        <v>4630</v>
      </c>
      <c r="N777">
        <v>0.12</v>
      </c>
      <c r="O777">
        <v>2610</v>
      </c>
    </row>
    <row r="778" spans="1:15" x14ac:dyDescent="0.25">
      <c r="A778" t="s">
        <v>927</v>
      </c>
      <c r="B778">
        <v>45698</v>
      </c>
      <c r="C778" t="s">
        <v>42</v>
      </c>
      <c r="D778" t="s">
        <v>146</v>
      </c>
      <c r="E778" t="s">
        <v>44</v>
      </c>
      <c r="F778" t="s">
        <v>19</v>
      </c>
      <c r="G778" t="s">
        <v>20</v>
      </c>
      <c r="H778" t="s">
        <v>87</v>
      </c>
      <c r="I778" t="s">
        <v>105</v>
      </c>
      <c r="J778" t="s">
        <v>23</v>
      </c>
      <c r="K778" t="s">
        <v>24</v>
      </c>
      <c r="L778">
        <v>2</v>
      </c>
      <c r="M778">
        <v>54330</v>
      </c>
      <c r="N778">
        <v>0.12</v>
      </c>
      <c r="O778">
        <v>36650</v>
      </c>
    </row>
    <row r="779" spans="1:15" x14ac:dyDescent="0.25">
      <c r="A779" t="s">
        <v>928</v>
      </c>
      <c r="B779">
        <v>45698</v>
      </c>
      <c r="C779" t="s">
        <v>42</v>
      </c>
      <c r="D779" t="s">
        <v>123</v>
      </c>
      <c r="E779" t="s">
        <v>44</v>
      </c>
      <c r="F779" t="s">
        <v>19</v>
      </c>
      <c r="G779" t="s">
        <v>20</v>
      </c>
      <c r="H779" t="s">
        <v>21</v>
      </c>
      <c r="I779" t="s">
        <v>65</v>
      </c>
      <c r="J779" t="s">
        <v>23</v>
      </c>
      <c r="K779" t="s">
        <v>24</v>
      </c>
      <c r="L779">
        <v>10</v>
      </c>
      <c r="M779">
        <v>9140</v>
      </c>
      <c r="N779">
        <v>0</v>
      </c>
      <c r="O779">
        <v>6260</v>
      </c>
    </row>
    <row r="780" spans="1:15" x14ac:dyDescent="0.25">
      <c r="A780" t="s">
        <v>929</v>
      </c>
      <c r="B780">
        <v>45700</v>
      </c>
      <c r="C780" t="s">
        <v>37</v>
      </c>
      <c r="D780" t="s">
        <v>115</v>
      </c>
      <c r="E780" t="s">
        <v>68</v>
      </c>
      <c r="F780" t="s">
        <v>19</v>
      </c>
      <c r="G780" t="s">
        <v>46</v>
      </c>
      <c r="H780" t="s">
        <v>179</v>
      </c>
      <c r="I780" t="s">
        <v>236</v>
      </c>
      <c r="J780" t="s">
        <v>23</v>
      </c>
      <c r="K780" t="s">
        <v>24</v>
      </c>
      <c r="L780">
        <v>32</v>
      </c>
      <c r="M780">
        <v>2190</v>
      </c>
      <c r="N780">
        <v>0.08</v>
      </c>
      <c r="O780">
        <v>1300</v>
      </c>
    </row>
    <row r="781" spans="1:15" x14ac:dyDescent="0.25">
      <c r="A781" t="s">
        <v>930</v>
      </c>
      <c r="B781">
        <v>45701</v>
      </c>
      <c r="C781" t="s">
        <v>37</v>
      </c>
      <c r="D781" t="s">
        <v>38</v>
      </c>
      <c r="E781" t="s">
        <v>68</v>
      </c>
      <c r="F781" t="s">
        <v>19</v>
      </c>
      <c r="G781" t="s">
        <v>83</v>
      </c>
      <c r="H781" t="s">
        <v>184</v>
      </c>
      <c r="I781" t="s">
        <v>185</v>
      </c>
      <c r="J781" t="s">
        <v>49</v>
      </c>
      <c r="K781" t="s">
        <v>119</v>
      </c>
      <c r="L781">
        <v>15</v>
      </c>
      <c r="M781">
        <v>4750</v>
      </c>
      <c r="N781">
        <v>0.1</v>
      </c>
      <c r="O781">
        <v>3200</v>
      </c>
    </row>
    <row r="782" spans="1:15" x14ac:dyDescent="0.25">
      <c r="A782" t="s">
        <v>931</v>
      </c>
      <c r="B782">
        <v>45701</v>
      </c>
      <c r="C782" t="s">
        <v>37</v>
      </c>
      <c r="D782" t="s">
        <v>166</v>
      </c>
      <c r="E782" t="s">
        <v>39</v>
      </c>
      <c r="F782" t="s">
        <v>19</v>
      </c>
      <c r="G782" t="s">
        <v>27</v>
      </c>
      <c r="H782" t="s">
        <v>79</v>
      </c>
      <c r="I782" t="s">
        <v>262</v>
      </c>
      <c r="J782" t="s">
        <v>23</v>
      </c>
      <c r="K782" t="s">
        <v>24</v>
      </c>
      <c r="L782">
        <v>18</v>
      </c>
      <c r="M782">
        <v>2780</v>
      </c>
      <c r="N782">
        <v>0.1</v>
      </c>
      <c r="O782">
        <v>1980</v>
      </c>
    </row>
    <row r="783" spans="1:15" x14ac:dyDescent="0.25">
      <c r="A783" t="s">
        <v>932</v>
      </c>
      <c r="B783">
        <v>45702</v>
      </c>
      <c r="C783" t="s">
        <v>56</v>
      </c>
      <c r="D783" t="s">
        <v>57</v>
      </c>
      <c r="E783" t="s">
        <v>58</v>
      </c>
      <c r="F783" t="s">
        <v>52</v>
      </c>
      <c r="G783" t="s">
        <v>20</v>
      </c>
      <c r="H783" t="s">
        <v>109</v>
      </c>
      <c r="I783" t="s">
        <v>159</v>
      </c>
      <c r="J783" t="s">
        <v>23</v>
      </c>
      <c r="K783" t="s">
        <v>24</v>
      </c>
      <c r="L783">
        <v>2</v>
      </c>
      <c r="M783">
        <v>17670</v>
      </c>
      <c r="N783">
        <v>0</v>
      </c>
      <c r="O783">
        <v>11800</v>
      </c>
    </row>
    <row r="784" spans="1:15" x14ac:dyDescent="0.25">
      <c r="A784" t="s">
        <v>933</v>
      </c>
      <c r="B784">
        <v>45703</v>
      </c>
      <c r="C784" t="s">
        <v>76</v>
      </c>
      <c r="D784" t="s">
        <v>77</v>
      </c>
      <c r="E784" t="s">
        <v>170</v>
      </c>
      <c r="F784" t="s">
        <v>92</v>
      </c>
      <c r="G784" t="s">
        <v>20</v>
      </c>
      <c r="H784" t="s">
        <v>87</v>
      </c>
      <c r="I784" t="s">
        <v>105</v>
      </c>
      <c r="J784" t="s">
        <v>23</v>
      </c>
      <c r="K784" t="s">
        <v>35</v>
      </c>
      <c r="L784">
        <v>6</v>
      </c>
      <c r="M784">
        <v>53150</v>
      </c>
      <c r="N784">
        <v>0.1</v>
      </c>
      <c r="O784">
        <v>32200</v>
      </c>
    </row>
    <row r="785" spans="1:15" x14ac:dyDescent="0.25">
      <c r="A785" t="s">
        <v>934</v>
      </c>
      <c r="B785">
        <v>45704</v>
      </c>
      <c r="C785" t="s">
        <v>16</v>
      </c>
      <c r="D785" t="s">
        <v>191</v>
      </c>
      <c r="E785" t="s">
        <v>18</v>
      </c>
      <c r="F785" t="s">
        <v>19</v>
      </c>
      <c r="G785" t="s">
        <v>83</v>
      </c>
      <c r="H785" t="s">
        <v>184</v>
      </c>
      <c r="I785" t="s">
        <v>185</v>
      </c>
      <c r="J785" t="s">
        <v>23</v>
      </c>
      <c r="K785" t="s">
        <v>24</v>
      </c>
      <c r="L785">
        <v>13</v>
      </c>
      <c r="M785">
        <v>4290</v>
      </c>
      <c r="N785">
        <v>0.05</v>
      </c>
      <c r="O785">
        <v>2460</v>
      </c>
    </row>
    <row r="786" spans="1:15" x14ac:dyDescent="0.25">
      <c r="A786" t="s">
        <v>935</v>
      </c>
      <c r="B786">
        <v>45704</v>
      </c>
      <c r="C786" t="s">
        <v>56</v>
      </c>
      <c r="D786" t="s">
        <v>57</v>
      </c>
      <c r="E786" t="s">
        <v>134</v>
      </c>
      <c r="F786" t="s">
        <v>92</v>
      </c>
      <c r="G786" t="s">
        <v>46</v>
      </c>
      <c r="H786" t="s">
        <v>100</v>
      </c>
      <c r="I786" t="s">
        <v>177</v>
      </c>
      <c r="J786" t="s">
        <v>49</v>
      </c>
      <c r="K786" t="s">
        <v>24</v>
      </c>
      <c r="L786">
        <v>26</v>
      </c>
      <c r="M786">
        <v>2610</v>
      </c>
      <c r="N786">
        <v>0.12</v>
      </c>
      <c r="O786">
        <v>1940</v>
      </c>
    </row>
    <row r="787" spans="1:15" x14ac:dyDescent="0.25">
      <c r="A787" t="s">
        <v>936</v>
      </c>
      <c r="B787">
        <v>45704</v>
      </c>
      <c r="C787" t="s">
        <v>37</v>
      </c>
      <c r="D787" t="s">
        <v>115</v>
      </c>
      <c r="E787" t="s">
        <v>39</v>
      </c>
      <c r="F787" t="s">
        <v>19</v>
      </c>
      <c r="G787" t="s">
        <v>59</v>
      </c>
      <c r="H787" t="s">
        <v>60</v>
      </c>
      <c r="I787" t="s">
        <v>61</v>
      </c>
      <c r="J787" t="s">
        <v>49</v>
      </c>
      <c r="K787" t="s">
        <v>24</v>
      </c>
      <c r="L787">
        <v>4</v>
      </c>
      <c r="M787">
        <v>23940</v>
      </c>
      <c r="N787">
        <v>0.18</v>
      </c>
      <c r="O787">
        <v>15240</v>
      </c>
    </row>
    <row r="788" spans="1:15" x14ac:dyDescent="0.25">
      <c r="A788" t="s">
        <v>937</v>
      </c>
      <c r="B788">
        <v>45705</v>
      </c>
      <c r="C788" t="s">
        <v>42</v>
      </c>
      <c r="D788" t="s">
        <v>265</v>
      </c>
      <c r="E788" t="s">
        <v>97</v>
      </c>
      <c r="F788" t="s">
        <v>19</v>
      </c>
      <c r="G788" t="s">
        <v>20</v>
      </c>
      <c r="H788" t="s">
        <v>109</v>
      </c>
      <c r="I788" t="s">
        <v>159</v>
      </c>
      <c r="J788" t="s">
        <v>40</v>
      </c>
      <c r="K788" t="s">
        <v>24</v>
      </c>
      <c r="L788">
        <v>7</v>
      </c>
      <c r="M788">
        <v>18330</v>
      </c>
      <c r="N788">
        <v>0.05</v>
      </c>
      <c r="O788">
        <v>12810</v>
      </c>
    </row>
    <row r="789" spans="1:15" x14ac:dyDescent="0.25">
      <c r="A789" t="s">
        <v>938</v>
      </c>
      <c r="B789">
        <v>45705</v>
      </c>
      <c r="C789" t="s">
        <v>42</v>
      </c>
      <c r="D789" t="s">
        <v>265</v>
      </c>
      <c r="E789" t="s">
        <v>97</v>
      </c>
      <c r="F789" t="s">
        <v>52</v>
      </c>
      <c r="G789" t="s">
        <v>20</v>
      </c>
      <c r="H789" t="s">
        <v>109</v>
      </c>
      <c r="I789" t="s">
        <v>171</v>
      </c>
      <c r="J789" t="s">
        <v>23</v>
      </c>
      <c r="K789" t="s">
        <v>94</v>
      </c>
      <c r="L789">
        <v>3</v>
      </c>
      <c r="M789">
        <v>22670</v>
      </c>
      <c r="N789">
        <v>0.12</v>
      </c>
      <c r="O789">
        <v>13910</v>
      </c>
    </row>
    <row r="790" spans="1:15" x14ac:dyDescent="0.25">
      <c r="A790" t="s">
        <v>939</v>
      </c>
      <c r="B790">
        <v>45707</v>
      </c>
      <c r="C790" t="s">
        <v>42</v>
      </c>
      <c r="D790" t="s">
        <v>146</v>
      </c>
      <c r="E790" t="s">
        <v>97</v>
      </c>
      <c r="F790" t="s">
        <v>19</v>
      </c>
      <c r="G790" t="s">
        <v>20</v>
      </c>
      <c r="H790" t="s">
        <v>87</v>
      </c>
      <c r="I790" t="s">
        <v>88</v>
      </c>
      <c r="J790" t="s">
        <v>40</v>
      </c>
      <c r="K790" t="s">
        <v>119</v>
      </c>
      <c r="L790">
        <v>4</v>
      </c>
      <c r="M790">
        <v>31090</v>
      </c>
      <c r="N790">
        <v>0.25</v>
      </c>
      <c r="O790">
        <v>23810</v>
      </c>
    </row>
    <row r="791" spans="1:15" x14ac:dyDescent="0.25">
      <c r="A791" t="s">
        <v>940</v>
      </c>
      <c r="B791">
        <v>45708</v>
      </c>
      <c r="C791" t="s">
        <v>42</v>
      </c>
      <c r="D791" t="s">
        <v>146</v>
      </c>
      <c r="E791" t="s">
        <v>97</v>
      </c>
      <c r="F791" t="s">
        <v>92</v>
      </c>
      <c r="G791" t="s">
        <v>20</v>
      </c>
      <c r="H791" t="s">
        <v>109</v>
      </c>
      <c r="I791" t="s">
        <v>110</v>
      </c>
      <c r="J791" t="s">
        <v>23</v>
      </c>
      <c r="K791" t="s">
        <v>24</v>
      </c>
      <c r="L791">
        <v>2</v>
      </c>
      <c r="M791">
        <v>68560</v>
      </c>
      <c r="N791">
        <v>0.08</v>
      </c>
      <c r="O791">
        <v>42850</v>
      </c>
    </row>
    <row r="792" spans="1:15" x14ac:dyDescent="0.25">
      <c r="A792" t="s">
        <v>941</v>
      </c>
      <c r="B792">
        <v>45708</v>
      </c>
      <c r="C792" t="s">
        <v>76</v>
      </c>
      <c r="D792" t="s">
        <v>217</v>
      </c>
      <c r="E792" t="s">
        <v>78</v>
      </c>
      <c r="F792" t="s">
        <v>92</v>
      </c>
      <c r="G792" t="s">
        <v>20</v>
      </c>
      <c r="H792" t="s">
        <v>109</v>
      </c>
      <c r="I792" t="s">
        <v>110</v>
      </c>
      <c r="J792" t="s">
        <v>49</v>
      </c>
      <c r="K792" t="s">
        <v>24</v>
      </c>
      <c r="L792">
        <v>4</v>
      </c>
      <c r="M792">
        <v>67230</v>
      </c>
      <c r="N792">
        <v>0.1</v>
      </c>
      <c r="O792">
        <v>51800</v>
      </c>
    </row>
    <row r="793" spans="1:15" x14ac:dyDescent="0.25">
      <c r="A793" t="s">
        <v>942</v>
      </c>
      <c r="B793">
        <v>45708</v>
      </c>
      <c r="C793" t="s">
        <v>42</v>
      </c>
      <c r="D793" t="s">
        <v>130</v>
      </c>
      <c r="E793" t="s">
        <v>44</v>
      </c>
      <c r="F793" t="s">
        <v>52</v>
      </c>
      <c r="G793" t="s">
        <v>83</v>
      </c>
      <c r="H793" t="s">
        <v>184</v>
      </c>
      <c r="I793" t="s">
        <v>185</v>
      </c>
      <c r="J793" t="s">
        <v>40</v>
      </c>
      <c r="K793" t="s">
        <v>24</v>
      </c>
      <c r="L793">
        <v>2</v>
      </c>
      <c r="M793">
        <v>4280</v>
      </c>
      <c r="N793">
        <v>0.18</v>
      </c>
      <c r="O793">
        <v>3190</v>
      </c>
    </row>
    <row r="794" spans="1:15" x14ac:dyDescent="0.25">
      <c r="A794" t="s">
        <v>943</v>
      </c>
      <c r="B794">
        <v>45709</v>
      </c>
      <c r="C794" t="s">
        <v>37</v>
      </c>
      <c r="D794" t="s">
        <v>213</v>
      </c>
      <c r="E794" t="s">
        <v>68</v>
      </c>
      <c r="F794" t="s">
        <v>19</v>
      </c>
      <c r="G794" t="s">
        <v>46</v>
      </c>
      <c r="H794" t="s">
        <v>179</v>
      </c>
      <c r="I794" t="s">
        <v>221</v>
      </c>
      <c r="J794" t="s">
        <v>23</v>
      </c>
      <c r="K794" t="s">
        <v>24</v>
      </c>
      <c r="L794">
        <v>15</v>
      </c>
      <c r="M794">
        <v>1570</v>
      </c>
      <c r="N794">
        <v>0.15</v>
      </c>
      <c r="O794">
        <v>1010</v>
      </c>
    </row>
    <row r="795" spans="1:15" x14ac:dyDescent="0.25">
      <c r="A795" t="s">
        <v>944</v>
      </c>
      <c r="B795">
        <v>45709</v>
      </c>
      <c r="C795" t="s">
        <v>56</v>
      </c>
      <c r="D795" t="s">
        <v>127</v>
      </c>
      <c r="E795" t="s">
        <v>134</v>
      </c>
      <c r="F795" t="s">
        <v>19</v>
      </c>
      <c r="G795" t="s">
        <v>20</v>
      </c>
      <c r="H795" t="s">
        <v>21</v>
      </c>
      <c r="I795" t="s">
        <v>362</v>
      </c>
      <c r="J795" t="s">
        <v>40</v>
      </c>
      <c r="K795" t="s">
        <v>35</v>
      </c>
      <c r="L795">
        <v>13</v>
      </c>
      <c r="M795">
        <v>9480</v>
      </c>
      <c r="N795">
        <v>0.15</v>
      </c>
      <c r="O795">
        <v>6860</v>
      </c>
    </row>
    <row r="796" spans="1:15" x14ac:dyDescent="0.25">
      <c r="A796" t="s">
        <v>945</v>
      </c>
      <c r="B796">
        <v>45709</v>
      </c>
      <c r="C796" t="s">
        <v>56</v>
      </c>
      <c r="D796" t="s">
        <v>143</v>
      </c>
      <c r="E796" t="s">
        <v>91</v>
      </c>
      <c r="F796" t="s">
        <v>19</v>
      </c>
      <c r="G796" t="s">
        <v>20</v>
      </c>
      <c r="H796" t="s">
        <v>109</v>
      </c>
      <c r="I796" t="s">
        <v>159</v>
      </c>
      <c r="J796" t="s">
        <v>23</v>
      </c>
      <c r="K796" t="s">
        <v>119</v>
      </c>
      <c r="L796">
        <v>5</v>
      </c>
      <c r="M796">
        <v>18330</v>
      </c>
      <c r="N796">
        <v>0.15</v>
      </c>
      <c r="O796">
        <v>10900</v>
      </c>
    </row>
    <row r="797" spans="1:15" x14ac:dyDescent="0.25">
      <c r="A797" t="s">
        <v>946</v>
      </c>
      <c r="B797">
        <v>45710</v>
      </c>
      <c r="C797" t="s">
        <v>42</v>
      </c>
      <c r="D797" t="s">
        <v>123</v>
      </c>
      <c r="E797" t="s">
        <v>44</v>
      </c>
      <c r="F797" t="s">
        <v>45</v>
      </c>
      <c r="G797" t="s">
        <v>83</v>
      </c>
      <c r="H797" t="s">
        <v>136</v>
      </c>
      <c r="I797" t="s">
        <v>307</v>
      </c>
      <c r="J797" t="s">
        <v>23</v>
      </c>
      <c r="K797" t="s">
        <v>119</v>
      </c>
      <c r="L797">
        <v>33</v>
      </c>
      <c r="M797">
        <v>860</v>
      </c>
      <c r="N797">
        <v>0.25</v>
      </c>
      <c r="O797">
        <v>540</v>
      </c>
    </row>
    <row r="798" spans="1:15" x14ac:dyDescent="0.25">
      <c r="A798" t="s">
        <v>947</v>
      </c>
      <c r="B798">
        <v>45712</v>
      </c>
      <c r="C798" t="s">
        <v>76</v>
      </c>
      <c r="D798" t="s">
        <v>150</v>
      </c>
      <c r="E798" t="s">
        <v>170</v>
      </c>
      <c r="F798" t="s">
        <v>19</v>
      </c>
      <c r="G798" t="s">
        <v>20</v>
      </c>
      <c r="H798" t="s">
        <v>21</v>
      </c>
      <c r="I798" t="s">
        <v>65</v>
      </c>
      <c r="J798" t="s">
        <v>23</v>
      </c>
      <c r="K798" t="s">
        <v>24</v>
      </c>
      <c r="L798">
        <v>12</v>
      </c>
      <c r="M798">
        <v>8150</v>
      </c>
      <c r="N798">
        <v>0</v>
      </c>
      <c r="O798">
        <v>4760</v>
      </c>
    </row>
    <row r="799" spans="1:15" x14ac:dyDescent="0.25">
      <c r="A799" t="s">
        <v>948</v>
      </c>
      <c r="B799">
        <v>45712</v>
      </c>
      <c r="C799" t="s">
        <v>16</v>
      </c>
      <c r="D799" t="s">
        <v>153</v>
      </c>
      <c r="E799" t="s">
        <v>26</v>
      </c>
      <c r="F799" t="s">
        <v>19</v>
      </c>
      <c r="G799" t="s">
        <v>46</v>
      </c>
      <c r="H799" t="s">
        <v>179</v>
      </c>
      <c r="I799" t="s">
        <v>180</v>
      </c>
      <c r="J799" t="s">
        <v>40</v>
      </c>
      <c r="K799" t="s">
        <v>119</v>
      </c>
      <c r="L799">
        <v>10</v>
      </c>
      <c r="M799">
        <v>3800</v>
      </c>
      <c r="N799">
        <v>0.08</v>
      </c>
      <c r="O799">
        <v>2410</v>
      </c>
    </row>
    <row r="800" spans="1:15" x14ac:dyDescent="0.25">
      <c r="A800" t="s">
        <v>949</v>
      </c>
      <c r="B800">
        <v>45712</v>
      </c>
      <c r="C800" t="s">
        <v>42</v>
      </c>
      <c r="D800" t="s">
        <v>265</v>
      </c>
      <c r="E800" t="s">
        <v>64</v>
      </c>
      <c r="F800" t="s">
        <v>92</v>
      </c>
      <c r="G800" t="s">
        <v>83</v>
      </c>
      <c r="H800" t="s">
        <v>136</v>
      </c>
      <c r="I800" t="s">
        <v>137</v>
      </c>
      <c r="J800" t="s">
        <v>49</v>
      </c>
      <c r="K800" t="s">
        <v>24</v>
      </c>
      <c r="L800">
        <v>19</v>
      </c>
      <c r="M800">
        <v>1600</v>
      </c>
      <c r="N800">
        <v>0.1</v>
      </c>
      <c r="O800">
        <v>900</v>
      </c>
    </row>
    <row r="801" spans="1:15" x14ac:dyDescent="0.25">
      <c r="A801" t="s">
        <v>950</v>
      </c>
      <c r="B801">
        <v>45713</v>
      </c>
      <c r="C801" t="s">
        <v>16</v>
      </c>
      <c r="D801" t="s">
        <v>153</v>
      </c>
      <c r="E801" t="s">
        <v>26</v>
      </c>
      <c r="F801" t="s">
        <v>52</v>
      </c>
      <c r="G801" t="s">
        <v>46</v>
      </c>
      <c r="H801" t="s">
        <v>100</v>
      </c>
      <c r="I801" t="s">
        <v>101</v>
      </c>
      <c r="J801" t="s">
        <v>23</v>
      </c>
      <c r="K801" t="s">
        <v>35</v>
      </c>
      <c r="L801">
        <v>16</v>
      </c>
      <c r="M801">
        <v>1950</v>
      </c>
      <c r="N801">
        <v>0.05</v>
      </c>
      <c r="O801">
        <v>1150</v>
      </c>
    </row>
    <row r="802" spans="1:15" x14ac:dyDescent="0.25">
      <c r="A802" t="s">
        <v>951</v>
      </c>
      <c r="B802">
        <v>45713</v>
      </c>
      <c r="C802" t="s">
        <v>16</v>
      </c>
      <c r="D802" t="s">
        <v>191</v>
      </c>
      <c r="E802" t="s">
        <v>26</v>
      </c>
      <c r="F802" t="s">
        <v>52</v>
      </c>
      <c r="G802" t="s">
        <v>27</v>
      </c>
      <c r="H802" t="s">
        <v>28</v>
      </c>
      <c r="I802" t="s">
        <v>141</v>
      </c>
      <c r="J802" t="s">
        <v>23</v>
      </c>
      <c r="K802" t="s">
        <v>24</v>
      </c>
      <c r="L802">
        <v>8</v>
      </c>
      <c r="M802">
        <v>15770</v>
      </c>
      <c r="N802">
        <v>0.15</v>
      </c>
      <c r="O802">
        <v>9040</v>
      </c>
    </row>
    <row r="803" spans="1:15" x14ac:dyDescent="0.25">
      <c r="A803" t="s">
        <v>952</v>
      </c>
      <c r="B803">
        <v>45713</v>
      </c>
      <c r="C803" t="s">
        <v>42</v>
      </c>
      <c r="D803" t="s">
        <v>265</v>
      </c>
      <c r="E803" t="s">
        <v>44</v>
      </c>
      <c r="F803" t="s">
        <v>19</v>
      </c>
      <c r="G803" t="s">
        <v>59</v>
      </c>
      <c r="H803" t="s">
        <v>69</v>
      </c>
      <c r="I803" t="s">
        <v>70</v>
      </c>
      <c r="J803" t="s">
        <v>40</v>
      </c>
      <c r="K803" t="s">
        <v>119</v>
      </c>
      <c r="L803">
        <v>7</v>
      </c>
      <c r="M803">
        <v>28430</v>
      </c>
      <c r="N803">
        <v>0.08</v>
      </c>
      <c r="O803">
        <v>18970</v>
      </c>
    </row>
    <row r="804" spans="1:15" x14ac:dyDescent="0.25">
      <c r="A804" t="s">
        <v>953</v>
      </c>
      <c r="B804">
        <v>45715</v>
      </c>
      <c r="C804" t="s">
        <v>16</v>
      </c>
      <c r="D804" t="s">
        <v>153</v>
      </c>
      <c r="E804" t="s">
        <v>32</v>
      </c>
      <c r="F804" t="s">
        <v>52</v>
      </c>
      <c r="G804" t="s">
        <v>46</v>
      </c>
      <c r="H804" t="s">
        <v>179</v>
      </c>
      <c r="I804" t="s">
        <v>180</v>
      </c>
      <c r="J804" t="s">
        <v>40</v>
      </c>
      <c r="K804" t="s">
        <v>35</v>
      </c>
      <c r="L804">
        <v>11</v>
      </c>
      <c r="M804">
        <v>3720</v>
      </c>
      <c r="N804">
        <v>0.25</v>
      </c>
      <c r="O804">
        <v>2240</v>
      </c>
    </row>
    <row r="805" spans="1:15" x14ac:dyDescent="0.25">
      <c r="A805" t="s">
        <v>954</v>
      </c>
      <c r="B805">
        <v>45715</v>
      </c>
      <c r="C805" t="s">
        <v>42</v>
      </c>
      <c r="D805" t="s">
        <v>146</v>
      </c>
      <c r="E805" t="s">
        <v>64</v>
      </c>
      <c r="F805" t="s">
        <v>19</v>
      </c>
      <c r="G805" t="s">
        <v>27</v>
      </c>
      <c r="H805" t="s">
        <v>79</v>
      </c>
      <c r="I805" t="s">
        <v>262</v>
      </c>
      <c r="J805" t="s">
        <v>23</v>
      </c>
      <c r="K805" t="s">
        <v>24</v>
      </c>
      <c r="L805">
        <v>5</v>
      </c>
      <c r="M805">
        <v>2500</v>
      </c>
      <c r="N805">
        <v>0.05</v>
      </c>
      <c r="O805">
        <v>1680</v>
      </c>
    </row>
    <row r="806" spans="1:15" x14ac:dyDescent="0.25">
      <c r="A806" t="s">
        <v>955</v>
      </c>
      <c r="B806">
        <v>45715</v>
      </c>
      <c r="C806" t="s">
        <v>37</v>
      </c>
      <c r="D806" t="s">
        <v>115</v>
      </c>
      <c r="E806" t="s">
        <v>39</v>
      </c>
      <c r="F806" t="s">
        <v>19</v>
      </c>
      <c r="G806" t="s">
        <v>27</v>
      </c>
      <c r="H806" t="s">
        <v>214</v>
      </c>
      <c r="I806" t="s">
        <v>252</v>
      </c>
      <c r="J806" t="s">
        <v>49</v>
      </c>
      <c r="K806" t="s">
        <v>24</v>
      </c>
      <c r="L806">
        <v>3</v>
      </c>
      <c r="M806">
        <v>14010</v>
      </c>
      <c r="N806">
        <v>0.12</v>
      </c>
      <c r="O806">
        <v>10790</v>
      </c>
    </row>
    <row r="807" spans="1:15" x14ac:dyDescent="0.25">
      <c r="A807" t="s">
        <v>956</v>
      </c>
      <c r="B807">
        <v>45715</v>
      </c>
      <c r="C807" t="s">
        <v>56</v>
      </c>
      <c r="D807" t="s">
        <v>57</v>
      </c>
      <c r="E807" t="s">
        <v>58</v>
      </c>
      <c r="F807" t="s">
        <v>45</v>
      </c>
      <c r="G807" t="s">
        <v>27</v>
      </c>
      <c r="H807" t="s">
        <v>214</v>
      </c>
      <c r="I807" t="s">
        <v>252</v>
      </c>
      <c r="J807" t="s">
        <v>23</v>
      </c>
      <c r="K807" t="s">
        <v>24</v>
      </c>
      <c r="L807">
        <v>6</v>
      </c>
      <c r="M807">
        <v>14540</v>
      </c>
      <c r="N807">
        <v>0.08</v>
      </c>
      <c r="O807">
        <v>8640</v>
      </c>
    </row>
    <row r="808" spans="1:15" x14ac:dyDescent="0.25">
      <c r="A808" t="s">
        <v>957</v>
      </c>
      <c r="B808">
        <v>45716</v>
      </c>
      <c r="C808" t="s">
        <v>16</v>
      </c>
      <c r="D808" t="s">
        <v>153</v>
      </c>
      <c r="E808" t="s">
        <v>32</v>
      </c>
      <c r="F808" t="s">
        <v>52</v>
      </c>
      <c r="G808" t="s">
        <v>83</v>
      </c>
      <c r="H808" t="s">
        <v>84</v>
      </c>
      <c r="I808" t="s">
        <v>85</v>
      </c>
      <c r="J808" t="s">
        <v>40</v>
      </c>
      <c r="K808" t="s">
        <v>24</v>
      </c>
      <c r="L808">
        <v>16</v>
      </c>
      <c r="M808">
        <v>2580</v>
      </c>
      <c r="N808">
        <v>0.15</v>
      </c>
      <c r="O808">
        <v>2000</v>
      </c>
    </row>
    <row r="809" spans="1:15" x14ac:dyDescent="0.25">
      <c r="A809" t="s">
        <v>958</v>
      </c>
      <c r="B809">
        <v>45716</v>
      </c>
      <c r="C809" t="s">
        <v>56</v>
      </c>
      <c r="D809" t="s">
        <v>127</v>
      </c>
      <c r="E809" t="s">
        <v>91</v>
      </c>
      <c r="F809" t="s">
        <v>19</v>
      </c>
      <c r="G809" t="s">
        <v>46</v>
      </c>
      <c r="H809" t="s">
        <v>179</v>
      </c>
      <c r="I809" t="s">
        <v>236</v>
      </c>
      <c r="J809" t="s">
        <v>23</v>
      </c>
      <c r="K809" t="s">
        <v>24</v>
      </c>
      <c r="L809">
        <v>22</v>
      </c>
      <c r="M809">
        <v>2270</v>
      </c>
      <c r="N809">
        <v>0.05</v>
      </c>
      <c r="O809">
        <v>1410</v>
      </c>
    </row>
    <row r="810" spans="1:15" x14ac:dyDescent="0.25">
      <c r="A810" t="s">
        <v>959</v>
      </c>
      <c r="B810">
        <v>45716</v>
      </c>
      <c r="C810" t="s">
        <v>76</v>
      </c>
      <c r="D810" t="s">
        <v>150</v>
      </c>
      <c r="E810" t="s">
        <v>170</v>
      </c>
      <c r="F810" t="s">
        <v>19</v>
      </c>
      <c r="G810" t="s">
        <v>46</v>
      </c>
      <c r="H810" t="s">
        <v>179</v>
      </c>
      <c r="I810" t="s">
        <v>180</v>
      </c>
      <c r="J810" t="s">
        <v>23</v>
      </c>
      <c r="K810" t="s">
        <v>24</v>
      </c>
      <c r="L810">
        <v>5</v>
      </c>
      <c r="M810">
        <v>3970</v>
      </c>
      <c r="N810">
        <v>0.18</v>
      </c>
      <c r="O810">
        <v>2770</v>
      </c>
    </row>
    <row r="811" spans="1:15" x14ac:dyDescent="0.25">
      <c r="A811" t="s">
        <v>960</v>
      </c>
      <c r="B811">
        <v>45716</v>
      </c>
      <c r="C811" t="s">
        <v>42</v>
      </c>
      <c r="D811" t="s">
        <v>146</v>
      </c>
      <c r="E811" t="s">
        <v>64</v>
      </c>
      <c r="F811" t="s">
        <v>92</v>
      </c>
      <c r="G811" t="s">
        <v>46</v>
      </c>
      <c r="H811" t="s">
        <v>179</v>
      </c>
      <c r="I811" t="s">
        <v>180</v>
      </c>
      <c r="J811" t="s">
        <v>49</v>
      </c>
      <c r="K811" t="s">
        <v>24</v>
      </c>
      <c r="L811">
        <v>13</v>
      </c>
      <c r="M811">
        <v>4080</v>
      </c>
      <c r="N811">
        <v>0.08</v>
      </c>
      <c r="O811">
        <v>2740</v>
      </c>
    </row>
    <row r="812" spans="1:15" x14ac:dyDescent="0.25">
      <c r="A812" t="s">
        <v>961</v>
      </c>
      <c r="B812">
        <v>45716</v>
      </c>
      <c r="C812" t="s">
        <v>37</v>
      </c>
      <c r="D812" t="s">
        <v>161</v>
      </c>
      <c r="E812" t="s">
        <v>39</v>
      </c>
      <c r="F812" t="s">
        <v>19</v>
      </c>
      <c r="G812" t="s">
        <v>20</v>
      </c>
      <c r="H812" t="s">
        <v>33</v>
      </c>
      <c r="I812" t="s">
        <v>182</v>
      </c>
      <c r="J812" t="s">
        <v>23</v>
      </c>
      <c r="K812" t="s">
        <v>94</v>
      </c>
      <c r="L812">
        <v>4</v>
      </c>
      <c r="M812">
        <v>112860</v>
      </c>
      <c r="N812">
        <v>0.08</v>
      </c>
      <c r="O812">
        <v>84040</v>
      </c>
    </row>
    <row r="813" spans="1:15" x14ac:dyDescent="0.25">
      <c r="A813" t="s">
        <v>962</v>
      </c>
      <c r="B813">
        <v>45716</v>
      </c>
      <c r="C813" t="s">
        <v>16</v>
      </c>
      <c r="D813" t="s">
        <v>51</v>
      </c>
      <c r="E813" t="s">
        <v>32</v>
      </c>
      <c r="F813" t="s">
        <v>52</v>
      </c>
      <c r="G813" t="s">
        <v>46</v>
      </c>
      <c r="H813" t="s">
        <v>179</v>
      </c>
      <c r="I813" t="s">
        <v>180</v>
      </c>
      <c r="J813" t="s">
        <v>23</v>
      </c>
      <c r="K813" t="s">
        <v>24</v>
      </c>
      <c r="L813">
        <v>9</v>
      </c>
      <c r="M813">
        <v>3900</v>
      </c>
      <c r="N813">
        <v>0.08</v>
      </c>
      <c r="O813">
        <v>2820</v>
      </c>
    </row>
    <row r="814" spans="1:15" x14ac:dyDescent="0.25">
      <c r="A814" t="s">
        <v>963</v>
      </c>
      <c r="B814">
        <v>45717</v>
      </c>
      <c r="C814" t="s">
        <v>16</v>
      </c>
      <c r="D814" t="s">
        <v>82</v>
      </c>
      <c r="E814" t="s">
        <v>26</v>
      </c>
      <c r="F814" t="s">
        <v>45</v>
      </c>
      <c r="G814" t="s">
        <v>83</v>
      </c>
      <c r="H814" t="s">
        <v>84</v>
      </c>
      <c r="I814" t="s">
        <v>85</v>
      </c>
      <c r="J814" t="s">
        <v>49</v>
      </c>
      <c r="K814" t="s">
        <v>119</v>
      </c>
      <c r="L814">
        <v>25</v>
      </c>
      <c r="M814">
        <v>2580</v>
      </c>
      <c r="N814">
        <v>0.12</v>
      </c>
      <c r="O814">
        <v>1820</v>
      </c>
    </row>
    <row r="815" spans="1:15" x14ac:dyDescent="0.25">
      <c r="A815" t="s">
        <v>964</v>
      </c>
      <c r="B815">
        <v>45718</v>
      </c>
      <c r="C815" t="s">
        <v>56</v>
      </c>
      <c r="D815" t="s">
        <v>72</v>
      </c>
      <c r="E815" t="s">
        <v>134</v>
      </c>
      <c r="F815" t="s">
        <v>92</v>
      </c>
      <c r="G815" t="s">
        <v>20</v>
      </c>
      <c r="H815" t="s">
        <v>87</v>
      </c>
      <c r="I815" t="s">
        <v>88</v>
      </c>
      <c r="J815" t="s">
        <v>23</v>
      </c>
      <c r="K815" t="s">
        <v>24</v>
      </c>
      <c r="L815">
        <v>2</v>
      </c>
      <c r="M815">
        <v>32250</v>
      </c>
      <c r="N815">
        <v>0.2</v>
      </c>
      <c r="O815">
        <v>20110</v>
      </c>
    </row>
    <row r="816" spans="1:15" x14ac:dyDescent="0.25">
      <c r="A816" t="s">
        <v>965</v>
      </c>
      <c r="B816">
        <v>45718</v>
      </c>
      <c r="C816" t="s">
        <v>56</v>
      </c>
      <c r="D816" t="s">
        <v>57</v>
      </c>
      <c r="E816" t="s">
        <v>134</v>
      </c>
      <c r="F816" t="s">
        <v>52</v>
      </c>
      <c r="G816" t="s">
        <v>59</v>
      </c>
      <c r="H816" t="s">
        <v>154</v>
      </c>
      <c r="I816" t="s">
        <v>249</v>
      </c>
      <c r="J816" t="s">
        <v>23</v>
      </c>
      <c r="K816" t="s">
        <v>24</v>
      </c>
      <c r="L816">
        <v>15</v>
      </c>
      <c r="M816">
        <v>6570</v>
      </c>
      <c r="N816">
        <v>0.2</v>
      </c>
      <c r="O816">
        <v>4480</v>
      </c>
    </row>
    <row r="817" spans="1:15" x14ac:dyDescent="0.25">
      <c r="A817" t="s">
        <v>966</v>
      </c>
      <c r="B817">
        <v>45718</v>
      </c>
      <c r="C817" t="s">
        <v>42</v>
      </c>
      <c r="D817" t="s">
        <v>43</v>
      </c>
      <c r="E817" t="s">
        <v>44</v>
      </c>
      <c r="F817" t="s">
        <v>92</v>
      </c>
      <c r="G817" t="s">
        <v>46</v>
      </c>
      <c r="H817" t="s">
        <v>47</v>
      </c>
      <c r="I817" t="s">
        <v>93</v>
      </c>
      <c r="J817" t="s">
        <v>23</v>
      </c>
      <c r="K817" t="s">
        <v>24</v>
      </c>
      <c r="L817">
        <v>25</v>
      </c>
      <c r="M817">
        <v>1210</v>
      </c>
      <c r="N817">
        <v>0.2</v>
      </c>
      <c r="O817">
        <v>700</v>
      </c>
    </row>
    <row r="818" spans="1:15" x14ac:dyDescent="0.25">
      <c r="A818" t="s">
        <v>967</v>
      </c>
      <c r="B818">
        <v>45719</v>
      </c>
      <c r="C818" t="s">
        <v>56</v>
      </c>
      <c r="D818" t="s">
        <v>127</v>
      </c>
      <c r="E818" t="s">
        <v>91</v>
      </c>
      <c r="F818" t="s">
        <v>19</v>
      </c>
      <c r="G818" t="s">
        <v>46</v>
      </c>
      <c r="H818" t="s">
        <v>100</v>
      </c>
      <c r="I818" t="s">
        <v>177</v>
      </c>
      <c r="J818" t="s">
        <v>23</v>
      </c>
      <c r="K818" t="s">
        <v>24</v>
      </c>
      <c r="L818">
        <v>6</v>
      </c>
      <c r="M818">
        <v>2510</v>
      </c>
      <c r="N818">
        <v>0</v>
      </c>
      <c r="O818">
        <v>1520</v>
      </c>
    </row>
    <row r="819" spans="1:15" x14ac:dyDescent="0.25">
      <c r="A819" t="s">
        <v>968</v>
      </c>
      <c r="B819">
        <v>45719</v>
      </c>
      <c r="C819" t="s">
        <v>37</v>
      </c>
      <c r="D819" t="s">
        <v>115</v>
      </c>
      <c r="E819" t="s">
        <v>68</v>
      </c>
      <c r="F819" t="s">
        <v>52</v>
      </c>
      <c r="G819" t="s">
        <v>83</v>
      </c>
      <c r="H819" t="s">
        <v>84</v>
      </c>
      <c r="I819" t="s">
        <v>85</v>
      </c>
      <c r="J819" t="s">
        <v>40</v>
      </c>
      <c r="K819" t="s">
        <v>24</v>
      </c>
      <c r="L819">
        <v>34</v>
      </c>
      <c r="M819">
        <v>2520</v>
      </c>
      <c r="N819">
        <v>0.2</v>
      </c>
      <c r="O819">
        <v>1540</v>
      </c>
    </row>
    <row r="820" spans="1:15" x14ac:dyDescent="0.25">
      <c r="A820" t="s">
        <v>969</v>
      </c>
      <c r="B820">
        <v>45720</v>
      </c>
      <c r="C820" t="s">
        <v>42</v>
      </c>
      <c r="D820" t="s">
        <v>130</v>
      </c>
      <c r="E820" t="s">
        <v>97</v>
      </c>
      <c r="F820" t="s">
        <v>92</v>
      </c>
      <c r="G820" t="s">
        <v>27</v>
      </c>
      <c r="H820" t="s">
        <v>28</v>
      </c>
      <c r="I820" t="s">
        <v>29</v>
      </c>
      <c r="J820" t="s">
        <v>23</v>
      </c>
      <c r="K820" t="s">
        <v>119</v>
      </c>
      <c r="L820">
        <v>6</v>
      </c>
      <c r="M820">
        <v>27390</v>
      </c>
      <c r="N820">
        <v>0.12</v>
      </c>
      <c r="O820">
        <v>19480</v>
      </c>
    </row>
    <row r="821" spans="1:15" x14ac:dyDescent="0.25">
      <c r="A821" t="s">
        <v>970</v>
      </c>
      <c r="B821">
        <v>45720</v>
      </c>
      <c r="C821" t="s">
        <v>42</v>
      </c>
      <c r="D821" t="s">
        <v>130</v>
      </c>
      <c r="E821" t="s">
        <v>97</v>
      </c>
      <c r="F821" t="s">
        <v>19</v>
      </c>
      <c r="G821" t="s">
        <v>20</v>
      </c>
      <c r="H821" t="s">
        <v>33</v>
      </c>
      <c r="I821" t="s">
        <v>34</v>
      </c>
      <c r="J821" t="s">
        <v>23</v>
      </c>
      <c r="K821" t="s">
        <v>24</v>
      </c>
      <c r="L821">
        <v>1</v>
      </c>
      <c r="M821">
        <v>57360</v>
      </c>
      <c r="N821">
        <v>0</v>
      </c>
      <c r="O821">
        <v>39200</v>
      </c>
    </row>
    <row r="822" spans="1:15" x14ac:dyDescent="0.25">
      <c r="A822" t="s">
        <v>971</v>
      </c>
      <c r="B822">
        <v>45720</v>
      </c>
      <c r="C822" t="s">
        <v>37</v>
      </c>
      <c r="D822" t="s">
        <v>161</v>
      </c>
      <c r="E822" t="s">
        <v>68</v>
      </c>
      <c r="F822" t="s">
        <v>19</v>
      </c>
      <c r="G822" t="s">
        <v>46</v>
      </c>
      <c r="H822" t="s">
        <v>100</v>
      </c>
      <c r="I822" t="s">
        <v>177</v>
      </c>
      <c r="J822" t="s">
        <v>23</v>
      </c>
      <c r="K822" t="s">
        <v>24</v>
      </c>
      <c r="L822">
        <v>19</v>
      </c>
      <c r="M822">
        <v>2460</v>
      </c>
      <c r="N822">
        <v>0.05</v>
      </c>
      <c r="O822">
        <v>1930</v>
      </c>
    </row>
    <row r="823" spans="1:15" x14ac:dyDescent="0.25">
      <c r="A823" t="s">
        <v>972</v>
      </c>
      <c r="B823">
        <v>45722</v>
      </c>
      <c r="C823" t="s">
        <v>16</v>
      </c>
      <c r="D823" t="s">
        <v>82</v>
      </c>
      <c r="E823" t="s">
        <v>26</v>
      </c>
      <c r="F823" t="s">
        <v>92</v>
      </c>
      <c r="G823" t="s">
        <v>46</v>
      </c>
      <c r="H823" t="s">
        <v>179</v>
      </c>
      <c r="I823" t="s">
        <v>221</v>
      </c>
      <c r="J823" t="s">
        <v>49</v>
      </c>
      <c r="K823" t="s">
        <v>24</v>
      </c>
      <c r="L823">
        <v>4</v>
      </c>
      <c r="M823">
        <v>1710</v>
      </c>
      <c r="N823">
        <v>0.08</v>
      </c>
      <c r="O823">
        <v>1290</v>
      </c>
    </row>
    <row r="824" spans="1:15" x14ac:dyDescent="0.25">
      <c r="A824" t="s">
        <v>973</v>
      </c>
      <c r="B824">
        <v>45722</v>
      </c>
      <c r="C824" t="s">
        <v>16</v>
      </c>
      <c r="D824" t="s">
        <v>82</v>
      </c>
      <c r="E824" t="s">
        <v>18</v>
      </c>
      <c r="F824" t="s">
        <v>19</v>
      </c>
      <c r="G824" t="s">
        <v>46</v>
      </c>
      <c r="H824" t="s">
        <v>100</v>
      </c>
      <c r="I824" t="s">
        <v>177</v>
      </c>
      <c r="J824" t="s">
        <v>23</v>
      </c>
      <c r="K824" t="s">
        <v>24</v>
      </c>
      <c r="L824">
        <v>35</v>
      </c>
      <c r="M824">
        <v>2590</v>
      </c>
      <c r="N824">
        <v>0</v>
      </c>
      <c r="O824">
        <v>1930</v>
      </c>
    </row>
    <row r="825" spans="1:15" x14ac:dyDescent="0.25">
      <c r="A825" t="s">
        <v>974</v>
      </c>
      <c r="B825">
        <v>45723</v>
      </c>
      <c r="C825" t="s">
        <v>56</v>
      </c>
      <c r="D825" t="s">
        <v>133</v>
      </c>
      <c r="E825" t="s">
        <v>58</v>
      </c>
      <c r="F825" t="s">
        <v>92</v>
      </c>
      <c r="G825" t="s">
        <v>20</v>
      </c>
      <c r="H825" t="s">
        <v>87</v>
      </c>
      <c r="I825" t="s">
        <v>105</v>
      </c>
      <c r="J825" t="s">
        <v>23</v>
      </c>
      <c r="K825" t="s">
        <v>24</v>
      </c>
      <c r="L825">
        <v>7</v>
      </c>
      <c r="M825">
        <v>49940</v>
      </c>
      <c r="N825">
        <v>0.15</v>
      </c>
      <c r="O825">
        <v>37060</v>
      </c>
    </row>
    <row r="826" spans="1:15" x14ac:dyDescent="0.25">
      <c r="A826" t="s">
        <v>975</v>
      </c>
      <c r="B826">
        <v>45723</v>
      </c>
      <c r="C826" t="s">
        <v>56</v>
      </c>
      <c r="D826" t="s">
        <v>127</v>
      </c>
      <c r="E826" t="s">
        <v>91</v>
      </c>
      <c r="F826" t="s">
        <v>19</v>
      </c>
      <c r="G826" t="s">
        <v>20</v>
      </c>
      <c r="H826" t="s">
        <v>109</v>
      </c>
      <c r="I826" t="s">
        <v>110</v>
      </c>
      <c r="J826" t="s">
        <v>23</v>
      </c>
      <c r="K826" t="s">
        <v>24</v>
      </c>
      <c r="L826">
        <v>1</v>
      </c>
      <c r="M826">
        <v>68090</v>
      </c>
      <c r="N826">
        <v>0.05</v>
      </c>
      <c r="O826">
        <v>46700</v>
      </c>
    </row>
    <row r="827" spans="1:15" x14ac:dyDescent="0.25">
      <c r="A827" t="s">
        <v>976</v>
      </c>
      <c r="B827">
        <v>45723</v>
      </c>
      <c r="C827" t="s">
        <v>16</v>
      </c>
      <c r="D827" t="s">
        <v>191</v>
      </c>
      <c r="E827" t="s">
        <v>26</v>
      </c>
      <c r="F827" t="s">
        <v>92</v>
      </c>
      <c r="G827" t="s">
        <v>59</v>
      </c>
      <c r="H827" t="s">
        <v>73</v>
      </c>
      <c r="I827" t="s">
        <v>74</v>
      </c>
      <c r="J827" t="s">
        <v>23</v>
      </c>
      <c r="K827" t="s">
        <v>24</v>
      </c>
      <c r="L827">
        <v>2</v>
      </c>
      <c r="M827">
        <v>46890</v>
      </c>
      <c r="N827">
        <v>0.05</v>
      </c>
      <c r="O827">
        <v>31740</v>
      </c>
    </row>
    <row r="828" spans="1:15" x14ac:dyDescent="0.25">
      <c r="A828" t="s">
        <v>977</v>
      </c>
      <c r="B828">
        <v>45723</v>
      </c>
      <c r="C828" t="s">
        <v>42</v>
      </c>
      <c r="D828" t="s">
        <v>43</v>
      </c>
      <c r="E828" t="s">
        <v>64</v>
      </c>
      <c r="F828" t="s">
        <v>52</v>
      </c>
      <c r="G828" t="s">
        <v>59</v>
      </c>
      <c r="H828" t="s">
        <v>154</v>
      </c>
      <c r="I828" t="s">
        <v>155</v>
      </c>
      <c r="J828" t="s">
        <v>40</v>
      </c>
      <c r="K828" t="s">
        <v>24</v>
      </c>
      <c r="L828">
        <v>1</v>
      </c>
      <c r="M828">
        <v>12190</v>
      </c>
      <c r="N828">
        <v>0.15</v>
      </c>
      <c r="O828">
        <v>7970</v>
      </c>
    </row>
    <row r="829" spans="1:15" x14ac:dyDescent="0.25">
      <c r="A829" t="s">
        <v>978</v>
      </c>
      <c r="B829">
        <v>45724</v>
      </c>
      <c r="C829" t="s">
        <v>42</v>
      </c>
      <c r="D829" t="s">
        <v>43</v>
      </c>
      <c r="E829" t="s">
        <v>64</v>
      </c>
      <c r="F829" t="s">
        <v>52</v>
      </c>
      <c r="G829" t="s">
        <v>27</v>
      </c>
      <c r="H829" t="s">
        <v>28</v>
      </c>
      <c r="I829" t="s">
        <v>141</v>
      </c>
      <c r="J829" t="s">
        <v>23</v>
      </c>
      <c r="K829" t="s">
        <v>24</v>
      </c>
      <c r="L829">
        <v>7</v>
      </c>
      <c r="M829">
        <v>15810</v>
      </c>
      <c r="N829">
        <v>0.15</v>
      </c>
      <c r="O829">
        <v>12180</v>
      </c>
    </row>
    <row r="830" spans="1:15" x14ac:dyDescent="0.25">
      <c r="A830" t="s">
        <v>979</v>
      </c>
      <c r="B830">
        <v>45724</v>
      </c>
      <c r="C830" t="s">
        <v>16</v>
      </c>
      <c r="D830" t="s">
        <v>191</v>
      </c>
      <c r="E830" t="s">
        <v>26</v>
      </c>
      <c r="F830" t="s">
        <v>45</v>
      </c>
      <c r="G830" t="s">
        <v>83</v>
      </c>
      <c r="H830" t="s">
        <v>184</v>
      </c>
      <c r="I830" t="s">
        <v>185</v>
      </c>
      <c r="J830" t="s">
        <v>23</v>
      </c>
      <c r="K830" t="s">
        <v>24</v>
      </c>
      <c r="L830">
        <v>26</v>
      </c>
      <c r="M830">
        <v>4340</v>
      </c>
      <c r="N830">
        <v>0.05</v>
      </c>
      <c r="O830">
        <v>3400</v>
      </c>
    </row>
    <row r="831" spans="1:15" x14ac:dyDescent="0.25">
      <c r="A831" t="s">
        <v>980</v>
      </c>
      <c r="B831">
        <v>45724</v>
      </c>
      <c r="C831" t="s">
        <v>76</v>
      </c>
      <c r="D831" t="s">
        <v>112</v>
      </c>
      <c r="E831" t="s">
        <v>78</v>
      </c>
      <c r="F831" t="s">
        <v>19</v>
      </c>
      <c r="G831" t="s">
        <v>20</v>
      </c>
      <c r="H831" t="s">
        <v>109</v>
      </c>
      <c r="I831" t="s">
        <v>171</v>
      </c>
      <c r="J831" t="s">
        <v>23</v>
      </c>
      <c r="K831" t="s">
        <v>24</v>
      </c>
      <c r="L831">
        <v>4</v>
      </c>
      <c r="M831">
        <v>22270</v>
      </c>
      <c r="N831">
        <v>0.25</v>
      </c>
      <c r="O831">
        <v>16510</v>
      </c>
    </row>
    <row r="832" spans="1:15" x14ac:dyDescent="0.25">
      <c r="A832" t="s">
        <v>981</v>
      </c>
      <c r="B832">
        <v>45725</v>
      </c>
      <c r="C832" t="s">
        <v>56</v>
      </c>
      <c r="D832" t="s">
        <v>127</v>
      </c>
      <c r="E832" t="s">
        <v>58</v>
      </c>
      <c r="F832" t="s">
        <v>52</v>
      </c>
      <c r="G832" t="s">
        <v>46</v>
      </c>
      <c r="H832" t="s">
        <v>179</v>
      </c>
      <c r="I832" t="s">
        <v>180</v>
      </c>
      <c r="J832" t="s">
        <v>40</v>
      </c>
      <c r="K832" t="s">
        <v>24</v>
      </c>
      <c r="L832">
        <v>5</v>
      </c>
      <c r="M832">
        <v>3630</v>
      </c>
      <c r="N832">
        <v>0.15</v>
      </c>
      <c r="O832">
        <v>2860</v>
      </c>
    </row>
    <row r="833" spans="1:15" x14ac:dyDescent="0.25">
      <c r="A833" t="s">
        <v>982</v>
      </c>
      <c r="B833">
        <v>45725</v>
      </c>
      <c r="C833" t="s">
        <v>37</v>
      </c>
      <c r="D833" t="s">
        <v>166</v>
      </c>
      <c r="E833" t="s">
        <v>39</v>
      </c>
      <c r="F833" t="s">
        <v>19</v>
      </c>
      <c r="G833" t="s">
        <v>20</v>
      </c>
      <c r="H833" t="s">
        <v>109</v>
      </c>
      <c r="I833" t="s">
        <v>171</v>
      </c>
      <c r="J833" t="s">
        <v>49</v>
      </c>
      <c r="K833" t="s">
        <v>24</v>
      </c>
      <c r="L833">
        <v>4</v>
      </c>
      <c r="M833">
        <v>23760</v>
      </c>
      <c r="N833">
        <v>0.15</v>
      </c>
      <c r="O833">
        <v>16950</v>
      </c>
    </row>
    <row r="834" spans="1:15" x14ac:dyDescent="0.25">
      <c r="A834" t="s">
        <v>983</v>
      </c>
      <c r="B834">
        <v>45725</v>
      </c>
      <c r="C834" t="s">
        <v>76</v>
      </c>
      <c r="D834" t="s">
        <v>77</v>
      </c>
      <c r="E834" t="s">
        <v>170</v>
      </c>
      <c r="F834" t="s">
        <v>19</v>
      </c>
      <c r="G834" t="s">
        <v>83</v>
      </c>
      <c r="H834" t="s">
        <v>184</v>
      </c>
      <c r="I834" t="s">
        <v>185</v>
      </c>
      <c r="J834" t="s">
        <v>49</v>
      </c>
      <c r="K834" t="s">
        <v>24</v>
      </c>
      <c r="L834">
        <v>5</v>
      </c>
      <c r="M834">
        <v>4450</v>
      </c>
      <c r="N834">
        <v>0.15</v>
      </c>
      <c r="O834">
        <v>3390</v>
      </c>
    </row>
    <row r="835" spans="1:15" x14ac:dyDescent="0.25">
      <c r="A835" t="s">
        <v>984</v>
      </c>
      <c r="B835">
        <v>45725</v>
      </c>
      <c r="C835" t="s">
        <v>56</v>
      </c>
      <c r="D835" t="s">
        <v>127</v>
      </c>
      <c r="E835" t="s">
        <v>58</v>
      </c>
      <c r="F835" t="s">
        <v>19</v>
      </c>
      <c r="G835" t="s">
        <v>20</v>
      </c>
      <c r="H835" t="s">
        <v>87</v>
      </c>
      <c r="I835" t="s">
        <v>88</v>
      </c>
      <c r="J835" t="s">
        <v>23</v>
      </c>
      <c r="K835" t="s">
        <v>24</v>
      </c>
      <c r="L835">
        <v>2</v>
      </c>
      <c r="M835">
        <v>31790</v>
      </c>
      <c r="N835">
        <v>0</v>
      </c>
      <c r="O835">
        <v>25030</v>
      </c>
    </row>
    <row r="836" spans="1:15" x14ac:dyDescent="0.25">
      <c r="A836" t="s">
        <v>985</v>
      </c>
      <c r="B836">
        <v>45725</v>
      </c>
      <c r="C836" t="s">
        <v>42</v>
      </c>
      <c r="D836" t="s">
        <v>96</v>
      </c>
      <c r="E836" t="s">
        <v>97</v>
      </c>
      <c r="F836" t="s">
        <v>45</v>
      </c>
      <c r="G836" t="s">
        <v>20</v>
      </c>
      <c r="H836" t="s">
        <v>33</v>
      </c>
      <c r="I836" t="s">
        <v>34</v>
      </c>
      <c r="J836" t="s">
        <v>23</v>
      </c>
      <c r="K836" t="s">
        <v>24</v>
      </c>
      <c r="L836">
        <v>2</v>
      </c>
      <c r="M836">
        <v>52430</v>
      </c>
      <c r="N836">
        <v>0.08</v>
      </c>
      <c r="O836">
        <v>34910</v>
      </c>
    </row>
    <row r="837" spans="1:15" x14ac:dyDescent="0.25">
      <c r="A837" t="s">
        <v>986</v>
      </c>
      <c r="B837">
        <v>45727</v>
      </c>
      <c r="C837" t="s">
        <v>76</v>
      </c>
      <c r="D837" t="s">
        <v>77</v>
      </c>
      <c r="E837" t="s">
        <v>78</v>
      </c>
      <c r="F837" t="s">
        <v>92</v>
      </c>
      <c r="G837" t="s">
        <v>20</v>
      </c>
      <c r="H837" t="s">
        <v>33</v>
      </c>
      <c r="I837" t="s">
        <v>182</v>
      </c>
      <c r="J837" t="s">
        <v>40</v>
      </c>
      <c r="K837" t="s">
        <v>24</v>
      </c>
      <c r="L837">
        <v>2</v>
      </c>
      <c r="M837">
        <v>105100</v>
      </c>
      <c r="N837">
        <v>0</v>
      </c>
      <c r="O837">
        <v>75570</v>
      </c>
    </row>
    <row r="838" spans="1:15" x14ac:dyDescent="0.25">
      <c r="A838" t="s">
        <v>987</v>
      </c>
      <c r="B838">
        <v>45727</v>
      </c>
      <c r="C838" t="s">
        <v>16</v>
      </c>
      <c r="D838" t="s">
        <v>51</v>
      </c>
      <c r="E838" t="s">
        <v>26</v>
      </c>
      <c r="F838" t="s">
        <v>19</v>
      </c>
      <c r="G838" t="s">
        <v>83</v>
      </c>
      <c r="H838" t="s">
        <v>84</v>
      </c>
      <c r="I838" t="s">
        <v>292</v>
      </c>
      <c r="J838" t="s">
        <v>23</v>
      </c>
      <c r="K838" t="s">
        <v>24</v>
      </c>
      <c r="L838">
        <v>4</v>
      </c>
      <c r="M838">
        <v>40390</v>
      </c>
      <c r="N838">
        <v>0</v>
      </c>
      <c r="O838">
        <v>31750</v>
      </c>
    </row>
    <row r="839" spans="1:15" x14ac:dyDescent="0.25">
      <c r="A839" t="s">
        <v>988</v>
      </c>
      <c r="B839">
        <v>45727</v>
      </c>
      <c r="C839" t="s">
        <v>56</v>
      </c>
      <c r="D839" t="s">
        <v>143</v>
      </c>
      <c r="E839" t="s">
        <v>134</v>
      </c>
      <c r="F839" t="s">
        <v>92</v>
      </c>
      <c r="G839" t="s">
        <v>83</v>
      </c>
      <c r="H839" t="s">
        <v>84</v>
      </c>
      <c r="I839" t="s">
        <v>292</v>
      </c>
      <c r="J839" t="s">
        <v>23</v>
      </c>
      <c r="K839" t="s">
        <v>35</v>
      </c>
      <c r="L839">
        <v>5</v>
      </c>
      <c r="M839">
        <v>41330</v>
      </c>
      <c r="N839">
        <v>0</v>
      </c>
      <c r="O839">
        <v>29180</v>
      </c>
    </row>
    <row r="840" spans="1:15" x14ac:dyDescent="0.25">
      <c r="A840" t="s">
        <v>989</v>
      </c>
      <c r="B840">
        <v>45727</v>
      </c>
      <c r="C840" t="s">
        <v>37</v>
      </c>
      <c r="D840" t="s">
        <v>67</v>
      </c>
      <c r="E840" t="s">
        <v>39</v>
      </c>
      <c r="F840" t="s">
        <v>52</v>
      </c>
      <c r="G840" t="s">
        <v>20</v>
      </c>
      <c r="H840" t="s">
        <v>109</v>
      </c>
      <c r="I840" t="s">
        <v>159</v>
      </c>
      <c r="J840" t="s">
        <v>40</v>
      </c>
      <c r="K840" t="s">
        <v>24</v>
      </c>
      <c r="L840">
        <v>5</v>
      </c>
      <c r="M840">
        <v>19110</v>
      </c>
      <c r="N840">
        <v>0.15</v>
      </c>
      <c r="O840">
        <v>14950</v>
      </c>
    </row>
    <row r="841" spans="1:15" x14ac:dyDescent="0.25">
      <c r="A841" t="s">
        <v>990</v>
      </c>
      <c r="B841">
        <v>45727</v>
      </c>
      <c r="C841" t="s">
        <v>56</v>
      </c>
      <c r="D841" t="s">
        <v>103</v>
      </c>
      <c r="E841" t="s">
        <v>58</v>
      </c>
      <c r="F841" t="s">
        <v>92</v>
      </c>
      <c r="G841" t="s">
        <v>27</v>
      </c>
      <c r="H841" t="s">
        <v>79</v>
      </c>
      <c r="I841" t="s">
        <v>262</v>
      </c>
      <c r="J841" t="s">
        <v>40</v>
      </c>
      <c r="K841" t="s">
        <v>24</v>
      </c>
      <c r="L841">
        <v>38</v>
      </c>
      <c r="M841">
        <v>2660</v>
      </c>
      <c r="N841">
        <v>0</v>
      </c>
      <c r="O841">
        <v>1510</v>
      </c>
    </row>
    <row r="842" spans="1:15" x14ac:dyDescent="0.25">
      <c r="A842" t="s">
        <v>991</v>
      </c>
      <c r="B842">
        <v>45727</v>
      </c>
      <c r="C842" t="s">
        <v>76</v>
      </c>
      <c r="D842" t="s">
        <v>125</v>
      </c>
      <c r="E842" t="s">
        <v>78</v>
      </c>
      <c r="F842" t="s">
        <v>92</v>
      </c>
      <c r="G842" t="s">
        <v>46</v>
      </c>
      <c r="H842" t="s">
        <v>100</v>
      </c>
      <c r="I842" t="s">
        <v>101</v>
      </c>
      <c r="J842" t="s">
        <v>40</v>
      </c>
      <c r="K842" t="s">
        <v>24</v>
      </c>
      <c r="L842">
        <v>34</v>
      </c>
      <c r="M842">
        <v>1830</v>
      </c>
      <c r="N842">
        <v>0</v>
      </c>
      <c r="O842">
        <v>1400</v>
      </c>
    </row>
    <row r="843" spans="1:15" x14ac:dyDescent="0.25">
      <c r="A843" t="s">
        <v>992</v>
      </c>
      <c r="B843">
        <v>45728</v>
      </c>
      <c r="C843" t="s">
        <v>16</v>
      </c>
      <c r="D843" t="s">
        <v>191</v>
      </c>
      <c r="E843" t="s">
        <v>26</v>
      </c>
      <c r="F843" t="s">
        <v>92</v>
      </c>
      <c r="G843" t="s">
        <v>20</v>
      </c>
      <c r="H843" t="s">
        <v>33</v>
      </c>
      <c r="I843" t="s">
        <v>182</v>
      </c>
      <c r="J843" t="s">
        <v>49</v>
      </c>
      <c r="K843" t="s">
        <v>24</v>
      </c>
      <c r="L843">
        <v>4</v>
      </c>
      <c r="M843">
        <v>109810</v>
      </c>
      <c r="N843">
        <v>0.15</v>
      </c>
      <c r="O843">
        <v>66600</v>
      </c>
    </row>
    <row r="844" spans="1:15" x14ac:dyDescent="0.25">
      <c r="A844" t="s">
        <v>993</v>
      </c>
      <c r="B844">
        <v>45728</v>
      </c>
      <c r="C844" t="s">
        <v>56</v>
      </c>
      <c r="D844" t="s">
        <v>103</v>
      </c>
      <c r="E844" t="s">
        <v>58</v>
      </c>
      <c r="F844" t="s">
        <v>19</v>
      </c>
      <c r="G844" t="s">
        <v>59</v>
      </c>
      <c r="H844" t="s">
        <v>73</v>
      </c>
      <c r="I844" t="s">
        <v>74</v>
      </c>
      <c r="J844" t="s">
        <v>23</v>
      </c>
      <c r="K844" t="s">
        <v>119</v>
      </c>
      <c r="L844">
        <v>1</v>
      </c>
      <c r="M844">
        <v>45670</v>
      </c>
      <c r="N844">
        <v>0.25</v>
      </c>
      <c r="O844">
        <v>29670</v>
      </c>
    </row>
    <row r="845" spans="1:15" x14ac:dyDescent="0.25">
      <c r="A845" t="s">
        <v>994</v>
      </c>
      <c r="B845">
        <v>45729</v>
      </c>
      <c r="C845" t="s">
        <v>42</v>
      </c>
      <c r="D845" t="s">
        <v>130</v>
      </c>
      <c r="E845" t="s">
        <v>44</v>
      </c>
      <c r="F845" t="s">
        <v>19</v>
      </c>
      <c r="G845" t="s">
        <v>59</v>
      </c>
      <c r="H845" t="s">
        <v>60</v>
      </c>
      <c r="I845" t="s">
        <v>200</v>
      </c>
      <c r="J845" t="s">
        <v>40</v>
      </c>
      <c r="K845" t="s">
        <v>24</v>
      </c>
      <c r="L845">
        <v>9</v>
      </c>
      <c r="M845">
        <v>8190</v>
      </c>
      <c r="N845">
        <v>0.08</v>
      </c>
      <c r="O845">
        <v>6340</v>
      </c>
    </row>
    <row r="846" spans="1:15" x14ac:dyDescent="0.25">
      <c r="A846" t="s">
        <v>995</v>
      </c>
      <c r="B846">
        <v>45730</v>
      </c>
      <c r="C846" t="s">
        <v>42</v>
      </c>
      <c r="D846" t="s">
        <v>130</v>
      </c>
      <c r="E846" t="s">
        <v>44</v>
      </c>
      <c r="F846" t="s">
        <v>52</v>
      </c>
      <c r="G846" t="s">
        <v>27</v>
      </c>
      <c r="H846" t="s">
        <v>53</v>
      </c>
      <c r="I846" t="s">
        <v>54</v>
      </c>
      <c r="J846" t="s">
        <v>23</v>
      </c>
      <c r="K846" t="s">
        <v>24</v>
      </c>
      <c r="L846">
        <v>2</v>
      </c>
      <c r="M846">
        <v>41700</v>
      </c>
      <c r="N846">
        <v>0.05</v>
      </c>
      <c r="O846">
        <v>24340</v>
      </c>
    </row>
    <row r="847" spans="1:15" x14ac:dyDescent="0.25">
      <c r="A847" t="s">
        <v>996</v>
      </c>
      <c r="B847">
        <v>45730</v>
      </c>
      <c r="C847" t="s">
        <v>56</v>
      </c>
      <c r="D847" t="s">
        <v>103</v>
      </c>
      <c r="E847" t="s">
        <v>91</v>
      </c>
      <c r="F847" t="s">
        <v>45</v>
      </c>
      <c r="G847" t="s">
        <v>27</v>
      </c>
      <c r="H847" t="s">
        <v>214</v>
      </c>
      <c r="I847" t="s">
        <v>215</v>
      </c>
      <c r="J847" t="s">
        <v>40</v>
      </c>
      <c r="K847" t="s">
        <v>24</v>
      </c>
      <c r="L847">
        <v>7</v>
      </c>
      <c r="M847">
        <v>32320</v>
      </c>
      <c r="N847">
        <v>0.12</v>
      </c>
      <c r="O847">
        <v>24940</v>
      </c>
    </row>
    <row r="848" spans="1:15" x14ac:dyDescent="0.25">
      <c r="A848" t="s">
        <v>997</v>
      </c>
      <c r="B848">
        <v>45730</v>
      </c>
      <c r="C848" t="s">
        <v>16</v>
      </c>
      <c r="D848" t="s">
        <v>31</v>
      </c>
      <c r="E848" t="s">
        <v>26</v>
      </c>
      <c r="F848" t="s">
        <v>19</v>
      </c>
      <c r="G848" t="s">
        <v>59</v>
      </c>
      <c r="H848" t="s">
        <v>73</v>
      </c>
      <c r="I848" t="s">
        <v>113</v>
      </c>
      <c r="J848" t="s">
        <v>49</v>
      </c>
      <c r="K848" t="s">
        <v>94</v>
      </c>
      <c r="L848">
        <v>4</v>
      </c>
      <c r="M848">
        <v>31650</v>
      </c>
      <c r="N848">
        <v>0.1</v>
      </c>
      <c r="O848">
        <v>20460</v>
      </c>
    </row>
    <row r="849" spans="1:15" x14ac:dyDescent="0.25">
      <c r="A849" t="s">
        <v>998</v>
      </c>
      <c r="B849">
        <v>45731</v>
      </c>
      <c r="C849" t="s">
        <v>56</v>
      </c>
      <c r="D849" t="s">
        <v>72</v>
      </c>
      <c r="E849" t="s">
        <v>58</v>
      </c>
      <c r="F849" t="s">
        <v>45</v>
      </c>
      <c r="G849" t="s">
        <v>59</v>
      </c>
      <c r="H849" t="s">
        <v>154</v>
      </c>
      <c r="I849" t="s">
        <v>155</v>
      </c>
      <c r="J849" t="s">
        <v>23</v>
      </c>
      <c r="K849" t="s">
        <v>119</v>
      </c>
      <c r="L849">
        <v>1</v>
      </c>
      <c r="M849">
        <v>11510</v>
      </c>
      <c r="N849">
        <v>0.12</v>
      </c>
      <c r="O849">
        <v>6830</v>
      </c>
    </row>
    <row r="850" spans="1:15" x14ac:dyDescent="0.25">
      <c r="A850" t="s">
        <v>999</v>
      </c>
      <c r="B850">
        <v>45731</v>
      </c>
      <c r="C850" t="s">
        <v>16</v>
      </c>
      <c r="D850" t="s">
        <v>51</v>
      </c>
      <c r="E850" t="s">
        <v>26</v>
      </c>
      <c r="F850" t="s">
        <v>52</v>
      </c>
      <c r="G850" t="s">
        <v>27</v>
      </c>
      <c r="H850" t="s">
        <v>214</v>
      </c>
      <c r="I850" t="s">
        <v>215</v>
      </c>
      <c r="J850" t="s">
        <v>49</v>
      </c>
      <c r="K850" t="s">
        <v>24</v>
      </c>
      <c r="L850">
        <v>3</v>
      </c>
      <c r="M850">
        <v>35810</v>
      </c>
      <c r="N850">
        <v>0</v>
      </c>
      <c r="O850">
        <v>22820</v>
      </c>
    </row>
    <row r="851" spans="1:15" x14ac:dyDescent="0.25">
      <c r="A851" t="s">
        <v>1000</v>
      </c>
      <c r="B851">
        <v>45731</v>
      </c>
      <c r="C851" t="s">
        <v>76</v>
      </c>
      <c r="D851" t="s">
        <v>112</v>
      </c>
      <c r="E851" t="s">
        <v>170</v>
      </c>
      <c r="F851" t="s">
        <v>45</v>
      </c>
      <c r="G851" t="s">
        <v>46</v>
      </c>
      <c r="H851" t="s">
        <v>100</v>
      </c>
      <c r="I851" t="s">
        <v>101</v>
      </c>
      <c r="J851" t="s">
        <v>23</v>
      </c>
      <c r="K851" t="s">
        <v>24</v>
      </c>
      <c r="L851">
        <v>61</v>
      </c>
      <c r="M851">
        <v>1830</v>
      </c>
      <c r="N851">
        <v>0.12</v>
      </c>
      <c r="O851">
        <v>1230</v>
      </c>
    </row>
    <row r="852" spans="1:15" x14ac:dyDescent="0.25">
      <c r="A852" t="s">
        <v>1001</v>
      </c>
      <c r="B852">
        <v>45731</v>
      </c>
      <c r="C852" t="s">
        <v>56</v>
      </c>
      <c r="D852" t="s">
        <v>133</v>
      </c>
      <c r="E852" t="s">
        <v>91</v>
      </c>
      <c r="F852" t="s">
        <v>52</v>
      </c>
      <c r="G852" t="s">
        <v>20</v>
      </c>
      <c r="H852" t="s">
        <v>33</v>
      </c>
      <c r="I852" t="s">
        <v>182</v>
      </c>
      <c r="J852" t="s">
        <v>40</v>
      </c>
      <c r="K852" t="s">
        <v>119</v>
      </c>
      <c r="L852">
        <v>3</v>
      </c>
      <c r="M852">
        <v>103590</v>
      </c>
      <c r="N852">
        <v>0.12</v>
      </c>
      <c r="O852">
        <v>76070</v>
      </c>
    </row>
    <row r="853" spans="1:15" x14ac:dyDescent="0.25">
      <c r="A853" t="s">
        <v>1002</v>
      </c>
      <c r="B853">
        <v>45731</v>
      </c>
      <c r="C853" t="s">
        <v>56</v>
      </c>
      <c r="D853" t="s">
        <v>72</v>
      </c>
      <c r="E853" t="s">
        <v>58</v>
      </c>
      <c r="F853" t="s">
        <v>52</v>
      </c>
      <c r="G853" t="s">
        <v>27</v>
      </c>
      <c r="H853" t="s">
        <v>214</v>
      </c>
      <c r="I853" t="s">
        <v>215</v>
      </c>
      <c r="J853" t="s">
        <v>40</v>
      </c>
      <c r="K853" t="s">
        <v>24</v>
      </c>
      <c r="L853">
        <v>4</v>
      </c>
      <c r="M853">
        <v>34350</v>
      </c>
      <c r="N853">
        <v>0.2</v>
      </c>
      <c r="O853">
        <v>26620</v>
      </c>
    </row>
    <row r="854" spans="1:15" x14ac:dyDescent="0.25">
      <c r="A854" t="s">
        <v>1003</v>
      </c>
      <c r="B854">
        <v>45732</v>
      </c>
      <c r="C854" t="s">
        <v>16</v>
      </c>
      <c r="D854" t="s">
        <v>51</v>
      </c>
      <c r="E854" t="s">
        <v>18</v>
      </c>
      <c r="F854" t="s">
        <v>19</v>
      </c>
      <c r="G854" t="s">
        <v>59</v>
      </c>
      <c r="H854" t="s">
        <v>69</v>
      </c>
      <c r="I854" t="s">
        <v>70</v>
      </c>
      <c r="J854" t="s">
        <v>23</v>
      </c>
      <c r="K854" t="s">
        <v>24</v>
      </c>
      <c r="L854">
        <v>6</v>
      </c>
      <c r="M854">
        <v>28330</v>
      </c>
      <c r="N854">
        <v>0</v>
      </c>
      <c r="O854">
        <v>18050</v>
      </c>
    </row>
    <row r="855" spans="1:15" x14ac:dyDescent="0.25">
      <c r="A855" t="s">
        <v>1004</v>
      </c>
      <c r="B855">
        <v>45732</v>
      </c>
      <c r="C855" t="s">
        <v>56</v>
      </c>
      <c r="D855" t="s">
        <v>127</v>
      </c>
      <c r="E855" t="s">
        <v>91</v>
      </c>
      <c r="F855" t="s">
        <v>19</v>
      </c>
      <c r="G855" t="s">
        <v>59</v>
      </c>
      <c r="H855" t="s">
        <v>69</v>
      </c>
      <c r="I855" t="s">
        <v>121</v>
      </c>
      <c r="J855" t="s">
        <v>49</v>
      </c>
      <c r="K855" t="s">
        <v>24</v>
      </c>
      <c r="L855">
        <v>10</v>
      </c>
      <c r="M855">
        <v>3620</v>
      </c>
      <c r="N855">
        <v>0.05</v>
      </c>
      <c r="O855">
        <v>2680</v>
      </c>
    </row>
    <row r="856" spans="1:15" x14ac:dyDescent="0.25">
      <c r="A856" t="s">
        <v>1005</v>
      </c>
      <c r="B856">
        <v>45732</v>
      </c>
      <c r="C856" t="s">
        <v>16</v>
      </c>
      <c r="D856" t="s">
        <v>51</v>
      </c>
      <c r="E856" t="s">
        <v>26</v>
      </c>
      <c r="F856" t="s">
        <v>19</v>
      </c>
      <c r="G856" t="s">
        <v>27</v>
      </c>
      <c r="H856" t="s">
        <v>79</v>
      </c>
      <c r="I856" t="s">
        <v>168</v>
      </c>
      <c r="J856" t="s">
        <v>49</v>
      </c>
      <c r="K856" t="s">
        <v>24</v>
      </c>
      <c r="L856">
        <v>6</v>
      </c>
      <c r="M856">
        <v>10210</v>
      </c>
      <c r="N856">
        <v>0.05</v>
      </c>
      <c r="O856">
        <v>7200</v>
      </c>
    </row>
    <row r="857" spans="1:15" x14ac:dyDescent="0.25">
      <c r="A857" t="s">
        <v>1006</v>
      </c>
      <c r="B857">
        <v>45733</v>
      </c>
      <c r="C857" t="s">
        <v>76</v>
      </c>
      <c r="D857" t="s">
        <v>150</v>
      </c>
      <c r="E857" t="s">
        <v>78</v>
      </c>
      <c r="F857" t="s">
        <v>19</v>
      </c>
      <c r="G857" t="s">
        <v>20</v>
      </c>
      <c r="H857" t="s">
        <v>21</v>
      </c>
      <c r="I857" t="s">
        <v>362</v>
      </c>
      <c r="J857" t="s">
        <v>40</v>
      </c>
      <c r="K857" t="s">
        <v>24</v>
      </c>
      <c r="L857">
        <v>14</v>
      </c>
      <c r="M857">
        <v>9780</v>
      </c>
      <c r="N857">
        <v>0.1</v>
      </c>
      <c r="O857">
        <v>5990</v>
      </c>
    </row>
    <row r="858" spans="1:15" x14ac:dyDescent="0.25">
      <c r="A858" t="s">
        <v>1007</v>
      </c>
      <c r="B858">
        <v>45733</v>
      </c>
      <c r="C858" t="s">
        <v>56</v>
      </c>
      <c r="D858" t="s">
        <v>143</v>
      </c>
      <c r="E858" t="s">
        <v>58</v>
      </c>
      <c r="F858" t="s">
        <v>52</v>
      </c>
      <c r="G858" t="s">
        <v>83</v>
      </c>
      <c r="H858" t="s">
        <v>184</v>
      </c>
      <c r="I858" t="s">
        <v>196</v>
      </c>
      <c r="J858" t="s">
        <v>40</v>
      </c>
      <c r="K858" t="s">
        <v>24</v>
      </c>
      <c r="L858">
        <v>15</v>
      </c>
      <c r="M858">
        <v>3170</v>
      </c>
      <c r="N858">
        <v>0.15</v>
      </c>
      <c r="O858">
        <v>1940</v>
      </c>
    </row>
    <row r="859" spans="1:15" x14ac:dyDescent="0.25">
      <c r="A859" t="s">
        <v>1008</v>
      </c>
      <c r="B859">
        <v>45733</v>
      </c>
      <c r="C859" t="s">
        <v>56</v>
      </c>
      <c r="D859" t="s">
        <v>127</v>
      </c>
      <c r="E859" t="s">
        <v>58</v>
      </c>
      <c r="F859" t="s">
        <v>52</v>
      </c>
      <c r="G859" t="s">
        <v>20</v>
      </c>
      <c r="H859" t="s">
        <v>109</v>
      </c>
      <c r="I859" t="s">
        <v>171</v>
      </c>
      <c r="J859" t="s">
        <v>49</v>
      </c>
      <c r="K859" t="s">
        <v>24</v>
      </c>
      <c r="L859">
        <v>7</v>
      </c>
      <c r="M859">
        <v>21210</v>
      </c>
      <c r="N859">
        <v>0.12</v>
      </c>
      <c r="O859">
        <v>15900</v>
      </c>
    </row>
    <row r="860" spans="1:15" x14ac:dyDescent="0.25">
      <c r="A860" t="s">
        <v>1009</v>
      </c>
      <c r="B860">
        <v>45734</v>
      </c>
      <c r="C860" t="s">
        <v>16</v>
      </c>
      <c r="D860" t="s">
        <v>51</v>
      </c>
      <c r="E860" t="s">
        <v>32</v>
      </c>
      <c r="F860" t="s">
        <v>52</v>
      </c>
      <c r="G860" t="s">
        <v>27</v>
      </c>
      <c r="H860" t="s">
        <v>53</v>
      </c>
      <c r="I860" t="s">
        <v>131</v>
      </c>
      <c r="J860" t="s">
        <v>49</v>
      </c>
      <c r="K860" t="s">
        <v>24</v>
      </c>
      <c r="L860">
        <v>2</v>
      </c>
      <c r="M860">
        <v>38110</v>
      </c>
      <c r="N860">
        <v>0</v>
      </c>
      <c r="O860">
        <v>27060</v>
      </c>
    </row>
    <row r="861" spans="1:15" x14ac:dyDescent="0.25">
      <c r="A861" t="s">
        <v>1010</v>
      </c>
      <c r="B861">
        <v>45735</v>
      </c>
      <c r="C861" t="s">
        <v>56</v>
      </c>
      <c r="D861" t="s">
        <v>57</v>
      </c>
      <c r="E861" t="s">
        <v>134</v>
      </c>
      <c r="F861" t="s">
        <v>92</v>
      </c>
      <c r="G861" t="s">
        <v>20</v>
      </c>
      <c r="H861" t="s">
        <v>33</v>
      </c>
      <c r="I861" t="s">
        <v>34</v>
      </c>
      <c r="J861" t="s">
        <v>40</v>
      </c>
      <c r="K861" t="s">
        <v>24</v>
      </c>
      <c r="L861">
        <v>8</v>
      </c>
      <c r="M861">
        <v>56140</v>
      </c>
      <c r="N861">
        <v>0</v>
      </c>
      <c r="O861">
        <v>40530</v>
      </c>
    </row>
    <row r="862" spans="1:15" x14ac:dyDescent="0.25">
      <c r="A862" t="s">
        <v>1011</v>
      </c>
      <c r="B862">
        <v>45736</v>
      </c>
      <c r="C862" t="s">
        <v>16</v>
      </c>
      <c r="D862" t="s">
        <v>191</v>
      </c>
      <c r="E862" t="s">
        <v>26</v>
      </c>
      <c r="F862" t="s">
        <v>19</v>
      </c>
      <c r="G862" t="s">
        <v>46</v>
      </c>
      <c r="H862" t="s">
        <v>100</v>
      </c>
      <c r="I862" t="s">
        <v>101</v>
      </c>
      <c r="J862" t="s">
        <v>23</v>
      </c>
      <c r="K862" t="s">
        <v>24</v>
      </c>
      <c r="L862">
        <v>40</v>
      </c>
      <c r="M862">
        <v>1900</v>
      </c>
      <c r="N862">
        <v>0.08</v>
      </c>
      <c r="O862">
        <v>1230</v>
      </c>
    </row>
    <row r="863" spans="1:15" x14ac:dyDescent="0.25">
      <c r="A863" t="s">
        <v>1012</v>
      </c>
      <c r="B863">
        <v>45736</v>
      </c>
      <c r="C863" t="s">
        <v>16</v>
      </c>
      <c r="D863" t="s">
        <v>31</v>
      </c>
      <c r="E863" t="s">
        <v>18</v>
      </c>
      <c r="F863" t="s">
        <v>19</v>
      </c>
      <c r="G863" t="s">
        <v>27</v>
      </c>
      <c r="H863" t="s">
        <v>53</v>
      </c>
      <c r="I863" t="s">
        <v>131</v>
      </c>
      <c r="J863" t="s">
        <v>23</v>
      </c>
      <c r="K863" t="s">
        <v>119</v>
      </c>
      <c r="L863">
        <v>3</v>
      </c>
      <c r="M863">
        <v>34390</v>
      </c>
      <c r="N863">
        <v>0.08</v>
      </c>
      <c r="O863">
        <v>26280</v>
      </c>
    </row>
    <row r="864" spans="1:15" x14ac:dyDescent="0.25">
      <c r="A864" t="s">
        <v>1013</v>
      </c>
      <c r="B864">
        <v>45737</v>
      </c>
      <c r="C864" t="s">
        <v>76</v>
      </c>
      <c r="D864" t="s">
        <v>99</v>
      </c>
      <c r="E864" t="s">
        <v>78</v>
      </c>
      <c r="F864" t="s">
        <v>92</v>
      </c>
      <c r="G864" t="s">
        <v>59</v>
      </c>
      <c r="H864" t="s">
        <v>69</v>
      </c>
      <c r="I864" t="s">
        <v>70</v>
      </c>
      <c r="J864" t="s">
        <v>40</v>
      </c>
      <c r="K864" t="s">
        <v>24</v>
      </c>
      <c r="L864">
        <v>10</v>
      </c>
      <c r="M864">
        <v>27520</v>
      </c>
      <c r="N864">
        <v>0.12</v>
      </c>
      <c r="O864">
        <v>18400</v>
      </c>
    </row>
    <row r="865" spans="1:15" x14ac:dyDescent="0.25">
      <c r="A865" t="s">
        <v>1014</v>
      </c>
      <c r="B865">
        <v>45739</v>
      </c>
      <c r="C865" t="s">
        <v>16</v>
      </c>
      <c r="D865" t="s">
        <v>31</v>
      </c>
      <c r="E865" t="s">
        <v>32</v>
      </c>
      <c r="F865" t="s">
        <v>92</v>
      </c>
      <c r="G865" t="s">
        <v>59</v>
      </c>
      <c r="H865" t="s">
        <v>73</v>
      </c>
      <c r="I865" t="s">
        <v>113</v>
      </c>
      <c r="J865" t="s">
        <v>40</v>
      </c>
      <c r="K865" t="s">
        <v>24</v>
      </c>
      <c r="L865">
        <v>2</v>
      </c>
      <c r="M865">
        <v>33720</v>
      </c>
      <c r="N865">
        <v>0</v>
      </c>
      <c r="O865">
        <v>25040</v>
      </c>
    </row>
    <row r="866" spans="1:15" x14ac:dyDescent="0.25">
      <c r="A866" t="s">
        <v>1015</v>
      </c>
      <c r="B866">
        <v>45739</v>
      </c>
      <c r="C866" t="s">
        <v>56</v>
      </c>
      <c r="D866" t="s">
        <v>57</v>
      </c>
      <c r="E866" t="s">
        <v>134</v>
      </c>
      <c r="F866" t="s">
        <v>19</v>
      </c>
      <c r="G866" t="s">
        <v>83</v>
      </c>
      <c r="H866" t="s">
        <v>84</v>
      </c>
      <c r="I866" t="s">
        <v>85</v>
      </c>
      <c r="J866" t="s">
        <v>23</v>
      </c>
      <c r="K866" t="s">
        <v>94</v>
      </c>
      <c r="L866">
        <v>14</v>
      </c>
      <c r="M866">
        <v>2430</v>
      </c>
      <c r="N866">
        <v>0.15</v>
      </c>
      <c r="O866">
        <v>1820</v>
      </c>
    </row>
    <row r="867" spans="1:15" x14ac:dyDescent="0.25">
      <c r="A867" t="s">
        <v>1016</v>
      </c>
      <c r="B867">
        <v>45740</v>
      </c>
      <c r="C867" t="s">
        <v>16</v>
      </c>
      <c r="D867" t="s">
        <v>82</v>
      </c>
      <c r="E867" t="s">
        <v>32</v>
      </c>
      <c r="F867" t="s">
        <v>19</v>
      </c>
      <c r="G867" t="s">
        <v>20</v>
      </c>
      <c r="H867" t="s">
        <v>33</v>
      </c>
      <c r="I867" t="s">
        <v>34</v>
      </c>
      <c r="J867" t="s">
        <v>40</v>
      </c>
      <c r="K867" t="s">
        <v>24</v>
      </c>
      <c r="L867">
        <v>4</v>
      </c>
      <c r="M867">
        <v>54320</v>
      </c>
      <c r="N867">
        <v>0.08</v>
      </c>
      <c r="O867">
        <v>34980</v>
      </c>
    </row>
    <row r="868" spans="1:15" x14ac:dyDescent="0.25">
      <c r="A868" t="s">
        <v>1017</v>
      </c>
      <c r="B868">
        <v>45740</v>
      </c>
      <c r="C868" t="s">
        <v>42</v>
      </c>
      <c r="D868" t="s">
        <v>43</v>
      </c>
      <c r="E868" t="s">
        <v>64</v>
      </c>
      <c r="F868" t="s">
        <v>45</v>
      </c>
      <c r="G868" t="s">
        <v>27</v>
      </c>
      <c r="H868" t="s">
        <v>28</v>
      </c>
      <c r="I868" t="s">
        <v>29</v>
      </c>
      <c r="J868" t="s">
        <v>40</v>
      </c>
      <c r="K868" t="s">
        <v>24</v>
      </c>
      <c r="L868">
        <v>5</v>
      </c>
      <c r="M868">
        <v>27140</v>
      </c>
      <c r="N868">
        <v>0.05</v>
      </c>
      <c r="O868">
        <v>17940</v>
      </c>
    </row>
    <row r="869" spans="1:15" x14ac:dyDescent="0.25">
      <c r="A869" t="s">
        <v>1018</v>
      </c>
      <c r="B869">
        <v>45741</v>
      </c>
      <c r="C869" t="s">
        <v>42</v>
      </c>
      <c r="D869" t="s">
        <v>130</v>
      </c>
      <c r="E869" t="s">
        <v>44</v>
      </c>
      <c r="F869" t="s">
        <v>45</v>
      </c>
      <c r="G869" t="s">
        <v>46</v>
      </c>
      <c r="H869" t="s">
        <v>179</v>
      </c>
      <c r="I869" t="s">
        <v>236</v>
      </c>
      <c r="J869" t="s">
        <v>40</v>
      </c>
      <c r="K869" t="s">
        <v>24</v>
      </c>
      <c r="L869">
        <v>38</v>
      </c>
      <c r="M869">
        <v>2300</v>
      </c>
      <c r="N869">
        <v>0.15</v>
      </c>
      <c r="O869">
        <v>1320</v>
      </c>
    </row>
    <row r="870" spans="1:15" x14ac:dyDescent="0.25">
      <c r="A870" t="s">
        <v>1019</v>
      </c>
      <c r="B870">
        <v>45741</v>
      </c>
      <c r="C870" t="s">
        <v>56</v>
      </c>
      <c r="D870" t="s">
        <v>133</v>
      </c>
      <c r="E870" t="s">
        <v>134</v>
      </c>
      <c r="F870" t="s">
        <v>45</v>
      </c>
      <c r="G870" t="s">
        <v>27</v>
      </c>
      <c r="H870" t="s">
        <v>79</v>
      </c>
      <c r="I870" t="s">
        <v>262</v>
      </c>
      <c r="J870" t="s">
        <v>49</v>
      </c>
      <c r="K870" t="s">
        <v>24</v>
      </c>
      <c r="L870">
        <v>7</v>
      </c>
      <c r="M870">
        <v>2510</v>
      </c>
      <c r="N870">
        <v>0.2</v>
      </c>
      <c r="O870">
        <v>1410</v>
      </c>
    </row>
    <row r="871" spans="1:15" x14ac:dyDescent="0.25">
      <c r="A871" t="s">
        <v>1020</v>
      </c>
      <c r="B871">
        <v>45742</v>
      </c>
      <c r="C871" t="s">
        <v>16</v>
      </c>
      <c r="D871" t="s">
        <v>31</v>
      </c>
      <c r="E871" t="s">
        <v>32</v>
      </c>
      <c r="F871" t="s">
        <v>19</v>
      </c>
      <c r="G871" t="s">
        <v>20</v>
      </c>
      <c r="H871" t="s">
        <v>21</v>
      </c>
      <c r="I871" t="s">
        <v>22</v>
      </c>
      <c r="J871" t="s">
        <v>23</v>
      </c>
      <c r="K871" t="s">
        <v>24</v>
      </c>
      <c r="L871">
        <v>18</v>
      </c>
      <c r="M871">
        <v>1790</v>
      </c>
      <c r="N871">
        <v>0.15</v>
      </c>
      <c r="O871">
        <v>1400</v>
      </c>
    </row>
    <row r="872" spans="1:15" x14ac:dyDescent="0.25">
      <c r="A872" t="s">
        <v>1021</v>
      </c>
      <c r="B872">
        <v>45742</v>
      </c>
      <c r="C872" t="s">
        <v>76</v>
      </c>
      <c r="D872" t="s">
        <v>150</v>
      </c>
      <c r="E872" t="s">
        <v>78</v>
      </c>
      <c r="F872" t="s">
        <v>19</v>
      </c>
      <c r="G872" t="s">
        <v>59</v>
      </c>
      <c r="H872" t="s">
        <v>154</v>
      </c>
      <c r="I872" t="s">
        <v>249</v>
      </c>
      <c r="J872" t="s">
        <v>40</v>
      </c>
      <c r="K872" t="s">
        <v>24</v>
      </c>
      <c r="L872">
        <v>4</v>
      </c>
      <c r="M872">
        <v>6770</v>
      </c>
      <c r="N872">
        <v>0.2</v>
      </c>
      <c r="O872">
        <v>4340</v>
      </c>
    </row>
    <row r="873" spans="1:15" x14ac:dyDescent="0.25">
      <c r="A873" t="s">
        <v>1022</v>
      </c>
      <c r="B873">
        <v>45742</v>
      </c>
      <c r="C873" t="s">
        <v>42</v>
      </c>
      <c r="D873" t="s">
        <v>130</v>
      </c>
      <c r="E873" t="s">
        <v>64</v>
      </c>
      <c r="F873" t="s">
        <v>19</v>
      </c>
      <c r="G873" t="s">
        <v>46</v>
      </c>
      <c r="H873" t="s">
        <v>179</v>
      </c>
      <c r="I873" t="s">
        <v>221</v>
      </c>
      <c r="J873" t="s">
        <v>23</v>
      </c>
      <c r="K873" t="s">
        <v>119</v>
      </c>
      <c r="L873">
        <v>16</v>
      </c>
      <c r="M873">
        <v>1640</v>
      </c>
      <c r="N873">
        <v>0.08</v>
      </c>
      <c r="O873">
        <v>970</v>
      </c>
    </row>
    <row r="874" spans="1:15" x14ac:dyDescent="0.25">
      <c r="A874" t="s">
        <v>1023</v>
      </c>
      <c r="B874">
        <v>45743</v>
      </c>
      <c r="C874" t="s">
        <v>16</v>
      </c>
      <c r="D874" t="s">
        <v>153</v>
      </c>
      <c r="E874" t="s">
        <v>18</v>
      </c>
      <c r="F874" t="s">
        <v>92</v>
      </c>
      <c r="G874" t="s">
        <v>59</v>
      </c>
      <c r="H874" t="s">
        <v>69</v>
      </c>
      <c r="I874" t="s">
        <v>121</v>
      </c>
      <c r="J874" t="s">
        <v>23</v>
      </c>
      <c r="K874" t="s">
        <v>24</v>
      </c>
      <c r="L874">
        <v>16</v>
      </c>
      <c r="M874">
        <v>3440</v>
      </c>
      <c r="N874">
        <v>0.15</v>
      </c>
      <c r="O874">
        <v>2680</v>
      </c>
    </row>
    <row r="875" spans="1:15" x14ac:dyDescent="0.25">
      <c r="A875" t="s">
        <v>1024</v>
      </c>
      <c r="B875">
        <v>45743</v>
      </c>
      <c r="C875" t="s">
        <v>56</v>
      </c>
      <c r="D875" t="s">
        <v>72</v>
      </c>
      <c r="E875" t="s">
        <v>134</v>
      </c>
      <c r="F875" t="s">
        <v>52</v>
      </c>
      <c r="G875" t="s">
        <v>46</v>
      </c>
      <c r="H875" t="s">
        <v>47</v>
      </c>
      <c r="I875" t="s">
        <v>48</v>
      </c>
      <c r="J875" t="s">
        <v>49</v>
      </c>
      <c r="K875" t="s">
        <v>24</v>
      </c>
      <c r="L875">
        <v>28</v>
      </c>
      <c r="M875">
        <v>1720</v>
      </c>
      <c r="N875">
        <v>0.1</v>
      </c>
      <c r="O875">
        <v>1080</v>
      </c>
    </row>
    <row r="876" spans="1:15" x14ac:dyDescent="0.25">
      <c r="A876" t="s">
        <v>1025</v>
      </c>
      <c r="B876">
        <v>45743</v>
      </c>
      <c r="C876" t="s">
        <v>16</v>
      </c>
      <c r="D876" t="s">
        <v>191</v>
      </c>
      <c r="E876" t="s">
        <v>26</v>
      </c>
      <c r="F876" t="s">
        <v>52</v>
      </c>
      <c r="G876" t="s">
        <v>59</v>
      </c>
      <c r="H876" t="s">
        <v>73</v>
      </c>
      <c r="I876" t="s">
        <v>74</v>
      </c>
      <c r="J876" t="s">
        <v>23</v>
      </c>
      <c r="K876" t="s">
        <v>24</v>
      </c>
      <c r="L876">
        <v>4</v>
      </c>
      <c r="M876">
        <v>44020</v>
      </c>
      <c r="N876">
        <v>0</v>
      </c>
      <c r="O876">
        <v>28190</v>
      </c>
    </row>
    <row r="877" spans="1:15" x14ac:dyDescent="0.25">
      <c r="A877" t="s">
        <v>1026</v>
      </c>
      <c r="B877">
        <v>45743</v>
      </c>
      <c r="C877" t="s">
        <v>56</v>
      </c>
      <c r="D877" t="s">
        <v>127</v>
      </c>
      <c r="E877" t="s">
        <v>91</v>
      </c>
      <c r="F877" t="s">
        <v>92</v>
      </c>
      <c r="G877" t="s">
        <v>59</v>
      </c>
      <c r="H877" t="s">
        <v>69</v>
      </c>
      <c r="I877" t="s">
        <v>121</v>
      </c>
      <c r="J877" t="s">
        <v>40</v>
      </c>
      <c r="K877" t="s">
        <v>24</v>
      </c>
      <c r="L877">
        <v>6</v>
      </c>
      <c r="M877">
        <v>3410</v>
      </c>
      <c r="N877">
        <v>0.25</v>
      </c>
      <c r="O877">
        <v>2260</v>
      </c>
    </row>
    <row r="878" spans="1:15" x14ac:dyDescent="0.25">
      <c r="A878" t="s">
        <v>1027</v>
      </c>
      <c r="B878">
        <v>45744</v>
      </c>
      <c r="C878" t="s">
        <v>16</v>
      </c>
      <c r="D878" t="s">
        <v>31</v>
      </c>
      <c r="E878" t="s">
        <v>18</v>
      </c>
      <c r="F878" t="s">
        <v>52</v>
      </c>
      <c r="G878" t="s">
        <v>27</v>
      </c>
      <c r="H878" t="s">
        <v>28</v>
      </c>
      <c r="I878" t="s">
        <v>29</v>
      </c>
      <c r="J878" t="s">
        <v>49</v>
      </c>
      <c r="K878" t="s">
        <v>24</v>
      </c>
      <c r="L878">
        <v>6</v>
      </c>
      <c r="M878">
        <v>28070</v>
      </c>
      <c r="N878">
        <v>0.2</v>
      </c>
      <c r="O878">
        <v>22020</v>
      </c>
    </row>
    <row r="879" spans="1:15" x14ac:dyDescent="0.25">
      <c r="A879" t="s">
        <v>1028</v>
      </c>
      <c r="B879">
        <v>45744</v>
      </c>
      <c r="C879" t="s">
        <v>42</v>
      </c>
      <c r="D879" t="s">
        <v>265</v>
      </c>
      <c r="E879" t="s">
        <v>97</v>
      </c>
      <c r="F879" t="s">
        <v>52</v>
      </c>
      <c r="G879" t="s">
        <v>20</v>
      </c>
      <c r="H879" t="s">
        <v>109</v>
      </c>
      <c r="I879" t="s">
        <v>171</v>
      </c>
      <c r="J879" t="s">
        <v>23</v>
      </c>
      <c r="K879" t="s">
        <v>24</v>
      </c>
      <c r="L879">
        <v>4</v>
      </c>
      <c r="M879">
        <v>22280</v>
      </c>
      <c r="N879">
        <v>0.08</v>
      </c>
      <c r="O879">
        <v>16620</v>
      </c>
    </row>
    <row r="880" spans="1:15" x14ac:dyDescent="0.25">
      <c r="A880" t="s">
        <v>1029</v>
      </c>
      <c r="B880">
        <v>45745</v>
      </c>
      <c r="C880" t="s">
        <v>56</v>
      </c>
      <c r="D880" t="s">
        <v>103</v>
      </c>
      <c r="E880" t="s">
        <v>91</v>
      </c>
      <c r="F880" t="s">
        <v>19</v>
      </c>
      <c r="G880" t="s">
        <v>27</v>
      </c>
      <c r="H880" t="s">
        <v>28</v>
      </c>
      <c r="I880" t="s">
        <v>29</v>
      </c>
      <c r="J880" t="s">
        <v>23</v>
      </c>
      <c r="K880" t="s">
        <v>24</v>
      </c>
      <c r="L880">
        <v>3</v>
      </c>
      <c r="M880">
        <v>30130</v>
      </c>
      <c r="N880">
        <v>0</v>
      </c>
      <c r="O880">
        <v>17810</v>
      </c>
    </row>
    <row r="881" spans="1:15" x14ac:dyDescent="0.25">
      <c r="A881" t="s">
        <v>1030</v>
      </c>
      <c r="B881">
        <v>45745</v>
      </c>
      <c r="C881" t="s">
        <v>37</v>
      </c>
      <c r="D881" t="s">
        <v>213</v>
      </c>
      <c r="E881" t="s">
        <v>39</v>
      </c>
      <c r="F881" t="s">
        <v>92</v>
      </c>
      <c r="G881" t="s">
        <v>20</v>
      </c>
      <c r="H881" t="s">
        <v>109</v>
      </c>
      <c r="I881" t="s">
        <v>159</v>
      </c>
      <c r="J881" t="s">
        <v>49</v>
      </c>
      <c r="K881" t="s">
        <v>24</v>
      </c>
      <c r="L881">
        <v>3</v>
      </c>
      <c r="M881">
        <v>19230</v>
      </c>
      <c r="N881">
        <v>0.1</v>
      </c>
      <c r="O881">
        <v>11120</v>
      </c>
    </row>
    <row r="882" spans="1:15" x14ac:dyDescent="0.25">
      <c r="A882" t="s">
        <v>1031</v>
      </c>
      <c r="B882">
        <v>45745</v>
      </c>
      <c r="C882" t="s">
        <v>56</v>
      </c>
      <c r="D882" t="s">
        <v>72</v>
      </c>
      <c r="E882" t="s">
        <v>58</v>
      </c>
      <c r="F882" t="s">
        <v>19</v>
      </c>
      <c r="G882" t="s">
        <v>20</v>
      </c>
      <c r="H882" t="s">
        <v>33</v>
      </c>
      <c r="I882" t="s">
        <v>34</v>
      </c>
      <c r="J882" t="s">
        <v>23</v>
      </c>
      <c r="K882" t="s">
        <v>119</v>
      </c>
      <c r="L882">
        <v>3</v>
      </c>
      <c r="M882">
        <v>59050</v>
      </c>
      <c r="N882">
        <v>0</v>
      </c>
      <c r="O882">
        <v>39820</v>
      </c>
    </row>
    <row r="883" spans="1:15" x14ac:dyDescent="0.25">
      <c r="A883" t="s">
        <v>1032</v>
      </c>
      <c r="B883">
        <v>45746</v>
      </c>
      <c r="C883" t="s">
        <v>16</v>
      </c>
      <c r="D883" t="s">
        <v>17</v>
      </c>
      <c r="E883" t="s">
        <v>32</v>
      </c>
      <c r="F883" t="s">
        <v>19</v>
      </c>
      <c r="G883" t="s">
        <v>83</v>
      </c>
      <c r="H883" t="s">
        <v>84</v>
      </c>
      <c r="I883" t="s">
        <v>292</v>
      </c>
      <c r="J883" t="s">
        <v>23</v>
      </c>
      <c r="K883" t="s">
        <v>24</v>
      </c>
      <c r="L883">
        <v>3</v>
      </c>
      <c r="M883">
        <v>40960</v>
      </c>
      <c r="N883">
        <v>0.15</v>
      </c>
      <c r="O883">
        <v>28520</v>
      </c>
    </row>
    <row r="884" spans="1:15" x14ac:dyDescent="0.25">
      <c r="A884" t="s">
        <v>1033</v>
      </c>
      <c r="B884">
        <v>45747</v>
      </c>
      <c r="C884" t="s">
        <v>76</v>
      </c>
      <c r="D884" t="s">
        <v>150</v>
      </c>
      <c r="E884" t="s">
        <v>170</v>
      </c>
      <c r="F884" t="s">
        <v>92</v>
      </c>
      <c r="G884" t="s">
        <v>27</v>
      </c>
      <c r="H884" t="s">
        <v>214</v>
      </c>
      <c r="I884" t="s">
        <v>252</v>
      </c>
      <c r="J884" t="s">
        <v>40</v>
      </c>
      <c r="K884" t="s">
        <v>24</v>
      </c>
      <c r="L884">
        <v>4</v>
      </c>
      <c r="M884">
        <v>13590</v>
      </c>
      <c r="N884">
        <v>0</v>
      </c>
      <c r="O884">
        <v>10290</v>
      </c>
    </row>
    <row r="885" spans="1:15" x14ac:dyDescent="0.25">
      <c r="A885" t="s">
        <v>1034</v>
      </c>
      <c r="B885">
        <v>45747</v>
      </c>
      <c r="C885" t="s">
        <v>42</v>
      </c>
      <c r="D885" t="s">
        <v>265</v>
      </c>
      <c r="E885" t="s">
        <v>64</v>
      </c>
      <c r="F885" t="s">
        <v>19</v>
      </c>
      <c r="G885" t="s">
        <v>20</v>
      </c>
      <c r="H885" t="s">
        <v>33</v>
      </c>
      <c r="I885" t="s">
        <v>34</v>
      </c>
      <c r="J885" t="s">
        <v>23</v>
      </c>
      <c r="K885" t="s">
        <v>24</v>
      </c>
      <c r="L885">
        <v>2</v>
      </c>
      <c r="M885">
        <v>52280</v>
      </c>
      <c r="N885">
        <v>0.1</v>
      </c>
      <c r="O885">
        <v>38630</v>
      </c>
    </row>
    <row r="886" spans="1:15" x14ac:dyDescent="0.25">
      <c r="A886" t="s">
        <v>1035</v>
      </c>
      <c r="B886">
        <v>45747</v>
      </c>
      <c r="C886" t="s">
        <v>42</v>
      </c>
      <c r="D886" t="s">
        <v>130</v>
      </c>
      <c r="E886" t="s">
        <v>97</v>
      </c>
      <c r="F886" t="s">
        <v>19</v>
      </c>
      <c r="G886" t="s">
        <v>46</v>
      </c>
      <c r="H886" t="s">
        <v>100</v>
      </c>
      <c r="I886" t="s">
        <v>177</v>
      </c>
      <c r="J886" t="s">
        <v>49</v>
      </c>
      <c r="K886" t="s">
        <v>24</v>
      </c>
      <c r="L886">
        <v>40</v>
      </c>
      <c r="M886">
        <v>2510</v>
      </c>
      <c r="N886">
        <v>0.1</v>
      </c>
      <c r="O886">
        <v>1550</v>
      </c>
    </row>
    <row r="887" spans="1:15" x14ac:dyDescent="0.25">
      <c r="A887" t="s">
        <v>1036</v>
      </c>
      <c r="B887">
        <v>45747</v>
      </c>
      <c r="C887" t="s">
        <v>16</v>
      </c>
      <c r="D887" t="s">
        <v>51</v>
      </c>
      <c r="E887" t="s">
        <v>26</v>
      </c>
      <c r="F887" t="s">
        <v>19</v>
      </c>
      <c r="G887" t="s">
        <v>20</v>
      </c>
      <c r="H887" t="s">
        <v>109</v>
      </c>
      <c r="I887" t="s">
        <v>159</v>
      </c>
      <c r="J887" t="s">
        <v>49</v>
      </c>
      <c r="K887" t="s">
        <v>24</v>
      </c>
      <c r="L887">
        <v>4</v>
      </c>
      <c r="M887">
        <v>18750</v>
      </c>
      <c r="N887">
        <v>0.05</v>
      </c>
      <c r="O887">
        <v>11940</v>
      </c>
    </row>
    <row r="888" spans="1:15" x14ac:dyDescent="0.25">
      <c r="A888" t="s">
        <v>1037</v>
      </c>
      <c r="B888">
        <v>45747</v>
      </c>
      <c r="C888" t="s">
        <v>42</v>
      </c>
      <c r="D888" t="s">
        <v>265</v>
      </c>
      <c r="E888" t="s">
        <v>44</v>
      </c>
      <c r="F888" t="s">
        <v>19</v>
      </c>
      <c r="G888" t="s">
        <v>83</v>
      </c>
      <c r="H888" t="s">
        <v>184</v>
      </c>
      <c r="I888" t="s">
        <v>196</v>
      </c>
      <c r="J888" t="s">
        <v>40</v>
      </c>
      <c r="K888" t="s">
        <v>24</v>
      </c>
      <c r="L888">
        <v>13</v>
      </c>
      <c r="M888">
        <v>3290</v>
      </c>
      <c r="N888">
        <v>0.1</v>
      </c>
      <c r="O888">
        <v>2600</v>
      </c>
    </row>
    <row r="889" spans="1:15" x14ac:dyDescent="0.25">
      <c r="A889" t="s">
        <v>1038</v>
      </c>
      <c r="B889">
        <v>45748</v>
      </c>
      <c r="C889" t="s">
        <v>42</v>
      </c>
      <c r="D889" t="s">
        <v>123</v>
      </c>
      <c r="E889" t="s">
        <v>64</v>
      </c>
      <c r="F889" t="s">
        <v>19</v>
      </c>
      <c r="G889" t="s">
        <v>46</v>
      </c>
      <c r="H889" t="s">
        <v>47</v>
      </c>
      <c r="I889" t="s">
        <v>93</v>
      </c>
      <c r="J889" t="s">
        <v>40</v>
      </c>
      <c r="K889" t="s">
        <v>94</v>
      </c>
      <c r="L889">
        <v>3</v>
      </c>
      <c r="M889">
        <v>1170</v>
      </c>
      <c r="N889">
        <v>0</v>
      </c>
      <c r="O889">
        <v>760</v>
      </c>
    </row>
    <row r="890" spans="1:15" x14ac:dyDescent="0.25">
      <c r="A890" t="s">
        <v>1039</v>
      </c>
      <c r="B890">
        <v>45749</v>
      </c>
      <c r="C890" t="s">
        <v>76</v>
      </c>
      <c r="D890" t="s">
        <v>112</v>
      </c>
      <c r="E890" t="s">
        <v>78</v>
      </c>
      <c r="F890" t="s">
        <v>92</v>
      </c>
      <c r="G890" t="s">
        <v>83</v>
      </c>
      <c r="H890" t="s">
        <v>184</v>
      </c>
      <c r="I890" t="s">
        <v>196</v>
      </c>
      <c r="J890" t="s">
        <v>23</v>
      </c>
      <c r="K890" t="s">
        <v>24</v>
      </c>
      <c r="L890">
        <v>14</v>
      </c>
      <c r="M890">
        <v>3060</v>
      </c>
      <c r="N890">
        <v>0</v>
      </c>
      <c r="O890">
        <v>1930</v>
      </c>
    </row>
    <row r="891" spans="1:15" x14ac:dyDescent="0.25">
      <c r="A891" t="s">
        <v>1040</v>
      </c>
      <c r="B891">
        <v>45749</v>
      </c>
      <c r="C891" t="s">
        <v>37</v>
      </c>
      <c r="D891" t="s">
        <v>38</v>
      </c>
      <c r="E891" t="s">
        <v>68</v>
      </c>
      <c r="F891" t="s">
        <v>92</v>
      </c>
      <c r="G891" t="s">
        <v>20</v>
      </c>
      <c r="H891" t="s">
        <v>87</v>
      </c>
      <c r="I891" t="s">
        <v>88</v>
      </c>
      <c r="J891" t="s">
        <v>40</v>
      </c>
      <c r="K891" t="s">
        <v>24</v>
      </c>
      <c r="L891">
        <v>4</v>
      </c>
      <c r="M891">
        <v>33140</v>
      </c>
      <c r="N891">
        <v>0.05</v>
      </c>
      <c r="O891">
        <v>21280</v>
      </c>
    </row>
    <row r="892" spans="1:15" x14ac:dyDescent="0.25">
      <c r="A892" t="s">
        <v>1041</v>
      </c>
      <c r="B892">
        <v>45749</v>
      </c>
      <c r="C892" t="s">
        <v>76</v>
      </c>
      <c r="D892" t="s">
        <v>112</v>
      </c>
      <c r="E892" t="s">
        <v>78</v>
      </c>
      <c r="F892" t="s">
        <v>19</v>
      </c>
      <c r="G892" t="s">
        <v>20</v>
      </c>
      <c r="H892" t="s">
        <v>21</v>
      </c>
      <c r="I892" t="s">
        <v>65</v>
      </c>
      <c r="J892" t="s">
        <v>23</v>
      </c>
      <c r="K892" t="s">
        <v>119</v>
      </c>
      <c r="L892">
        <v>12</v>
      </c>
      <c r="M892">
        <v>8990</v>
      </c>
      <c r="N892">
        <v>0.05</v>
      </c>
      <c r="O892">
        <v>5830</v>
      </c>
    </row>
    <row r="893" spans="1:15" x14ac:dyDescent="0.25">
      <c r="A893" t="s">
        <v>1042</v>
      </c>
      <c r="B893">
        <v>45749</v>
      </c>
      <c r="C893" t="s">
        <v>56</v>
      </c>
      <c r="D893" t="s">
        <v>103</v>
      </c>
      <c r="E893" t="s">
        <v>134</v>
      </c>
      <c r="F893" t="s">
        <v>92</v>
      </c>
      <c r="G893" t="s">
        <v>27</v>
      </c>
      <c r="H893" t="s">
        <v>214</v>
      </c>
      <c r="I893" t="s">
        <v>252</v>
      </c>
      <c r="J893" t="s">
        <v>23</v>
      </c>
      <c r="K893" t="s">
        <v>24</v>
      </c>
      <c r="L893">
        <v>10</v>
      </c>
      <c r="M893">
        <v>13370</v>
      </c>
      <c r="N893">
        <v>0.18</v>
      </c>
      <c r="O893">
        <v>8740</v>
      </c>
    </row>
    <row r="894" spans="1:15" x14ac:dyDescent="0.25">
      <c r="A894" t="s">
        <v>1043</v>
      </c>
      <c r="B894">
        <v>45749</v>
      </c>
      <c r="C894" t="s">
        <v>56</v>
      </c>
      <c r="D894" t="s">
        <v>143</v>
      </c>
      <c r="E894" t="s">
        <v>58</v>
      </c>
      <c r="F894" t="s">
        <v>19</v>
      </c>
      <c r="G894" t="s">
        <v>20</v>
      </c>
      <c r="H894" t="s">
        <v>109</v>
      </c>
      <c r="I894" t="s">
        <v>110</v>
      </c>
      <c r="J894" t="s">
        <v>40</v>
      </c>
      <c r="K894" t="s">
        <v>24</v>
      </c>
      <c r="L894">
        <v>1</v>
      </c>
      <c r="M894">
        <v>67320</v>
      </c>
      <c r="N894">
        <v>0.15</v>
      </c>
      <c r="O894">
        <v>40340</v>
      </c>
    </row>
    <row r="895" spans="1:15" x14ac:dyDescent="0.25">
      <c r="A895" t="s">
        <v>1044</v>
      </c>
      <c r="B895">
        <v>45750</v>
      </c>
      <c r="C895" t="s">
        <v>56</v>
      </c>
      <c r="D895" t="s">
        <v>133</v>
      </c>
      <c r="E895" t="s">
        <v>58</v>
      </c>
      <c r="F895" t="s">
        <v>19</v>
      </c>
      <c r="G895" t="s">
        <v>83</v>
      </c>
      <c r="H895" t="s">
        <v>136</v>
      </c>
      <c r="I895" t="s">
        <v>137</v>
      </c>
      <c r="J895" t="s">
        <v>49</v>
      </c>
      <c r="K895" t="s">
        <v>24</v>
      </c>
      <c r="L895">
        <v>40</v>
      </c>
      <c r="M895">
        <v>1720</v>
      </c>
      <c r="N895">
        <v>0.1</v>
      </c>
      <c r="O895">
        <v>1060</v>
      </c>
    </row>
    <row r="896" spans="1:15" x14ac:dyDescent="0.25">
      <c r="A896" t="s">
        <v>1045</v>
      </c>
      <c r="B896">
        <v>45751</v>
      </c>
      <c r="C896" t="s">
        <v>56</v>
      </c>
      <c r="D896" t="s">
        <v>103</v>
      </c>
      <c r="E896" t="s">
        <v>91</v>
      </c>
      <c r="F896" t="s">
        <v>92</v>
      </c>
      <c r="G896" t="s">
        <v>27</v>
      </c>
      <c r="H896" t="s">
        <v>53</v>
      </c>
      <c r="I896" t="s">
        <v>54</v>
      </c>
      <c r="J896" t="s">
        <v>23</v>
      </c>
      <c r="K896" t="s">
        <v>24</v>
      </c>
      <c r="L896">
        <v>2</v>
      </c>
      <c r="M896">
        <v>42290</v>
      </c>
      <c r="N896">
        <v>0.12</v>
      </c>
      <c r="O896">
        <v>25110</v>
      </c>
    </row>
    <row r="897" spans="1:15" x14ac:dyDescent="0.25">
      <c r="A897" t="s">
        <v>1046</v>
      </c>
      <c r="B897">
        <v>45751</v>
      </c>
      <c r="C897" t="s">
        <v>42</v>
      </c>
      <c r="D897" t="s">
        <v>123</v>
      </c>
      <c r="E897" t="s">
        <v>44</v>
      </c>
      <c r="F897" t="s">
        <v>19</v>
      </c>
      <c r="G897" t="s">
        <v>20</v>
      </c>
      <c r="H897" t="s">
        <v>87</v>
      </c>
      <c r="I897" t="s">
        <v>105</v>
      </c>
      <c r="J897" t="s">
        <v>40</v>
      </c>
      <c r="K897" t="s">
        <v>24</v>
      </c>
      <c r="L897">
        <v>1</v>
      </c>
      <c r="M897">
        <v>51460</v>
      </c>
      <c r="N897">
        <v>0.15</v>
      </c>
      <c r="O897">
        <v>32650</v>
      </c>
    </row>
    <row r="898" spans="1:15" x14ac:dyDescent="0.25">
      <c r="A898" t="s">
        <v>1047</v>
      </c>
      <c r="B898">
        <v>45751</v>
      </c>
      <c r="C898" t="s">
        <v>42</v>
      </c>
      <c r="D898" t="s">
        <v>123</v>
      </c>
      <c r="E898" t="s">
        <v>97</v>
      </c>
      <c r="F898" t="s">
        <v>19</v>
      </c>
      <c r="G898" t="s">
        <v>20</v>
      </c>
      <c r="H898" t="s">
        <v>109</v>
      </c>
      <c r="I898" t="s">
        <v>171</v>
      </c>
      <c r="J898" t="s">
        <v>49</v>
      </c>
      <c r="K898" t="s">
        <v>35</v>
      </c>
      <c r="L898">
        <v>3</v>
      </c>
      <c r="M898">
        <v>21010</v>
      </c>
      <c r="N898">
        <v>0.05</v>
      </c>
      <c r="O898">
        <v>14210</v>
      </c>
    </row>
    <row r="899" spans="1:15" x14ac:dyDescent="0.25">
      <c r="A899" t="s">
        <v>1048</v>
      </c>
      <c r="B899">
        <v>45752</v>
      </c>
      <c r="C899" t="s">
        <v>42</v>
      </c>
      <c r="D899" t="s">
        <v>146</v>
      </c>
      <c r="E899" t="s">
        <v>64</v>
      </c>
      <c r="F899" t="s">
        <v>19</v>
      </c>
      <c r="G899" t="s">
        <v>20</v>
      </c>
      <c r="H899" t="s">
        <v>21</v>
      </c>
      <c r="I899" t="s">
        <v>65</v>
      </c>
      <c r="J899" t="s">
        <v>40</v>
      </c>
      <c r="K899" t="s">
        <v>24</v>
      </c>
      <c r="L899">
        <v>10</v>
      </c>
      <c r="M899">
        <v>8210</v>
      </c>
      <c r="N899">
        <v>0</v>
      </c>
      <c r="O899">
        <v>5170</v>
      </c>
    </row>
    <row r="900" spans="1:15" x14ac:dyDescent="0.25">
      <c r="A900" t="s">
        <v>1049</v>
      </c>
      <c r="B900">
        <v>45752</v>
      </c>
      <c r="C900" t="s">
        <v>16</v>
      </c>
      <c r="D900" t="s">
        <v>31</v>
      </c>
      <c r="E900" t="s">
        <v>32</v>
      </c>
      <c r="F900" t="s">
        <v>52</v>
      </c>
      <c r="G900" t="s">
        <v>20</v>
      </c>
      <c r="H900" t="s">
        <v>109</v>
      </c>
      <c r="I900" t="s">
        <v>110</v>
      </c>
      <c r="J900" t="s">
        <v>49</v>
      </c>
      <c r="K900" t="s">
        <v>24</v>
      </c>
      <c r="L900">
        <v>1</v>
      </c>
      <c r="M900">
        <v>66010</v>
      </c>
      <c r="N900">
        <v>0.1</v>
      </c>
      <c r="O900">
        <v>47750</v>
      </c>
    </row>
    <row r="901" spans="1:15" x14ac:dyDescent="0.25">
      <c r="A901" t="s">
        <v>1050</v>
      </c>
      <c r="B901">
        <v>45752</v>
      </c>
      <c r="C901" t="s">
        <v>42</v>
      </c>
      <c r="D901" t="s">
        <v>265</v>
      </c>
      <c r="E901" t="s">
        <v>97</v>
      </c>
      <c r="F901" t="s">
        <v>52</v>
      </c>
      <c r="G901" t="s">
        <v>59</v>
      </c>
      <c r="H901" t="s">
        <v>73</v>
      </c>
      <c r="I901" t="s">
        <v>113</v>
      </c>
      <c r="J901" t="s">
        <v>49</v>
      </c>
      <c r="K901" t="s">
        <v>24</v>
      </c>
      <c r="L901">
        <v>2</v>
      </c>
      <c r="M901">
        <v>32620</v>
      </c>
      <c r="N901">
        <v>0.05</v>
      </c>
      <c r="O901">
        <v>24490</v>
      </c>
    </row>
    <row r="902" spans="1:15" x14ac:dyDescent="0.25">
      <c r="A902" t="s">
        <v>1051</v>
      </c>
      <c r="B902">
        <v>45752</v>
      </c>
      <c r="C902" t="s">
        <v>37</v>
      </c>
      <c r="D902" t="s">
        <v>161</v>
      </c>
      <c r="E902" t="s">
        <v>39</v>
      </c>
      <c r="F902" t="s">
        <v>45</v>
      </c>
      <c r="G902" t="s">
        <v>20</v>
      </c>
      <c r="H902" t="s">
        <v>87</v>
      </c>
      <c r="I902" t="s">
        <v>105</v>
      </c>
      <c r="J902" t="s">
        <v>49</v>
      </c>
      <c r="K902" t="s">
        <v>24</v>
      </c>
      <c r="L902">
        <v>6</v>
      </c>
      <c r="M902">
        <v>53610</v>
      </c>
      <c r="N902">
        <v>0.2</v>
      </c>
      <c r="O902">
        <v>42180</v>
      </c>
    </row>
    <row r="903" spans="1:15" x14ac:dyDescent="0.25">
      <c r="A903" t="s">
        <v>1052</v>
      </c>
      <c r="B903">
        <v>45754</v>
      </c>
      <c r="C903" t="s">
        <v>42</v>
      </c>
      <c r="D903" t="s">
        <v>43</v>
      </c>
      <c r="E903" t="s">
        <v>64</v>
      </c>
      <c r="F903" t="s">
        <v>19</v>
      </c>
      <c r="G903" t="s">
        <v>27</v>
      </c>
      <c r="H903" t="s">
        <v>214</v>
      </c>
      <c r="I903" t="s">
        <v>252</v>
      </c>
      <c r="J903" t="s">
        <v>40</v>
      </c>
      <c r="K903" t="s">
        <v>24</v>
      </c>
      <c r="L903">
        <v>3</v>
      </c>
      <c r="M903">
        <v>14840</v>
      </c>
      <c r="N903">
        <v>0.12</v>
      </c>
      <c r="O903">
        <v>10540</v>
      </c>
    </row>
    <row r="904" spans="1:15" x14ac:dyDescent="0.25">
      <c r="A904" t="s">
        <v>1053</v>
      </c>
      <c r="B904">
        <v>45754</v>
      </c>
      <c r="C904" t="s">
        <v>42</v>
      </c>
      <c r="D904" t="s">
        <v>43</v>
      </c>
      <c r="E904" t="s">
        <v>64</v>
      </c>
      <c r="F904" t="s">
        <v>52</v>
      </c>
      <c r="G904" t="s">
        <v>83</v>
      </c>
      <c r="H904" t="s">
        <v>184</v>
      </c>
      <c r="I904" t="s">
        <v>185</v>
      </c>
      <c r="J904" t="s">
        <v>23</v>
      </c>
      <c r="K904" t="s">
        <v>24</v>
      </c>
      <c r="L904">
        <v>14</v>
      </c>
      <c r="M904">
        <v>4660</v>
      </c>
      <c r="N904">
        <v>0.05</v>
      </c>
      <c r="O904">
        <v>3450</v>
      </c>
    </row>
    <row r="905" spans="1:15" x14ac:dyDescent="0.25">
      <c r="A905" t="s">
        <v>1054</v>
      </c>
      <c r="B905">
        <v>45755</v>
      </c>
      <c r="C905" t="s">
        <v>42</v>
      </c>
      <c r="D905" t="s">
        <v>146</v>
      </c>
      <c r="E905" t="s">
        <v>44</v>
      </c>
      <c r="F905" t="s">
        <v>52</v>
      </c>
      <c r="G905" t="s">
        <v>46</v>
      </c>
      <c r="H905" t="s">
        <v>47</v>
      </c>
      <c r="I905" t="s">
        <v>48</v>
      </c>
      <c r="J905" t="s">
        <v>40</v>
      </c>
      <c r="K905" t="s">
        <v>24</v>
      </c>
      <c r="L905">
        <v>17</v>
      </c>
      <c r="M905">
        <v>1900</v>
      </c>
      <c r="N905">
        <v>0.05</v>
      </c>
      <c r="O905">
        <v>1280</v>
      </c>
    </row>
    <row r="906" spans="1:15" x14ac:dyDescent="0.25">
      <c r="A906" t="s">
        <v>1055</v>
      </c>
      <c r="B906">
        <v>45756</v>
      </c>
      <c r="C906" t="s">
        <v>42</v>
      </c>
      <c r="D906" t="s">
        <v>265</v>
      </c>
      <c r="E906" t="s">
        <v>44</v>
      </c>
      <c r="F906" t="s">
        <v>92</v>
      </c>
      <c r="G906" t="s">
        <v>27</v>
      </c>
      <c r="H906" t="s">
        <v>79</v>
      </c>
      <c r="I906" t="s">
        <v>262</v>
      </c>
      <c r="J906" t="s">
        <v>23</v>
      </c>
      <c r="K906" t="s">
        <v>24</v>
      </c>
      <c r="L906">
        <v>16</v>
      </c>
      <c r="M906">
        <v>2580</v>
      </c>
      <c r="N906">
        <v>0</v>
      </c>
      <c r="O906">
        <v>1510</v>
      </c>
    </row>
    <row r="907" spans="1:15" x14ac:dyDescent="0.25">
      <c r="A907" t="s">
        <v>1056</v>
      </c>
      <c r="B907">
        <v>45756</v>
      </c>
      <c r="C907" t="s">
        <v>42</v>
      </c>
      <c r="D907" t="s">
        <v>130</v>
      </c>
      <c r="E907" t="s">
        <v>44</v>
      </c>
      <c r="F907" t="s">
        <v>52</v>
      </c>
      <c r="G907" t="s">
        <v>27</v>
      </c>
      <c r="H907" t="s">
        <v>79</v>
      </c>
      <c r="I907" t="s">
        <v>262</v>
      </c>
      <c r="J907" t="s">
        <v>40</v>
      </c>
      <c r="K907" t="s">
        <v>24</v>
      </c>
      <c r="L907">
        <v>35</v>
      </c>
      <c r="M907">
        <v>2640</v>
      </c>
      <c r="N907">
        <v>0.15</v>
      </c>
      <c r="O907">
        <v>1990</v>
      </c>
    </row>
    <row r="908" spans="1:15" x14ac:dyDescent="0.25">
      <c r="A908" t="s">
        <v>1057</v>
      </c>
      <c r="B908">
        <v>45756</v>
      </c>
      <c r="C908" t="s">
        <v>37</v>
      </c>
      <c r="D908" t="s">
        <v>38</v>
      </c>
      <c r="E908" t="s">
        <v>39</v>
      </c>
      <c r="F908" t="s">
        <v>19</v>
      </c>
      <c r="G908" t="s">
        <v>27</v>
      </c>
      <c r="H908" t="s">
        <v>28</v>
      </c>
      <c r="I908" t="s">
        <v>29</v>
      </c>
      <c r="J908" t="s">
        <v>49</v>
      </c>
      <c r="K908" t="s">
        <v>24</v>
      </c>
      <c r="L908">
        <v>2</v>
      </c>
      <c r="M908">
        <v>28110</v>
      </c>
      <c r="N908">
        <v>0</v>
      </c>
      <c r="O908">
        <v>17040</v>
      </c>
    </row>
    <row r="909" spans="1:15" x14ac:dyDescent="0.25">
      <c r="A909" t="s">
        <v>1058</v>
      </c>
      <c r="B909">
        <v>45757</v>
      </c>
      <c r="C909" t="s">
        <v>37</v>
      </c>
      <c r="D909" t="s">
        <v>166</v>
      </c>
      <c r="E909" t="s">
        <v>68</v>
      </c>
      <c r="F909" t="s">
        <v>52</v>
      </c>
      <c r="G909" t="s">
        <v>46</v>
      </c>
      <c r="H909" t="s">
        <v>179</v>
      </c>
      <c r="I909" t="s">
        <v>236</v>
      </c>
      <c r="J909" t="s">
        <v>40</v>
      </c>
      <c r="K909" t="s">
        <v>24</v>
      </c>
      <c r="L909">
        <v>36</v>
      </c>
      <c r="M909">
        <v>2310</v>
      </c>
      <c r="N909">
        <v>0.08</v>
      </c>
      <c r="O909">
        <v>1650</v>
      </c>
    </row>
    <row r="910" spans="1:15" x14ac:dyDescent="0.25">
      <c r="A910" t="s">
        <v>1059</v>
      </c>
      <c r="B910">
        <v>45757</v>
      </c>
      <c r="C910" t="s">
        <v>16</v>
      </c>
      <c r="D910" t="s">
        <v>17</v>
      </c>
      <c r="E910" t="s">
        <v>18</v>
      </c>
      <c r="F910" t="s">
        <v>52</v>
      </c>
      <c r="G910" t="s">
        <v>83</v>
      </c>
      <c r="H910" t="s">
        <v>184</v>
      </c>
      <c r="I910" t="s">
        <v>185</v>
      </c>
      <c r="J910" t="s">
        <v>40</v>
      </c>
      <c r="K910" t="s">
        <v>24</v>
      </c>
      <c r="L910">
        <v>14</v>
      </c>
      <c r="M910">
        <v>4380</v>
      </c>
      <c r="N910">
        <v>0.08</v>
      </c>
      <c r="O910">
        <v>2750</v>
      </c>
    </row>
    <row r="911" spans="1:15" x14ac:dyDescent="0.25">
      <c r="A911" t="s">
        <v>1060</v>
      </c>
      <c r="B911">
        <v>45758</v>
      </c>
      <c r="C911" t="s">
        <v>42</v>
      </c>
      <c r="D911" t="s">
        <v>265</v>
      </c>
      <c r="E911" t="s">
        <v>97</v>
      </c>
      <c r="F911" t="s">
        <v>45</v>
      </c>
      <c r="G911" t="s">
        <v>46</v>
      </c>
      <c r="H911" t="s">
        <v>47</v>
      </c>
      <c r="I911" t="s">
        <v>93</v>
      </c>
      <c r="J911" t="s">
        <v>40</v>
      </c>
      <c r="K911" t="s">
        <v>94</v>
      </c>
      <c r="L911">
        <v>58</v>
      </c>
      <c r="M911">
        <v>1250</v>
      </c>
      <c r="N911">
        <v>0.1</v>
      </c>
      <c r="O911">
        <v>870</v>
      </c>
    </row>
    <row r="912" spans="1:15" x14ac:dyDescent="0.25">
      <c r="A912" t="s">
        <v>1061</v>
      </c>
      <c r="B912">
        <v>45758</v>
      </c>
      <c r="C912" t="s">
        <v>16</v>
      </c>
      <c r="D912" t="s">
        <v>191</v>
      </c>
      <c r="E912" t="s">
        <v>26</v>
      </c>
      <c r="F912" t="s">
        <v>19</v>
      </c>
      <c r="G912" t="s">
        <v>27</v>
      </c>
      <c r="H912" t="s">
        <v>214</v>
      </c>
      <c r="I912" t="s">
        <v>215</v>
      </c>
      <c r="J912" t="s">
        <v>23</v>
      </c>
      <c r="K912" t="s">
        <v>35</v>
      </c>
      <c r="L912">
        <v>1</v>
      </c>
      <c r="M912">
        <v>35110</v>
      </c>
      <c r="N912">
        <v>0.08</v>
      </c>
      <c r="O912">
        <v>23870</v>
      </c>
    </row>
    <row r="913" spans="1:15" x14ac:dyDescent="0.25">
      <c r="A913" t="s">
        <v>1062</v>
      </c>
      <c r="B913">
        <v>45758</v>
      </c>
      <c r="C913" t="s">
        <v>37</v>
      </c>
      <c r="D913" t="s">
        <v>115</v>
      </c>
      <c r="E913" t="s">
        <v>39</v>
      </c>
      <c r="F913" t="s">
        <v>19</v>
      </c>
      <c r="G913" t="s">
        <v>46</v>
      </c>
      <c r="H913" t="s">
        <v>179</v>
      </c>
      <c r="I913" t="s">
        <v>236</v>
      </c>
      <c r="J913" t="s">
        <v>40</v>
      </c>
      <c r="K913" t="s">
        <v>35</v>
      </c>
      <c r="L913">
        <v>7</v>
      </c>
      <c r="M913">
        <v>2110</v>
      </c>
      <c r="N913">
        <v>0.2</v>
      </c>
      <c r="O913">
        <v>1210</v>
      </c>
    </row>
    <row r="914" spans="1:15" x14ac:dyDescent="0.25">
      <c r="A914" t="s">
        <v>1063</v>
      </c>
      <c r="B914">
        <v>45758</v>
      </c>
      <c r="C914" t="s">
        <v>16</v>
      </c>
      <c r="D914" t="s">
        <v>17</v>
      </c>
      <c r="E914" t="s">
        <v>26</v>
      </c>
      <c r="F914" t="s">
        <v>92</v>
      </c>
      <c r="G914" t="s">
        <v>83</v>
      </c>
      <c r="H914" t="s">
        <v>184</v>
      </c>
      <c r="I914" t="s">
        <v>185</v>
      </c>
      <c r="J914" t="s">
        <v>23</v>
      </c>
      <c r="K914" t="s">
        <v>24</v>
      </c>
      <c r="L914">
        <v>3</v>
      </c>
      <c r="M914">
        <v>4670</v>
      </c>
      <c r="N914">
        <v>0.12</v>
      </c>
      <c r="O914">
        <v>2940</v>
      </c>
    </row>
    <row r="915" spans="1:15" x14ac:dyDescent="0.25">
      <c r="A915" t="s">
        <v>1064</v>
      </c>
      <c r="B915">
        <v>45759</v>
      </c>
      <c r="C915" t="s">
        <v>16</v>
      </c>
      <c r="D915" t="s">
        <v>82</v>
      </c>
      <c r="E915" t="s">
        <v>32</v>
      </c>
      <c r="F915" t="s">
        <v>19</v>
      </c>
      <c r="G915" t="s">
        <v>83</v>
      </c>
      <c r="H915" t="s">
        <v>184</v>
      </c>
      <c r="I915" t="s">
        <v>185</v>
      </c>
      <c r="J915" t="s">
        <v>23</v>
      </c>
      <c r="K915" t="s">
        <v>24</v>
      </c>
      <c r="L915">
        <v>9</v>
      </c>
      <c r="M915">
        <v>4680</v>
      </c>
      <c r="N915">
        <v>0.25</v>
      </c>
      <c r="O915">
        <v>3620</v>
      </c>
    </row>
    <row r="916" spans="1:15" x14ac:dyDescent="0.25">
      <c r="A916" t="s">
        <v>1065</v>
      </c>
      <c r="B916">
        <v>45759</v>
      </c>
      <c r="C916" t="s">
        <v>56</v>
      </c>
      <c r="D916" t="s">
        <v>72</v>
      </c>
      <c r="E916" t="s">
        <v>91</v>
      </c>
      <c r="F916" t="s">
        <v>19</v>
      </c>
      <c r="G916" t="s">
        <v>46</v>
      </c>
      <c r="H916" t="s">
        <v>47</v>
      </c>
      <c r="I916" t="s">
        <v>259</v>
      </c>
      <c r="J916" t="s">
        <v>40</v>
      </c>
      <c r="K916" t="s">
        <v>119</v>
      </c>
      <c r="L916">
        <v>36</v>
      </c>
      <c r="M916">
        <v>2710</v>
      </c>
      <c r="N916">
        <v>0.05</v>
      </c>
      <c r="O916">
        <v>2140</v>
      </c>
    </row>
    <row r="917" spans="1:15" x14ac:dyDescent="0.25">
      <c r="A917" t="s">
        <v>1066</v>
      </c>
      <c r="B917">
        <v>45760</v>
      </c>
      <c r="C917" t="s">
        <v>42</v>
      </c>
      <c r="D917" t="s">
        <v>265</v>
      </c>
      <c r="E917" t="s">
        <v>44</v>
      </c>
      <c r="F917" t="s">
        <v>19</v>
      </c>
      <c r="G917" t="s">
        <v>20</v>
      </c>
      <c r="H917" t="s">
        <v>109</v>
      </c>
      <c r="I917" t="s">
        <v>110</v>
      </c>
      <c r="J917" t="s">
        <v>23</v>
      </c>
      <c r="K917" t="s">
        <v>24</v>
      </c>
      <c r="L917">
        <v>1</v>
      </c>
      <c r="M917">
        <v>65330</v>
      </c>
      <c r="N917">
        <v>0.1</v>
      </c>
      <c r="O917">
        <v>42850</v>
      </c>
    </row>
    <row r="918" spans="1:15" x14ac:dyDescent="0.25">
      <c r="A918" t="s">
        <v>1067</v>
      </c>
      <c r="B918">
        <v>45760</v>
      </c>
      <c r="C918" t="s">
        <v>16</v>
      </c>
      <c r="D918" t="s">
        <v>17</v>
      </c>
      <c r="E918" t="s">
        <v>26</v>
      </c>
      <c r="F918" t="s">
        <v>19</v>
      </c>
      <c r="G918" t="s">
        <v>27</v>
      </c>
      <c r="H918" t="s">
        <v>214</v>
      </c>
      <c r="I918" t="s">
        <v>215</v>
      </c>
      <c r="J918" t="s">
        <v>40</v>
      </c>
      <c r="K918" t="s">
        <v>24</v>
      </c>
      <c r="L918">
        <v>4</v>
      </c>
      <c r="M918">
        <v>32370</v>
      </c>
      <c r="N918">
        <v>0</v>
      </c>
      <c r="O918">
        <v>18480</v>
      </c>
    </row>
    <row r="919" spans="1:15" x14ac:dyDescent="0.25">
      <c r="A919" t="s">
        <v>1068</v>
      </c>
      <c r="B919">
        <v>45761</v>
      </c>
      <c r="C919" t="s">
        <v>56</v>
      </c>
      <c r="D919" t="s">
        <v>127</v>
      </c>
      <c r="E919" t="s">
        <v>134</v>
      </c>
      <c r="F919" t="s">
        <v>19</v>
      </c>
      <c r="G919" t="s">
        <v>83</v>
      </c>
      <c r="H919" t="s">
        <v>84</v>
      </c>
      <c r="I919" t="s">
        <v>85</v>
      </c>
      <c r="J919" t="s">
        <v>40</v>
      </c>
      <c r="K919" t="s">
        <v>24</v>
      </c>
      <c r="L919">
        <v>33</v>
      </c>
      <c r="M919">
        <v>2580</v>
      </c>
      <c r="N919">
        <v>0.12</v>
      </c>
      <c r="O919">
        <v>1690</v>
      </c>
    </row>
    <row r="920" spans="1:15" x14ac:dyDescent="0.25">
      <c r="A920" t="s">
        <v>1069</v>
      </c>
      <c r="B920">
        <v>45762</v>
      </c>
      <c r="C920" t="s">
        <v>42</v>
      </c>
      <c r="D920" t="s">
        <v>146</v>
      </c>
      <c r="E920" t="s">
        <v>44</v>
      </c>
      <c r="F920" t="s">
        <v>45</v>
      </c>
      <c r="G920" t="s">
        <v>27</v>
      </c>
      <c r="H920" t="s">
        <v>79</v>
      </c>
      <c r="I920" t="s">
        <v>80</v>
      </c>
      <c r="J920" t="s">
        <v>40</v>
      </c>
      <c r="K920" t="s">
        <v>24</v>
      </c>
      <c r="L920">
        <v>8</v>
      </c>
      <c r="M920">
        <v>4680</v>
      </c>
      <c r="N920">
        <v>0.08</v>
      </c>
      <c r="O920">
        <v>2750</v>
      </c>
    </row>
    <row r="921" spans="1:15" x14ac:dyDescent="0.25">
      <c r="A921" t="s">
        <v>1070</v>
      </c>
      <c r="B921">
        <v>45763</v>
      </c>
      <c r="C921" t="s">
        <v>56</v>
      </c>
      <c r="D921" t="s">
        <v>103</v>
      </c>
      <c r="E921" t="s">
        <v>134</v>
      </c>
      <c r="F921" t="s">
        <v>19</v>
      </c>
      <c r="G921" t="s">
        <v>59</v>
      </c>
      <c r="H921" t="s">
        <v>69</v>
      </c>
      <c r="I921" t="s">
        <v>121</v>
      </c>
      <c r="J921" t="s">
        <v>40</v>
      </c>
      <c r="K921" t="s">
        <v>24</v>
      </c>
      <c r="L921">
        <v>8</v>
      </c>
      <c r="M921">
        <v>3650</v>
      </c>
      <c r="N921">
        <v>0.08</v>
      </c>
      <c r="O921">
        <v>2850</v>
      </c>
    </row>
    <row r="922" spans="1:15" x14ac:dyDescent="0.25">
      <c r="A922" t="s">
        <v>1071</v>
      </c>
      <c r="B922">
        <v>45763</v>
      </c>
      <c r="C922" t="s">
        <v>42</v>
      </c>
      <c r="D922" t="s">
        <v>43</v>
      </c>
      <c r="E922" t="s">
        <v>64</v>
      </c>
      <c r="F922" t="s">
        <v>45</v>
      </c>
      <c r="G922" t="s">
        <v>46</v>
      </c>
      <c r="H922" t="s">
        <v>100</v>
      </c>
      <c r="I922" t="s">
        <v>101</v>
      </c>
      <c r="J922" t="s">
        <v>23</v>
      </c>
      <c r="K922" t="s">
        <v>24</v>
      </c>
      <c r="L922">
        <v>22</v>
      </c>
      <c r="M922">
        <v>1880</v>
      </c>
      <c r="N922">
        <v>0</v>
      </c>
      <c r="O922">
        <v>1300</v>
      </c>
    </row>
    <row r="923" spans="1:15" x14ac:dyDescent="0.25">
      <c r="A923" t="s">
        <v>1072</v>
      </c>
      <c r="B923">
        <v>45763</v>
      </c>
      <c r="C923" t="s">
        <v>76</v>
      </c>
      <c r="D923" t="s">
        <v>125</v>
      </c>
      <c r="E923" t="s">
        <v>78</v>
      </c>
      <c r="F923" t="s">
        <v>92</v>
      </c>
      <c r="G923" t="s">
        <v>83</v>
      </c>
      <c r="H923" t="s">
        <v>136</v>
      </c>
      <c r="I923" t="s">
        <v>137</v>
      </c>
      <c r="J923" t="s">
        <v>23</v>
      </c>
      <c r="K923" t="s">
        <v>94</v>
      </c>
      <c r="L923">
        <v>57</v>
      </c>
      <c r="M923">
        <v>1640</v>
      </c>
      <c r="N923">
        <v>0.05</v>
      </c>
      <c r="O923">
        <v>980</v>
      </c>
    </row>
    <row r="924" spans="1:15" x14ac:dyDescent="0.25">
      <c r="A924" t="s">
        <v>1073</v>
      </c>
      <c r="B924">
        <v>45764</v>
      </c>
      <c r="C924" t="s">
        <v>76</v>
      </c>
      <c r="D924" t="s">
        <v>99</v>
      </c>
      <c r="E924" t="s">
        <v>78</v>
      </c>
      <c r="F924" t="s">
        <v>19</v>
      </c>
      <c r="G924" t="s">
        <v>59</v>
      </c>
      <c r="H924" t="s">
        <v>73</v>
      </c>
      <c r="I924" t="s">
        <v>74</v>
      </c>
      <c r="J924" t="s">
        <v>23</v>
      </c>
      <c r="K924" t="s">
        <v>24</v>
      </c>
      <c r="L924">
        <v>1</v>
      </c>
      <c r="M924">
        <v>45710</v>
      </c>
      <c r="N924">
        <v>0.08</v>
      </c>
      <c r="O924">
        <v>31750</v>
      </c>
    </row>
    <row r="925" spans="1:15" x14ac:dyDescent="0.25">
      <c r="A925" t="s">
        <v>1074</v>
      </c>
      <c r="B925">
        <v>45765</v>
      </c>
      <c r="C925" t="s">
        <v>42</v>
      </c>
      <c r="D925" t="s">
        <v>123</v>
      </c>
      <c r="E925" t="s">
        <v>44</v>
      </c>
      <c r="F925" t="s">
        <v>45</v>
      </c>
      <c r="G925" t="s">
        <v>20</v>
      </c>
      <c r="H925" t="s">
        <v>87</v>
      </c>
      <c r="I925" t="s">
        <v>88</v>
      </c>
      <c r="J925" t="s">
        <v>49</v>
      </c>
      <c r="K925" t="s">
        <v>24</v>
      </c>
      <c r="L925">
        <v>6</v>
      </c>
      <c r="M925">
        <v>32620</v>
      </c>
      <c r="N925">
        <v>0.18</v>
      </c>
      <c r="O925">
        <v>23270</v>
      </c>
    </row>
    <row r="926" spans="1:15" x14ac:dyDescent="0.25">
      <c r="A926" t="s">
        <v>1075</v>
      </c>
      <c r="B926">
        <v>45765</v>
      </c>
      <c r="C926" t="s">
        <v>16</v>
      </c>
      <c r="D926" t="s">
        <v>31</v>
      </c>
      <c r="E926" t="s">
        <v>18</v>
      </c>
      <c r="F926" t="s">
        <v>92</v>
      </c>
      <c r="G926" t="s">
        <v>59</v>
      </c>
      <c r="H926" t="s">
        <v>69</v>
      </c>
      <c r="I926" t="s">
        <v>70</v>
      </c>
      <c r="J926" t="s">
        <v>23</v>
      </c>
      <c r="K926" t="s">
        <v>24</v>
      </c>
      <c r="L926">
        <v>2</v>
      </c>
      <c r="M926">
        <v>28630</v>
      </c>
      <c r="N926">
        <v>0.18</v>
      </c>
      <c r="O926">
        <v>18710</v>
      </c>
    </row>
    <row r="927" spans="1:15" x14ac:dyDescent="0.25">
      <c r="A927" t="s">
        <v>1076</v>
      </c>
      <c r="B927">
        <v>45765</v>
      </c>
      <c r="C927" t="s">
        <v>76</v>
      </c>
      <c r="D927" t="s">
        <v>150</v>
      </c>
      <c r="E927" t="s">
        <v>78</v>
      </c>
      <c r="F927" t="s">
        <v>45</v>
      </c>
      <c r="G927" t="s">
        <v>20</v>
      </c>
      <c r="H927" t="s">
        <v>33</v>
      </c>
      <c r="I927" t="s">
        <v>34</v>
      </c>
      <c r="J927" t="s">
        <v>40</v>
      </c>
      <c r="K927" t="s">
        <v>24</v>
      </c>
      <c r="L927">
        <v>2</v>
      </c>
      <c r="M927">
        <v>55950</v>
      </c>
      <c r="N927">
        <v>0.12</v>
      </c>
      <c r="O927">
        <v>34610</v>
      </c>
    </row>
    <row r="928" spans="1:15" x14ac:dyDescent="0.25">
      <c r="A928" t="s">
        <v>1077</v>
      </c>
      <c r="B928">
        <v>45765</v>
      </c>
      <c r="C928" t="s">
        <v>37</v>
      </c>
      <c r="D928" t="s">
        <v>67</v>
      </c>
      <c r="E928" t="s">
        <v>39</v>
      </c>
      <c r="F928" t="s">
        <v>52</v>
      </c>
      <c r="G928" t="s">
        <v>83</v>
      </c>
      <c r="H928" t="s">
        <v>184</v>
      </c>
      <c r="I928" t="s">
        <v>196</v>
      </c>
      <c r="J928" t="s">
        <v>49</v>
      </c>
      <c r="K928" t="s">
        <v>24</v>
      </c>
      <c r="L928">
        <v>8</v>
      </c>
      <c r="M928">
        <v>3400</v>
      </c>
      <c r="N928">
        <v>0</v>
      </c>
      <c r="O928">
        <v>2410</v>
      </c>
    </row>
    <row r="929" spans="1:15" x14ac:dyDescent="0.25">
      <c r="A929" t="s">
        <v>1078</v>
      </c>
      <c r="B929">
        <v>45766</v>
      </c>
      <c r="C929" t="s">
        <v>16</v>
      </c>
      <c r="D929" t="s">
        <v>191</v>
      </c>
      <c r="E929" t="s">
        <v>26</v>
      </c>
      <c r="F929" t="s">
        <v>19</v>
      </c>
      <c r="G929" t="s">
        <v>46</v>
      </c>
      <c r="H929" t="s">
        <v>179</v>
      </c>
      <c r="I929" t="s">
        <v>180</v>
      </c>
      <c r="J929" t="s">
        <v>40</v>
      </c>
      <c r="K929" t="s">
        <v>24</v>
      </c>
      <c r="L929">
        <v>10</v>
      </c>
      <c r="M929">
        <v>3900</v>
      </c>
      <c r="N929">
        <v>0.2</v>
      </c>
      <c r="O929">
        <v>2860</v>
      </c>
    </row>
    <row r="930" spans="1:15" x14ac:dyDescent="0.25">
      <c r="A930" t="s">
        <v>1079</v>
      </c>
      <c r="B930">
        <v>45766</v>
      </c>
      <c r="C930" t="s">
        <v>56</v>
      </c>
      <c r="D930" t="s">
        <v>103</v>
      </c>
      <c r="E930" t="s">
        <v>58</v>
      </c>
      <c r="F930" t="s">
        <v>19</v>
      </c>
      <c r="G930" t="s">
        <v>59</v>
      </c>
      <c r="H930" t="s">
        <v>69</v>
      </c>
      <c r="I930" t="s">
        <v>121</v>
      </c>
      <c r="J930" t="s">
        <v>23</v>
      </c>
      <c r="K930" t="s">
        <v>35</v>
      </c>
      <c r="L930">
        <v>5</v>
      </c>
      <c r="M930">
        <v>3730</v>
      </c>
      <c r="N930">
        <v>0.25</v>
      </c>
      <c r="O930">
        <v>2770</v>
      </c>
    </row>
    <row r="931" spans="1:15" x14ac:dyDescent="0.25">
      <c r="A931" t="s">
        <v>1080</v>
      </c>
      <c r="B931">
        <v>45766</v>
      </c>
      <c r="C931" t="s">
        <v>76</v>
      </c>
      <c r="D931" t="s">
        <v>112</v>
      </c>
      <c r="E931" t="s">
        <v>170</v>
      </c>
      <c r="F931" t="s">
        <v>19</v>
      </c>
      <c r="G931" t="s">
        <v>27</v>
      </c>
      <c r="H931" t="s">
        <v>53</v>
      </c>
      <c r="I931" t="s">
        <v>131</v>
      </c>
      <c r="J931" t="s">
        <v>49</v>
      </c>
      <c r="K931" t="s">
        <v>24</v>
      </c>
      <c r="L931">
        <v>4</v>
      </c>
      <c r="M931">
        <v>37750</v>
      </c>
      <c r="N931">
        <v>0.15</v>
      </c>
      <c r="O931">
        <v>22730</v>
      </c>
    </row>
    <row r="932" spans="1:15" x14ac:dyDescent="0.25">
      <c r="A932" t="s">
        <v>1081</v>
      </c>
      <c r="B932">
        <v>45766</v>
      </c>
      <c r="C932" t="s">
        <v>16</v>
      </c>
      <c r="D932" t="s">
        <v>153</v>
      </c>
      <c r="E932" t="s">
        <v>26</v>
      </c>
      <c r="F932" t="s">
        <v>19</v>
      </c>
      <c r="G932" t="s">
        <v>20</v>
      </c>
      <c r="H932" t="s">
        <v>87</v>
      </c>
      <c r="I932" t="s">
        <v>105</v>
      </c>
      <c r="J932" t="s">
        <v>49</v>
      </c>
      <c r="K932" t="s">
        <v>24</v>
      </c>
      <c r="L932">
        <v>4</v>
      </c>
      <c r="M932">
        <v>51840</v>
      </c>
      <c r="N932">
        <v>0</v>
      </c>
      <c r="O932">
        <v>29790</v>
      </c>
    </row>
    <row r="933" spans="1:15" x14ac:dyDescent="0.25">
      <c r="A933" t="s">
        <v>1082</v>
      </c>
      <c r="B933">
        <v>45766</v>
      </c>
      <c r="C933" t="s">
        <v>16</v>
      </c>
      <c r="D933" t="s">
        <v>31</v>
      </c>
      <c r="E933" t="s">
        <v>26</v>
      </c>
      <c r="F933" t="s">
        <v>92</v>
      </c>
      <c r="G933" t="s">
        <v>27</v>
      </c>
      <c r="H933" t="s">
        <v>214</v>
      </c>
      <c r="I933" t="s">
        <v>215</v>
      </c>
      <c r="J933" t="s">
        <v>40</v>
      </c>
      <c r="K933" t="s">
        <v>35</v>
      </c>
      <c r="L933">
        <v>4</v>
      </c>
      <c r="M933">
        <v>32940</v>
      </c>
      <c r="N933">
        <v>0.08</v>
      </c>
      <c r="O933">
        <v>21270</v>
      </c>
    </row>
    <row r="934" spans="1:15" x14ac:dyDescent="0.25">
      <c r="A934" t="s">
        <v>1083</v>
      </c>
      <c r="B934">
        <v>45767</v>
      </c>
      <c r="C934" t="s">
        <v>37</v>
      </c>
      <c r="D934" t="s">
        <v>213</v>
      </c>
      <c r="E934" t="s">
        <v>68</v>
      </c>
      <c r="F934" t="s">
        <v>19</v>
      </c>
      <c r="G934" t="s">
        <v>20</v>
      </c>
      <c r="H934" t="s">
        <v>87</v>
      </c>
      <c r="I934" t="s">
        <v>88</v>
      </c>
      <c r="J934" t="s">
        <v>49</v>
      </c>
      <c r="K934" t="s">
        <v>24</v>
      </c>
      <c r="L934">
        <v>1</v>
      </c>
      <c r="M934">
        <v>30520</v>
      </c>
      <c r="N934">
        <v>0.1</v>
      </c>
      <c r="O934">
        <v>17580</v>
      </c>
    </row>
    <row r="935" spans="1:15" x14ac:dyDescent="0.25">
      <c r="A935" t="s">
        <v>1084</v>
      </c>
      <c r="B935">
        <v>45767</v>
      </c>
      <c r="C935" t="s">
        <v>16</v>
      </c>
      <c r="D935" t="s">
        <v>153</v>
      </c>
      <c r="E935" t="s">
        <v>32</v>
      </c>
      <c r="F935" t="s">
        <v>19</v>
      </c>
      <c r="G935" t="s">
        <v>83</v>
      </c>
      <c r="H935" t="s">
        <v>184</v>
      </c>
      <c r="I935" t="s">
        <v>185</v>
      </c>
      <c r="J935" t="s">
        <v>40</v>
      </c>
      <c r="K935" t="s">
        <v>35</v>
      </c>
      <c r="L935">
        <v>11</v>
      </c>
      <c r="M935">
        <v>4310</v>
      </c>
      <c r="N935">
        <v>0.2</v>
      </c>
      <c r="O935">
        <v>2600</v>
      </c>
    </row>
    <row r="936" spans="1:15" x14ac:dyDescent="0.25">
      <c r="A936" t="s">
        <v>1085</v>
      </c>
      <c r="B936">
        <v>45769</v>
      </c>
      <c r="C936" t="s">
        <v>42</v>
      </c>
      <c r="D936" t="s">
        <v>146</v>
      </c>
      <c r="E936" t="s">
        <v>97</v>
      </c>
      <c r="F936" t="s">
        <v>19</v>
      </c>
      <c r="G936" t="s">
        <v>59</v>
      </c>
      <c r="H936" t="s">
        <v>69</v>
      </c>
      <c r="I936" t="s">
        <v>70</v>
      </c>
      <c r="J936" t="s">
        <v>40</v>
      </c>
      <c r="K936" t="s">
        <v>24</v>
      </c>
      <c r="L936">
        <v>8</v>
      </c>
      <c r="M936">
        <v>28770</v>
      </c>
      <c r="N936">
        <v>0.15</v>
      </c>
      <c r="O936">
        <v>21300</v>
      </c>
    </row>
    <row r="937" spans="1:15" x14ac:dyDescent="0.25">
      <c r="A937" t="s">
        <v>1086</v>
      </c>
      <c r="B937">
        <v>45769</v>
      </c>
      <c r="C937" t="s">
        <v>37</v>
      </c>
      <c r="D937" t="s">
        <v>38</v>
      </c>
      <c r="E937" t="s">
        <v>39</v>
      </c>
      <c r="F937" t="s">
        <v>19</v>
      </c>
      <c r="G937" t="s">
        <v>27</v>
      </c>
      <c r="H937" t="s">
        <v>214</v>
      </c>
      <c r="I937" t="s">
        <v>252</v>
      </c>
      <c r="J937" t="s">
        <v>40</v>
      </c>
      <c r="K937" t="s">
        <v>24</v>
      </c>
      <c r="L937">
        <v>7</v>
      </c>
      <c r="M937">
        <v>13680</v>
      </c>
      <c r="N937">
        <v>0.1</v>
      </c>
      <c r="O937">
        <v>9250</v>
      </c>
    </row>
    <row r="938" spans="1:15" x14ac:dyDescent="0.25">
      <c r="A938" t="s">
        <v>1087</v>
      </c>
      <c r="B938">
        <v>45769</v>
      </c>
      <c r="C938" t="s">
        <v>56</v>
      </c>
      <c r="D938" t="s">
        <v>133</v>
      </c>
      <c r="E938" t="s">
        <v>91</v>
      </c>
      <c r="F938" t="s">
        <v>19</v>
      </c>
      <c r="G938" t="s">
        <v>59</v>
      </c>
      <c r="H938" t="s">
        <v>69</v>
      </c>
      <c r="I938" t="s">
        <v>70</v>
      </c>
      <c r="J938" t="s">
        <v>40</v>
      </c>
      <c r="K938" t="s">
        <v>24</v>
      </c>
      <c r="L938">
        <v>4</v>
      </c>
      <c r="M938">
        <v>27520</v>
      </c>
      <c r="N938">
        <v>0.2</v>
      </c>
      <c r="O938">
        <v>17480</v>
      </c>
    </row>
    <row r="939" spans="1:15" x14ac:dyDescent="0.25">
      <c r="A939" t="s">
        <v>1088</v>
      </c>
      <c r="B939">
        <v>45771</v>
      </c>
      <c r="C939" t="s">
        <v>16</v>
      </c>
      <c r="D939" t="s">
        <v>17</v>
      </c>
      <c r="E939" t="s">
        <v>18</v>
      </c>
      <c r="F939" t="s">
        <v>92</v>
      </c>
      <c r="G939" t="s">
        <v>20</v>
      </c>
      <c r="H939" t="s">
        <v>109</v>
      </c>
      <c r="I939" t="s">
        <v>171</v>
      </c>
      <c r="J939" t="s">
        <v>40</v>
      </c>
      <c r="K939" t="s">
        <v>119</v>
      </c>
      <c r="L939">
        <v>7</v>
      </c>
      <c r="M939">
        <v>23110</v>
      </c>
      <c r="N939">
        <v>0</v>
      </c>
      <c r="O939">
        <v>15440</v>
      </c>
    </row>
    <row r="940" spans="1:15" x14ac:dyDescent="0.25">
      <c r="A940" t="s">
        <v>1089</v>
      </c>
      <c r="B940">
        <v>45771</v>
      </c>
      <c r="C940" t="s">
        <v>37</v>
      </c>
      <c r="D940" t="s">
        <v>166</v>
      </c>
      <c r="E940" t="s">
        <v>68</v>
      </c>
      <c r="F940" t="s">
        <v>19</v>
      </c>
      <c r="G940" t="s">
        <v>20</v>
      </c>
      <c r="H940" t="s">
        <v>33</v>
      </c>
      <c r="I940" t="s">
        <v>139</v>
      </c>
      <c r="J940" t="s">
        <v>40</v>
      </c>
      <c r="K940" t="s">
        <v>24</v>
      </c>
      <c r="L940">
        <v>3</v>
      </c>
      <c r="M940">
        <v>63700</v>
      </c>
      <c r="N940">
        <v>0.1</v>
      </c>
      <c r="O940">
        <v>43670</v>
      </c>
    </row>
    <row r="941" spans="1:15" x14ac:dyDescent="0.25">
      <c r="A941" t="s">
        <v>1090</v>
      </c>
      <c r="B941">
        <v>45771</v>
      </c>
      <c r="C941" t="s">
        <v>16</v>
      </c>
      <c r="D941" t="s">
        <v>51</v>
      </c>
      <c r="E941" t="s">
        <v>26</v>
      </c>
      <c r="F941" t="s">
        <v>52</v>
      </c>
      <c r="G941" t="s">
        <v>83</v>
      </c>
      <c r="H941" t="s">
        <v>136</v>
      </c>
      <c r="I941" t="s">
        <v>307</v>
      </c>
      <c r="J941" t="s">
        <v>40</v>
      </c>
      <c r="K941" t="s">
        <v>24</v>
      </c>
      <c r="L941">
        <v>40</v>
      </c>
      <c r="M941">
        <v>970</v>
      </c>
      <c r="N941">
        <v>0</v>
      </c>
      <c r="O941">
        <v>650</v>
      </c>
    </row>
    <row r="942" spans="1:15" x14ac:dyDescent="0.25">
      <c r="A942" t="s">
        <v>1091</v>
      </c>
      <c r="B942">
        <v>45771</v>
      </c>
      <c r="C942" t="s">
        <v>16</v>
      </c>
      <c r="D942" t="s">
        <v>17</v>
      </c>
      <c r="E942" t="s">
        <v>18</v>
      </c>
      <c r="F942" t="s">
        <v>92</v>
      </c>
      <c r="G942" t="s">
        <v>20</v>
      </c>
      <c r="H942" t="s">
        <v>21</v>
      </c>
      <c r="I942" t="s">
        <v>65</v>
      </c>
      <c r="J942" t="s">
        <v>49</v>
      </c>
      <c r="K942" t="s">
        <v>94</v>
      </c>
      <c r="L942">
        <v>19</v>
      </c>
      <c r="M942">
        <v>8950</v>
      </c>
      <c r="N942">
        <v>0.2</v>
      </c>
      <c r="O942">
        <v>5450</v>
      </c>
    </row>
    <row r="943" spans="1:15" x14ac:dyDescent="0.25">
      <c r="A943" t="s">
        <v>1092</v>
      </c>
      <c r="B943">
        <v>45772</v>
      </c>
      <c r="C943" t="s">
        <v>37</v>
      </c>
      <c r="D943" t="s">
        <v>115</v>
      </c>
      <c r="E943" t="s">
        <v>68</v>
      </c>
      <c r="F943" t="s">
        <v>19</v>
      </c>
      <c r="G943" t="s">
        <v>20</v>
      </c>
      <c r="H943" t="s">
        <v>33</v>
      </c>
      <c r="I943" t="s">
        <v>139</v>
      </c>
      <c r="J943" t="s">
        <v>40</v>
      </c>
      <c r="K943" t="s">
        <v>24</v>
      </c>
      <c r="L943">
        <v>3</v>
      </c>
      <c r="M943">
        <v>59830</v>
      </c>
      <c r="N943">
        <v>0.15</v>
      </c>
      <c r="O943">
        <v>43800</v>
      </c>
    </row>
    <row r="944" spans="1:15" x14ac:dyDescent="0.25">
      <c r="A944" t="s">
        <v>1093</v>
      </c>
      <c r="B944">
        <v>45772</v>
      </c>
      <c r="C944" t="s">
        <v>16</v>
      </c>
      <c r="D944" t="s">
        <v>82</v>
      </c>
      <c r="E944" t="s">
        <v>32</v>
      </c>
      <c r="F944" t="s">
        <v>92</v>
      </c>
      <c r="G944" t="s">
        <v>83</v>
      </c>
      <c r="H944" t="s">
        <v>184</v>
      </c>
      <c r="I944" t="s">
        <v>185</v>
      </c>
      <c r="J944" t="s">
        <v>40</v>
      </c>
      <c r="K944" t="s">
        <v>24</v>
      </c>
      <c r="L944">
        <v>17</v>
      </c>
      <c r="M944">
        <v>4650</v>
      </c>
      <c r="N944">
        <v>0</v>
      </c>
      <c r="O944">
        <v>3140</v>
      </c>
    </row>
    <row r="945" spans="1:15" x14ac:dyDescent="0.25">
      <c r="A945" t="s">
        <v>1094</v>
      </c>
      <c r="B945">
        <v>45772</v>
      </c>
      <c r="C945" t="s">
        <v>42</v>
      </c>
      <c r="D945" t="s">
        <v>43</v>
      </c>
      <c r="E945" t="s">
        <v>44</v>
      </c>
      <c r="F945" t="s">
        <v>19</v>
      </c>
      <c r="G945" t="s">
        <v>27</v>
      </c>
      <c r="H945" t="s">
        <v>79</v>
      </c>
      <c r="I945" t="s">
        <v>262</v>
      </c>
      <c r="J945" t="s">
        <v>49</v>
      </c>
      <c r="K945" t="s">
        <v>24</v>
      </c>
      <c r="L945">
        <v>4</v>
      </c>
      <c r="M945">
        <v>2710</v>
      </c>
      <c r="N945">
        <v>0</v>
      </c>
      <c r="O945">
        <v>1950</v>
      </c>
    </row>
    <row r="946" spans="1:15" x14ac:dyDescent="0.25">
      <c r="A946" t="s">
        <v>1095</v>
      </c>
      <c r="B946">
        <v>45773</v>
      </c>
      <c r="C946" t="s">
        <v>56</v>
      </c>
      <c r="D946" t="s">
        <v>57</v>
      </c>
      <c r="E946" t="s">
        <v>91</v>
      </c>
      <c r="F946" t="s">
        <v>19</v>
      </c>
      <c r="G946" t="s">
        <v>46</v>
      </c>
      <c r="H946" t="s">
        <v>179</v>
      </c>
      <c r="I946" t="s">
        <v>221</v>
      </c>
      <c r="J946" t="s">
        <v>40</v>
      </c>
      <c r="K946" t="s">
        <v>24</v>
      </c>
      <c r="L946">
        <v>4</v>
      </c>
      <c r="M946">
        <v>1640</v>
      </c>
      <c r="N946">
        <v>0.08</v>
      </c>
      <c r="O946">
        <v>920</v>
      </c>
    </row>
    <row r="947" spans="1:15" x14ac:dyDescent="0.25">
      <c r="A947" t="s">
        <v>1096</v>
      </c>
      <c r="B947">
        <v>45774</v>
      </c>
      <c r="C947" t="s">
        <v>37</v>
      </c>
      <c r="D947" t="s">
        <v>166</v>
      </c>
      <c r="E947" t="s">
        <v>39</v>
      </c>
      <c r="F947" t="s">
        <v>19</v>
      </c>
      <c r="G947" t="s">
        <v>59</v>
      </c>
      <c r="H947" t="s">
        <v>73</v>
      </c>
      <c r="I947" t="s">
        <v>74</v>
      </c>
      <c r="J947" t="s">
        <v>23</v>
      </c>
      <c r="K947" t="s">
        <v>24</v>
      </c>
      <c r="L947">
        <v>2</v>
      </c>
      <c r="M947">
        <v>46920</v>
      </c>
      <c r="N947">
        <v>0.08</v>
      </c>
      <c r="O947">
        <v>30410</v>
      </c>
    </row>
    <row r="948" spans="1:15" x14ac:dyDescent="0.25">
      <c r="A948" t="s">
        <v>1097</v>
      </c>
      <c r="B948">
        <v>45774</v>
      </c>
      <c r="C948" t="s">
        <v>16</v>
      </c>
      <c r="D948" t="s">
        <v>17</v>
      </c>
      <c r="E948" t="s">
        <v>18</v>
      </c>
      <c r="F948" t="s">
        <v>19</v>
      </c>
      <c r="G948" t="s">
        <v>20</v>
      </c>
      <c r="H948" t="s">
        <v>21</v>
      </c>
      <c r="I948" t="s">
        <v>362</v>
      </c>
      <c r="J948" t="s">
        <v>23</v>
      </c>
      <c r="K948" t="s">
        <v>24</v>
      </c>
      <c r="L948">
        <v>11</v>
      </c>
      <c r="M948">
        <v>8760</v>
      </c>
      <c r="N948">
        <v>0.1</v>
      </c>
      <c r="O948">
        <v>6470</v>
      </c>
    </row>
    <row r="949" spans="1:15" x14ac:dyDescent="0.25">
      <c r="A949" t="s">
        <v>1098</v>
      </c>
      <c r="B949">
        <v>45775</v>
      </c>
      <c r="C949" t="s">
        <v>56</v>
      </c>
      <c r="D949" t="s">
        <v>72</v>
      </c>
      <c r="E949" t="s">
        <v>58</v>
      </c>
      <c r="F949" t="s">
        <v>92</v>
      </c>
      <c r="G949" t="s">
        <v>83</v>
      </c>
      <c r="H949" t="s">
        <v>184</v>
      </c>
      <c r="I949" t="s">
        <v>185</v>
      </c>
      <c r="J949" t="s">
        <v>49</v>
      </c>
      <c r="K949" t="s">
        <v>24</v>
      </c>
      <c r="L949">
        <v>3</v>
      </c>
      <c r="M949">
        <v>4400</v>
      </c>
      <c r="N949">
        <v>0.05</v>
      </c>
      <c r="O949">
        <v>2540</v>
      </c>
    </row>
    <row r="950" spans="1:15" x14ac:dyDescent="0.25">
      <c r="A950" t="s">
        <v>1099</v>
      </c>
      <c r="B950">
        <v>45775</v>
      </c>
      <c r="C950" t="s">
        <v>76</v>
      </c>
      <c r="D950" t="s">
        <v>99</v>
      </c>
      <c r="E950" t="s">
        <v>78</v>
      </c>
      <c r="F950" t="s">
        <v>45</v>
      </c>
      <c r="G950" t="s">
        <v>83</v>
      </c>
      <c r="H950" t="s">
        <v>84</v>
      </c>
      <c r="I950" t="s">
        <v>85</v>
      </c>
      <c r="J950" t="s">
        <v>40</v>
      </c>
      <c r="K950" t="s">
        <v>119</v>
      </c>
      <c r="L950">
        <v>61</v>
      </c>
      <c r="M950">
        <v>2420</v>
      </c>
      <c r="N950">
        <v>0.1</v>
      </c>
      <c r="O950">
        <v>1880</v>
      </c>
    </row>
    <row r="951" spans="1:15" x14ac:dyDescent="0.25">
      <c r="A951" t="s">
        <v>1100</v>
      </c>
      <c r="B951">
        <v>45776</v>
      </c>
      <c r="C951" t="s">
        <v>16</v>
      </c>
      <c r="D951" t="s">
        <v>31</v>
      </c>
      <c r="E951" t="s">
        <v>26</v>
      </c>
      <c r="F951" t="s">
        <v>19</v>
      </c>
      <c r="G951" t="s">
        <v>46</v>
      </c>
      <c r="H951" t="s">
        <v>179</v>
      </c>
      <c r="I951" t="s">
        <v>236</v>
      </c>
      <c r="J951" t="s">
        <v>49</v>
      </c>
      <c r="K951" t="s">
        <v>24</v>
      </c>
      <c r="L951">
        <v>10</v>
      </c>
      <c r="M951">
        <v>2140</v>
      </c>
      <c r="N951">
        <v>0.15</v>
      </c>
      <c r="O951">
        <v>1580</v>
      </c>
    </row>
    <row r="952" spans="1:15" x14ac:dyDescent="0.25">
      <c r="A952" t="s">
        <v>1101</v>
      </c>
      <c r="B952">
        <v>45776</v>
      </c>
      <c r="C952" t="s">
        <v>37</v>
      </c>
      <c r="D952" t="s">
        <v>213</v>
      </c>
      <c r="E952" t="s">
        <v>68</v>
      </c>
      <c r="F952" t="s">
        <v>52</v>
      </c>
      <c r="G952" t="s">
        <v>20</v>
      </c>
      <c r="H952" t="s">
        <v>33</v>
      </c>
      <c r="I952" t="s">
        <v>34</v>
      </c>
      <c r="J952" t="s">
        <v>40</v>
      </c>
      <c r="K952" t="s">
        <v>24</v>
      </c>
      <c r="L952">
        <v>4</v>
      </c>
      <c r="M952">
        <v>55770</v>
      </c>
      <c r="N952">
        <v>0.08</v>
      </c>
      <c r="O952">
        <v>31860</v>
      </c>
    </row>
    <row r="953" spans="1:15" x14ac:dyDescent="0.25">
      <c r="A953" t="s">
        <v>1102</v>
      </c>
      <c r="B953">
        <v>45776</v>
      </c>
      <c r="C953" t="s">
        <v>76</v>
      </c>
      <c r="D953" t="s">
        <v>125</v>
      </c>
      <c r="E953" t="s">
        <v>170</v>
      </c>
      <c r="F953" t="s">
        <v>52</v>
      </c>
      <c r="G953" t="s">
        <v>20</v>
      </c>
      <c r="H953" t="s">
        <v>33</v>
      </c>
      <c r="I953" t="s">
        <v>139</v>
      </c>
      <c r="J953" t="s">
        <v>23</v>
      </c>
      <c r="K953" t="s">
        <v>94</v>
      </c>
      <c r="L953">
        <v>4</v>
      </c>
      <c r="M953">
        <v>63370</v>
      </c>
      <c r="N953">
        <v>0.15</v>
      </c>
      <c r="O953">
        <v>49030</v>
      </c>
    </row>
    <row r="954" spans="1:15" x14ac:dyDescent="0.25">
      <c r="A954" t="s">
        <v>1103</v>
      </c>
      <c r="B954">
        <v>45779</v>
      </c>
      <c r="C954" t="s">
        <v>16</v>
      </c>
      <c r="D954" t="s">
        <v>51</v>
      </c>
      <c r="E954" t="s">
        <v>18</v>
      </c>
      <c r="F954" t="s">
        <v>52</v>
      </c>
      <c r="G954" t="s">
        <v>46</v>
      </c>
      <c r="H954" t="s">
        <v>100</v>
      </c>
      <c r="I954" t="s">
        <v>177</v>
      </c>
      <c r="J954" t="s">
        <v>49</v>
      </c>
      <c r="K954" t="s">
        <v>24</v>
      </c>
      <c r="L954">
        <v>4</v>
      </c>
      <c r="M954">
        <v>2520</v>
      </c>
      <c r="N954">
        <v>0</v>
      </c>
      <c r="O954">
        <v>1840</v>
      </c>
    </row>
    <row r="955" spans="1:15" x14ac:dyDescent="0.25">
      <c r="A955" t="s">
        <v>1104</v>
      </c>
      <c r="B955">
        <v>45779</v>
      </c>
      <c r="C955" t="s">
        <v>56</v>
      </c>
      <c r="D955" t="s">
        <v>143</v>
      </c>
      <c r="E955" t="s">
        <v>91</v>
      </c>
      <c r="F955" t="s">
        <v>52</v>
      </c>
      <c r="G955" t="s">
        <v>83</v>
      </c>
      <c r="H955" t="s">
        <v>84</v>
      </c>
      <c r="I955" t="s">
        <v>85</v>
      </c>
      <c r="J955" t="s">
        <v>23</v>
      </c>
      <c r="K955" t="s">
        <v>24</v>
      </c>
      <c r="L955">
        <v>9</v>
      </c>
      <c r="M955">
        <v>2420</v>
      </c>
      <c r="N955">
        <v>0.08</v>
      </c>
      <c r="O955">
        <v>1470</v>
      </c>
    </row>
    <row r="956" spans="1:15" x14ac:dyDescent="0.25">
      <c r="A956" t="s">
        <v>1105</v>
      </c>
      <c r="B956">
        <v>45779</v>
      </c>
      <c r="C956" t="s">
        <v>76</v>
      </c>
      <c r="D956" t="s">
        <v>150</v>
      </c>
      <c r="E956" t="s">
        <v>78</v>
      </c>
      <c r="F956" t="s">
        <v>92</v>
      </c>
      <c r="G956" t="s">
        <v>46</v>
      </c>
      <c r="H956" t="s">
        <v>179</v>
      </c>
      <c r="I956" t="s">
        <v>221</v>
      </c>
      <c r="J956" t="s">
        <v>40</v>
      </c>
      <c r="K956" t="s">
        <v>35</v>
      </c>
      <c r="L956">
        <v>20</v>
      </c>
      <c r="M956">
        <v>1710</v>
      </c>
      <c r="N956">
        <v>0.12</v>
      </c>
      <c r="O956">
        <v>1310</v>
      </c>
    </row>
    <row r="957" spans="1:15" x14ac:dyDescent="0.25">
      <c r="A957" t="s">
        <v>1106</v>
      </c>
      <c r="B957">
        <v>45781</v>
      </c>
      <c r="C957" t="s">
        <v>42</v>
      </c>
      <c r="D957" t="s">
        <v>123</v>
      </c>
      <c r="E957" t="s">
        <v>97</v>
      </c>
      <c r="F957" t="s">
        <v>19</v>
      </c>
      <c r="G957" t="s">
        <v>27</v>
      </c>
      <c r="H957" t="s">
        <v>79</v>
      </c>
      <c r="I957" t="s">
        <v>262</v>
      </c>
      <c r="J957" t="s">
        <v>40</v>
      </c>
      <c r="K957" t="s">
        <v>24</v>
      </c>
      <c r="L957">
        <v>13</v>
      </c>
      <c r="M957">
        <v>2510</v>
      </c>
      <c r="N957">
        <v>0.08</v>
      </c>
      <c r="O957">
        <v>1660</v>
      </c>
    </row>
    <row r="958" spans="1:15" x14ac:dyDescent="0.25">
      <c r="A958" t="s">
        <v>1107</v>
      </c>
      <c r="B958">
        <v>45781</v>
      </c>
      <c r="C958" t="s">
        <v>56</v>
      </c>
      <c r="D958" t="s">
        <v>133</v>
      </c>
      <c r="E958" t="s">
        <v>58</v>
      </c>
      <c r="F958" t="s">
        <v>19</v>
      </c>
      <c r="G958" t="s">
        <v>20</v>
      </c>
      <c r="H958" t="s">
        <v>109</v>
      </c>
      <c r="I958" t="s">
        <v>110</v>
      </c>
      <c r="J958" t="s">
        <v>23</v>
      </c>
      <c r="K958" t="s">
        <v>24</v>
      </c>
      <c r="L958">
        <v>1</v>
      </c>
      <c r="M958">
        <v>70500</v>
      </c>
      <c r="N958">
        <v>0.25</v>
      </c>
      <c r="O958">
        <v>50260</v>
      </c>
    </row>
    <row r="959" spans="1:15" x14ac:dyDescent="0.25">
      <c r="A959" t="s">
        <v>1108</v>
      </c>
      <c r="B959">
        <v>45781</v>
      </c>
      <c r="C959" t="s">
        <v>16</v>
      </c>
      <c r="D959" t="s">
        <v>31</v>
      </c>
      <c r="E959" t="s">
        <v>32</v>
      </c>
      <c r="F959" t="s">
        <v>45</v>
      </c>
      <c r="G959" t="s">
        <v>46</v>
      </c>
      <c r="H959" t="s">
        <v>47</v>
      </c>
      <c r="I959" t="s">
        <v>48</v>
      </c>
      <c r="J959" t="s">
        <v>23</v>
      </c>
      <c r="K959" t="s">
        <v>24</v>
      </c>
      <c r="L959">
        <v>6</v>
      </c>
      <c r="M959">
        <v>1850</v>
      </c>
      <c r="N959">
        <v>0</v>
      </c>
      <c r="O959">
        <v>1300</v>
      </c>
    </row>
    <row r="960" spans="1:15" x14ac:dyDescent="0.25">
      <c r="A960" t="s">
        <v>1109</v>
      </c>
      <c r="B960">
        <v>45782</v>
      </c>
      <c r="C960" t="s">
        <v>16</v>
      </c>
      <c r="D960" t="s">
        <v>17</v>
      </c>
      <c r="E960" t="s">
        <v>32</v>
      </c>
      <c r="F960" t="s">
        <v>19</v>
      </c>
      <c r="G960" t="s">
        <v>20</v>
      </c>
      <c r="H960" t="s">
        <v>109</v>
      </c>
      <c r="I960" t="s">
        <v>110</v>
      </c>
      <c r="J960" t="s">
        <v>23</v>
      </c>
      <c r="K960" t="s">
        <v>119</v>
      </c>
      <c r="L960">
        <v>1</v>
      </c>
      <c r="M960">
        <v>68600</v>
      </c>
      <c r="N960">
        <v>0.05</v>
      </c>
      <c r="O960">
        <v>51910</v>
      </c>
    </row>
    <row r="961" spans="1:15" x14ac:dyDescent="0.25">
      <c r="A961" t="s">
        <v>1110</v>
      </c>
      <c r="B961">
        <v>45782</v>
      </c>
      <c r="C961" t="s">
        <v>37</v>
      </c>
      <c r="D961" t="s">
        <v>115</v>
      </c>
      <c r="E961" t="s">
        <v>39</v>
      </c>
      <c r="F961" t="s">
        <v>92</v>
      </c>
      <c r="G961" t="s">
        <v>20</v>
      </c>
      <c r="H961" t="s">
        <v>109</v>
      </c>
      <c r="I961" t="s">
        <v>159</v>
      </c>
      <c r="J961" t="s">
        <v>23</v>
      </c>
      <c r="K961" t="s">
        <v>24</v>
      </c>
      <c r="L961">
        <v>16</v>
      </c>
      <c r="M961">
        <v>19010</v>
      </c>
      <c r="N961">
        <v>0.15</v>
      </c>
      <c r="O961">
        <v>14630</v>
      </c>
    </row>
    <row r="962" spans="1:15" x14ac:dyDescent="0.25">
      <c r="A962" t="s">
        <v>1111</v>
      </c>
      <c r="B962">
        <v>45783</v>
      </c>
      <c r="C962" t="s">
        <v>16</v>
      </c>
      <c r="D962" t="s">
        <v>51</v>
      </c>
      <c r="E962" t="s">
        <v>26</v>
      </c>
      <c r="F962" t="s">
        <v>45</v>
      </c>
      <c r="G962" t="s">
        <v>83</v>
      </c>
      <c r="H962" t="s">
        <v>136</v>
      </c>
      <c r="I962" t="s">
        <v>307</v>
      </c>
      <c r="J962" t="s">
        <v>40</v>
      </c>
      <c r="K962" t="s">
        <v>24</v>
      </c>
      <c r="L962">
        <v>43</v>
      </c>
      <c r="M962">
        <v>970</v>
      </c>
      <c r="N962">
        <v>0</v>
      </c>
      <c r="O962">
        <v>660</v>
      </c>
    </row>
    <row r="963" spans="1:15" x14ac:dyDescent="0.25">
      <c r="A963" t="s">
        <v>1112</v>
      </c>
      <c r="B963">
        <v>45784</v>
      </c>
      <c r="C963" t="s">
        <v>42</v>
      </c>
      <c r="D963" t="s">
        <v>146</v>
      </c>
      <c r="E963" t="s">
        <v>44</v>
      </c>
      <c r="F963" t="s">
        <v>92</v>
      </c>
      <c r="G963" t="s">
        <v>46</v>
      </c>
      <c r="H963" t="s">
        <v>47</v>
      </c>
      <c r="I963" t="s">
        <v>259</v>
      </c>
      <c r="J963" t="s">
        <v>40</v>
      </c>
      <c r="K963" t="s">
        <v>24</v>
      </c>
      <c r="L963">
        <v>34</v>
      </c>
      <c r="M963">
        <v>2960</v>
      </c>
      <c r="N963">
        <v>0.05</v>
      </c>
      <c r="O963">
        <v>2310</v>
      </c>
    </row>
    <row r="964" spans="1:15" x14ac:dyDescent="0.25">
      <c r="A964" t="s">
        <v>1113</v>
      </c>
      <c r="B964">
        <v>45784</v>
      </c>
      <c r="C964" t="s">
        <v>56</v>
      </c>
      <c r="D964" t="s">
        <v>143</v>
      </c>
      <c r="E964" t="s">
        <v>134</v>
      </c>
      <c r="F964" t="s">
        <v>92</v>
      </c>
      <c r="G964" t="s">
        <v>20</v>
      </c>
      <c r="H964" t="s">
        <v>109</v>
      </c>
      <c r="I964" t="s">
        <v>171</v>
      </c>
      <c r="J964" t="s">
        <v>40</v>
      </c>
      <c r="K964" t="s">
        <v>119</v>
      </c>
      <c r="L964">
        <v>3</v>
      </c>
      <c r="M964">
        <v>21730</v>
      </c>
      <c r="N964">
        <v>0.2</v>
      </c>
      <c r="O964">
        <v>14410</v>
      </c>
    </row>
    <row r="965" spans="1:15" x14ac:dyDescent="0.25">
      <c r="A965" t="s">
        <v>1114</v>
      </c>
      <c r="B965">
        <v>45784</v>
      </c>
      <c r="C965" t="s">
        <v>76</v>
      </c>
      <c r="D965" t="s">
        <v>217</v>
      </c>
      <c r="E965" t="s">
        <v>78</v>
      </c>
      <c r="F965" t="s">
        <v>19</v>
      </c>
      <c r="G965" t="s">
        <v>27</v>
      </c>
      <c r="H965" t="s">
        <v>79</v>
      </c>
      <c r="I965" t="s">
        <v>168</v>
      </c>
      <c r="J965" t="s">
        <v>40</v>
      </c>
      <c r="K965" t="s">
        <v>24</v>
      </c>
      <c r="L965">
        <v>5</v>
      </c>
      <c r="M965">
        <v>10160</v>
      </c>
      <c r="N965">
        <v>0.2</v>
      </c>
      <c r="O965">
        <v>7400</v>
      </c>
    </row>
    <row r="966" spans="1:15" x14ac:dyDescent="0.25">
      <c r="A966" t="s">
        <v>1115</v>
      </c>
      <c r="B966">
        <v>45784</v>
      </c>
      <c r="C966" t="s">
        <v>56</v>
      </c>
      <c r="D966" t="s">
        <v>57</v>
      </c>
      <c r="E966" t="s">
        <v>91</v>
      </c>
      <c r="F966" t="s">
        <v>19</v>
      </c>
      <c r="G966" t="s">
        <v>46</v>
      </c>
      <c r="H966" t="s">
        <v>47</v>
      </c>
      <c r="I966" t="s">
        <v>259</v>
      </c>
      <c r="J966" t="s">
        <v>23</v>
      </c>
      <c r="K966" t="s">
        <v>119</v>
      </c>
      <c r="L966">
        <v>6</v>
      </c>
      <c r="M966">
        <v>3020</v>
      </c>
      <c r="N966">
        <v>0.08</v>
      </c>
      <c r="O966">
        <v>1740</v>
      </c>
    </row>
    <row r="967" spans="1:15" x14ac:dyDescent="0.25">
      <c r="A967" t="s">
        <v>1116</v>
      </c>
      <c r="B967">
        <v>45784</v>
      </c>
      <c r="C967" t="s">
        <v>56</v>
      </c>
      <c r="D967" t="s">
        <v>127</v>
      </c>
      <c r="E967" t="s">
        <v>58</v>
      </c>
      <c r="F967" t="s">
        <v>19</v>
      </c>
      <c r="G967" t="s">
        <v>20</v>
      </c>
      <c r="H967" t="s">
        <v>109</v>
      </c>
      <c r="I967" t="s">
        <v>110</v>
      </c>
      <c r="J967" t="s">
        <v>23</v>
      </c>
      <c r="K967" t="s">
        <v>24</v>
      </c>
      <c r="L967">
        <v>4</v>
      </c>
      <c r="M967">
        <v>73220</v>
      </c>
      <c r="N967">
        <v>0.12</v>
      </c>
      <c r="O967">
        <v>55430</v>
      </c>
    </row>
    <row r="968" spans="1:15" x14ac:dyDescent="0.25">
      <c r="A968" t="s">
        <v>1117</v>
      </c>
      <c r="B968">
        <v>45786</v>
      </c>
      <c r="C968" t="s">
        <v>42</v>
      </c>
      <c r="D968" t="s">
        <v>96</v>
      </c>
      <c r="E968" t="s">
        <v>44</v>
      </c>
      <c r="F968" t="s">
        <v>92</v>
      </c>
      <c r="G968" t="s">
        <v>20</v>
      </c>
      <c r="H968" t="s">
        <v>21</v>
      </c>
      <c r="I968" t="s">
        <v>22</v>
      </c>
      <c r="J968" t="s">
        <v>40</v>
      </c>
      <c r="K968" t="s">
        <v>24</v>
      </c>
      <c r="L968">
        <v>16</v>
      </c>
      <c r="M968">
        <v>1910</v>
      </c>
      <c r="N968">
        <v>0.18</v>
      </c>
      <c r="O968">
        <v>1340</v>
      </c>
    </row>
    <row r="969" spans="1:15" x14ac:dyDescent="0.25">
      <c r="A969" t="s">
        <v>1118</v>
      </c>
      <c r="B969">
        <v>45786</v>
      </c>
      <c r="C969" t="s">
        <v>56</v>
      </c>
      <c r="D969" t="s">
        <v>72</v>
      </c>
      <c r="E969" t="s">
        <v>58</v>
      </c>
      <c r="F969" t="s">
        <v>19</v>
      </c>
      <c r="G969" t="s">
        <v>46</v>
      </c>
      <c r="H969" t="s">
        <v>47</v>
      </c>
      <c r="I969" t="s">
        <v>93</v>
      </c>
      <c r="J969" t="s">
        <v>40</v>
      </c>
      <c r="K969" t="s">
        <v>24</v>
      </c>
      <c r="L969">
        <v>3</v>
      </c>
      <c r="M969">
        <v>1230</v>
      </c>
      <c r="N969">
        <v>0.05</v>
      </c>
      <c r="O969">
        <v>760</v>
      </c>
    </row>
    <row r="970" spans="1:15" x14ac:dyDescent="0.25">
      <c r="A970" t="s">
        <v>1119</v>
      </c>
      <c r="B970">
        <v>45786</v>
      </c>
      <c r="C970" t="s">
        <v>56</v>
      </c>
      <c r="D970" t="s">
        <v>127</v>
      </c>
      <c r="E970" t="s">
        <v>91</v>
      </c>
      <c r="F970" t="s">
        <v>92</v>
      </c>
      <c r="G970" t="s">
        <v>27</v>
      </c>
      <c r="H970" t="s">
        <v>28</v>
      </c>
      <c r="I970" t="s">
        <v>141</v>
      </c>
      <c r="J970" t="s">
        <v>23</v>
      </c>
      <c r="K970" t="s">
        <v>24</v>
      </c>
      <c r="L970">
        <v>7</v>
      </c>
      <c r="M970">
        <v>16620</v>
      </c>
      <c r="N970">
        <v>0.05</v>
      </c>
      <c r="O970">
        <v>10180</v>
      </c>
    </row>
    <row r="971" spans="1:15" x14ac:dyDescent="0.25">
      <c r="A971" t="s">
        <v>1120</v>
      </c>
      <c r="B971">
        <v>45787</v>
      </c>
      <c r="C971" t="s">
        <v>56</v>
      </c>
      <c r="D971" t="s">
        <v>133</v>
      </c>
      <c r="E971" t="s">
        <v>58</v>
      </c>
      <c r="F971" t="s">
        <v>45</v>
      </c>
      <c r="G971" t="s">
        <v>20</v>
      </c>
      <c r="H971" t="s">
        <v>109</v>
      </c>
      <c r="I971" t="s">
        <v>171</v>
      </c>
      <c r="J971" t="s">
        <v>40</v>
      </c>
      <c r="K971" t="s">
        <v>24</v>
      </c>
      <c r="L971">
        <v>2</v>
      </c>
      <c r="M971">
        <v>22000</v>
      </c>
      <c r="N971">
        <v>0.05</v>
      </c>
      <c r="O971">
        <v>12950</v>
      </c>
    </row>
    <row r="972" spans="1:15" x14ac:dyDescent="0.25">
      <c r="A972" t="s">
        <v>1121</v>
      </c>
      <c r="B972">
        <v>45787</v>
      </c>
      <c r="C972" t="s">
        <v>16</v>
      </c>
      <c r="D972" t="s">
        <v>82</v>
      </c>
      <c r="E972" t="s">
        <v>26</v>
      </c>
      <c r="F972" t="s">
        <v>19</v>
      </c>
      <c r="G972" t="s">
        <v>83</v>
      </c>
      <c r="H972" t="s">
        <v>84</v>
      </c>
      <c r="I972" t="s">
        <v>292</v>
      </c>
      <c r="J972" t="s">
        <v>23</v>
      </c>
      <c r="K972" t="s">
        <v>24</v>
      </c>
      <c r="L972">
        <v>2</v>
      </c>
      <c r="M972">
        <v>43110</v>
      </c>
      <c r="N972">
        <v>0.18</v>
      </c>
      <c r="O972">
        <v>25010</v>
      </c>
    </row>
    <row r="973" spans="1:15" x14ac:dyDescent="0.25">
      <c r="A973" t="s">
        <v>1122</v>
      </c>
      <c r="B973">
        <v>45787</v>
      </c>
      <c r="C973" t="s">
        <v>42</v>
      </c>
      <c r="D973" t="s">
        <v>123</v>
      </c>
      <c r="E973" t="s">
        <v>44</v>
      </c>
      <c r="F973" t="s">
        <v>52</v>
      </c>
      <c r="G973" t="s">
        <v>59</v>
      </c>
      <c r="H973" t="s">
        <v>60</v>
      </c>
      <c r="I973" t="s">
        <v>200</v>
      </c>
      <c r="J973" t="s">
        <v>40</v>
      </c>
      <c r="K973" t="s">
        <v>24</v>
      </c>
      <c r="L973">
        <v>10</v>
      </c>
      <c r="M973">
        <v>9020</v>
      </c>
      <c r="N973">
        <v>0.12</v>
      </c>
      <c r="O973">
        <v>5550</v>
      </c>
    </row>
    <row r="974" spans="1:15" x14ac:dyDescent="0.25">
      <c r="A974" t="s">
        <v>1123</v>
      </c>
      <c r="B974">
        <v>45787</v>
      </c>
      <c r="C974" t="s">
        <v>56</v>
      </c>
      <c r="D974" t="s">
        <v>57</v>
      </c>
      <c r="E974" t="s">
        <v>91</v>
      </c>
      <c r="F974" t="s">
        <v>92</v>
      </c>
      <c r="G974" t="s">
        <v>83</v>
      </c>
      <c r="H974" t="s">
        <v>184</v>
      </c>
      <c r="I974" t="s">
        <v>185</v>
      </c>
      <c r="J974" t="s">
        <v>49</v>
      </c>
      <c r="K974" t="s">
        <v>24</v>
      </c>
      <c r="L974">
        <v>25</v>
      </c>
      <c r="M974">
        <v>4600</v>
      </c>
      <c r="N974">
        <v>0.18</v>
      </c>
      <c r="O974">
        <v>3580</v>
      </c>
    </row>
    <row r="975" spans="1:15" x14ac:dyDescent="0.25">
      <c r="A975" t="s">
        <v>1124</v>
      </c>
      <c r="B975">
        <v>45788</v>
      </c>
      <c r="C975" t="s">
        <v>42</v>
      </c>
      <c r="D975" t="s">
        <v>96</v>
      </c>
      <c r="E975" t="s">
        <v>44</v>
      </c>
      <c r="F975" t="s">
        <v>92</v>
      </c>
      <c r="G975" t="s">
        <v>27</v>
      </c>
      <c r="H975" t="s">
        <v>53</v>
      </c>
      <c r="I975" t="s">
        <v>54</v>
      </c>
      <c r="J975" t="s">
        <v>23</v>
      </c>
      <c r="K975" t="s">
        <v>24</v>
      </c>
      <c r="L975">
        <v>4</v>
      </c>
      <c r="M975">
        <v>41560</v>
      </c>
      <c r="N975">
        <v>0.1</v>
      </c>
      <c r="O975">
        <v>23850</v>
      </c>
    </row>
    <row r="976" spans="1:15" x14ac:dyDescent="0.25">
      <c r="A976" t="s">
        <v>1125</v>
      </c>
      <c r="B976">
        <v>45788</v>
      </c>
      <c r="C976" t="s">
        <v>37</v>
      </c>
      <c r="D976" t="s">
        <v>161</v>
      </c>
      <c r="E976" t="s">
        <v>39</v>
      </c>
      <c r="F976" t="s">
        <v>45</v>
      </c>
      <c r="G976" t="s">
        <v>59</v>
      </c>
      <c r="H976" t="s">
        <v>154</v>
      </c>
      <c r="I976" t="s">
        <v>155</v>
      </c>
      <c r="J976" t="s">
        <v>40</v>
      </c>
      <c r="K976" t="s">
        <v>24</v>
      </c>
      <c r="L976">
        <v>6</v>
      </c>
      <c r="M976">
        <v>12080</v>
      </c>
      <c r="N976">
        <v>0.12</v>
      </c>
      <c r="O976">
        <v>8790</v>
      </c>
    </row>
    <row r="977" spans="1:15" x14ac:dyDescent="0.25">
      <c r="A977" t="s">
        <v>1126</v>
      </c>
      <c r="B977">
        <v>45788</v>
      </c>
      <c r="C977" t="s">
        <v>56</v>
      </c>
      <c r="D977" t="s">
        <v>127</v>
      </c>
      <c r="E977" t="s">
        <v>58</v>
      </c>
      <c r="F977" t="s">
        <v>19</v>
      </c>
      <c r="G977" t="s">
        <v>46</v>
      </c>
      <c r="H977" t="s">
        <v>100</v>
      </c>
      <c r="I977" t="s">
        <v>177</v>
      </c>
      <c r="J977" t="s">
        <v>23</v>
      </c>
      <c r="K977" t="s">
        <v>24</v>
      </c>
      <c r="L977">
        <v>39</v>
      </c>
      <c r="M977">
        <v>2690</v>
      </c>
      <c r="N977">
        <v>0.05</v>
      </c>
      <c r="O977">
        <v>1970</v>
      </c>
    </row>
    <row r="978" spans="1:15" x14ac:dyDescent="0.25">
      <c r="A978" t="s">
        <v>1127</v>
      </c>
      <c r="B978">
        <v>45789</v>
      </c>
      <c r="C978" t="s">
        <v>42</v>
      </c>
      <c r="D978" t="s">
        <v>146</v>
      </c>
      <c r="E978" t="s">
        <v>64</v>
      </c>
      <c r="F978" t="s">
        <v>92</v>
      </c>
      <c r="G978" t="s">
        <v>20</v>
      </c>
      <c r="H978" t="s">
        <v>109</v>
      </c>
      <c r="I978" t="s">
        <v>110</v>
      </c>
      <c r="J978" t="s">
        <v>23</v>
      </c>
      <c r="K978" t="s">
        <v>24</v>
      </c>
      <c r="L978">
        <v>2</v>
      </c>
      <c r="M978">
        <v>73140</v>
      </c>
      <c r="N978">
        <v>0.05</v>
      </c>
      <c r="O978">
        <v>51100</v>
      </c>
    </row>
    <row r="979" spans="1:15" x14ac:dyDescent="0.25">
      <c r="A979" t="s">
        <v>1128</v>
      </c>
      <c r="B979">
        <v>45789</v>
      </c>
      <c r="C979" t="s">
        <v>16</v>
      </c>
      <c r="D979" t="s">
        <v>82</v>
      </c>
      <c r="E979" t="s">
        <v>32</v>
      </c>
      <c r="F979" t="s">
        <v>19</v>
      </c>
      <c r="G979" t="s">
        <v>83</v>
      </c>
      <c r="H979" t="s">
        <v>136</v>
      </c>
      <c r="I979" t="s">
        <v>137</v>
      </c>
      <c r="J979" t="s">
        <v>49</v>
      </c>
      <c r="K979" t="s">
        <v>24</v>
      </c>
      <c r="L979">
        <v>33</v>
      </c>
      <c r="M979">
        <v>1700</v>
      </c>
      <c r="N979">
        <v>0.25</v>
      </c>
      <c r="O979">
        <v>1310</v>
      </c>
    </row>
    <row r="980" spans="1:15" x14ac:dyDescent="0.25">
      <c r="A980" t="s">
        <v>1129</v>
      </c>
      <c r="B980">
        <v>45790</v>
      </c>
      <c r="C980" t="s">
        <v>42</v>
      </c>
      <c r="D980" t="s">
        <v>146</v>
      </c>
      <c r="E980" t="s">
        <v>97</v>
      </c>
      <c r="F980" t="s">
        <v>92</v>
      </c>
      <c r="G980" t="s">
        <v>20</v>
      </c>
      <c r="H980" t="s">
        <v>33</v>
      </c>
      <c r="I980" t="s">
        <v>182</v>
      </c>
      <c r="J980" t="s">
        <v>49</v>
      </c>
      <c r="K980" t="s">
        <v>24</v>
      </c>
      <c r="L980">
        <v>5</v>
      </c>
      <c r="M980">
        <v>100680</v>
      </c>
      <c r="N980">
        <v>0.25</v>
      </c>
      <c r="O980">
        <v>70680</v>
      </c>
    </row>
    <row r="981" spans="1:15" x14ac:dyDescent="0.25">
      <c r="A981" t="s">
        <v>1130</v>
      </c>
      <c r="B981">
        <v>45790</v>
      </c>
      <c r="C981" t="s">
        <v>37</v>
      </c>
      <c r="D981" t="s">
        <v>38</v>
      </c>
      <c r="E981" t="s">
        <v>39</v>
      </c>
      <c r="F981" t="s">
        <v>19</v>
      </c>
      <c r="G981" t="s">
        <v>59</v>
      </c>
      <c r="H981" t="s">
        <v>154</v>
      </c>
      <c r="I981" t="s">
        <v>249</v>
      </c>
      <c r="J981" t="s">
        <v>23</v>
      </c>
      <c r="K981" t="s">
        <v>24</v>
      </c>
      <c r="L981">
        <v>10</v>
      </c>
      <c r="M981">
        <v>6940</v>
      </c>
      <c r="N981">
        <v>0.08</v>
      </c>
      <c r="O981">
        <v>5390</v>
      </c>
    </row>
    <row r="982" spans="1:15" x14ac:dyDescent="0.25">
      <c r="A982" t="s">
        <v>1131</v>
      </c>
      <c r="B982">
        <v>45790</v>
      </c>
      <c r="C982" t="s">
        <v>76</v>
      </c>
      <c r="D982" t="s">
        <v>112</v>
      </c>
      <c r="E982" t="s">
        <v>170</v>
      </c>
      <c r="F982" t="s">
        <v>19</v>
      </c>
      <c r="G982" t="s">
        <v>59</v>
      </c>
      <c r="H982" t="s">
        <v>73</v>
      </c>
      <c r="I982" t="s">
        <v>74</v>
      </c>
      <c r="J982" t="s">
        <v>49</v>
      </c>
      <c r="K982" t="s">
        <v>24</v>
      </c>
      <c r="L982">
        <v>2</v>
      </c>
      <c r="M982">
        <v>43910</v>
      </c>
      <c r="N982">
        <v>0.12</v>
      </c>
      <c r="O982">
        <v>27080</v>
      </c>
    </row>
    <row r="983" spans="1:15" x14ac:dyDescent="0.25">
      <c r="A983" t="s">
        <v>1132</v>
      </c>
      <c r="B983">
        <v>45791</v>
      </c>
      <c r="C983" t="s">
        <v>56</v>
      </c>
      <c r="D983" t="s">
        <v>127</v>
      </c>
      <c r="E983" t="s">
        <v>91</v>
      </c>
      <c r="F983" t="s">
        <v>52</v>
      </c>
      <c r="G983" t="s">
        <v>59</v>
      </c>
      <c r="H983" t="s">
        <v>69</v>
      </c>
      <c r="I983" t="s">
        <v>121</v>
      </c>
      <c r="J983" t="s">
        <v>23</v>
      </c>
      <c r="K983" t="s">
        <v>24</v>
      </c>
      <c r="L983">
        <v>3</v>
      </c>
      <c r="M983">
        <v>3710</v>
      </c>
      <c r="N983">
        <v>0.15</v>
      </c>
      <c r="O983">
        <v>2210</v>
      </c>
    </row>
    <row r="984" spans="1:15" x14ac:dyDescent="0.25">
      <c r="A984" t="s">
        <v>1133</v>
      </c>
      <c r="B984">
        <v>45792</v>
      </c>
      <c r="C984" t="s">
        <v>56</v>
      </c>
      <c r="D984" t="s">
        <v>72</v>
      </c>
      <c r="E984" t="s">
        <v>91</v>
      </c>
      <c r="F984" t="s">
        <v>45</v>
      </c>
      <c r="G984" t="s">
        <v>59</v>
      </c>
      <c r="H984" t="s">
        <v>60</v>
      </c>
      <c r="I984" t="s">
        <v>200</v>
      </c>
      <c r="J984" t="s">
        <v>40</v>
      </c>
      <c r="K984" t="s">
        <v>24</v>
      </c>
      <c r="L984">
        <v>20</v>
      </c>
      <c r="M984">
        <v>8270</v>
      </c>
      <c r="N984">
        <v>0.1</v>
      </c>
      <c r="O984">
        <v>5460</v>
      </c>
    </row>
    <row r="985" spans="1:15" x14ac:dyDescent="0.25">
      <c r="A985" t="s">
        <v>1134</v>
      </c>
      <c r="B985">
        <v>45794</v>
      </c>
      <c r="C985" t="s">
        <v>37</v>
      </c>
      <c r="D985" t="s">
        <v>115</v>
      </c>
      <c r="E985" t="s">
        <v>39</v>
      </c>
      <c r="F985" t="s">
        <v>92</v>
      </c>
      <c r="G985" t="s">
        <v>20</v>
      </c>
      <c r="H985" t="s">
        <v>21</v>
      </c>
      <c r="I985" t="s">
        <v>22</v>
      </c>
      <c r="J985" t="s">
        <v>40</v>
      </c>
      <c r="K985" t="s">
        <v>24</v>
      </c>
      <c r="L985">
        <v>56</v>
      </c>
      <c r="M985">
        <v>1890</v>
      </c>
      <c r="N985">
        <v>0.12</v>
      </c>
      <c r="O985">
        <v>1220</v>
      </c>
    </row>
    <row r="986" spans="1:15" x14ac:dyDescent="0.25">
      <c r="A986" t="s">
        <v>1135</v>
      </c>
      <c r="B986">
        <v>45794</v>
      </c>
      <c r="C986" t="s">
        <v>76</v>
      </c>
      <c r="D986" t="s">
        <v>150</v>
      </c>
      <c r="E986" t="s">
        <v>170</v>
      </c>
      <c r="F986" t="s">
        <v>52</v>
      </c>
      <c r="G986" t="s">
        <v>46</v>
      </c>
      <c r="H986" t="s">
        <v>179</v>
      </c>
      <c r="I986" t="s">
        <v>221</v>
      </c>
      <c r="J986" t="s">
        <v>23</v>
      </c>
      <c r="K986" t="s">
        <v>24</v>
      </c>
      <c r="L986">
        <v>38</v>
      </c>
      <c r="M986">
        <v>1600</v>
      </c>
      <c r="N986">
        <v>0.08</v>
      </c>
      <c r="O986">
        <v>1130</v>
      </c>
    </row>
    <row r="987" spans="1:15" x14ac:dyDescent="0.25">
      <c r="A987" t="s">
        <v>1136</v>
      </c>
      <c r="B987">
        <v>45795</v>
      </c>
      <c r="C987" t="s">
        <v>76</v>
      </c>
      <c r="D987" t="s">
        <v>99</v>
      </c>
      <c r="E987" t="s">
        <v>170</v>
      </c>
      <c r="F987" t="s">
        <v>92</v>
      </c>
      <c r="G987" t="s">
        <v>27</v>
      </c>
      <c r="H987" t="s">
        <v>214</v>
      </c>
      <c r="I987" t="s">
        <v>215</v>
      </c>
      <c r="J987" t="s">
        <v>23</v>
      </c>
      <c r="K987" t="s">
        <v>35</v>
      </c>
      <c r="L987">
        <v>2</v>
      </c>
      <c r="M987">
        <v>34160</v>
      </c>
      <c r="N987">
        <v>0.2</v>
      </c>
      <c r="O987">
        <v>21540</v>
      </c>
    </row>
    <row r="988" spans="1:15" x14ac:dyDescent="0.25">
      <c r="A988" t="s">
        <v>1137</v>
      </c>
      <c r="B988">
        <v>45795</v>
      </c>
      <c r="C988" t="s">
        <v>56</v>
      </c>
      <c r="D988" t="s">
        <v>133</v>
      </c>
      <c r="E988" t="s">
        <v>58</v>
      </c>
      <c r="F988" t="s">
        <v>52</v>
      </c>
      <c r="G988" t="s">
        <v>27</v>
      </c>
      <c r="H988" t="s">
        <v>28</v>
      </c>
      <c r="I988" t="s">
        <v>29</v>
      </c>
      <c r="J988" t="s">
        <v>40</v>
      </c>
      <c r="K988" t="s">
        <v>24</v>
      </c>
      <c r="L988">
        <v>3</v>
      </c>
      <c r="M988">
        <v>27790</v>
      </c>
      <c r="N988">
        <v>0.08</v>
      </c>
      <c r="O988">
        <v>15990</v>
      </c>
    </row>
    <row r="989" spans="1:15" x14ac:dyDescent="0.25">
      <c r="A989" t="s">
        <v>1138</v>
      </c>
      <c r="B989">
        <v>45795</v>
      </c>
      <c r="C989" t="s">
        <v>16</v>
      </c>
      <c r="D989" t="s">
        <v>31</v>
      </c>
      <c r="E989" t="s">
        <v>18</v>
      </c>
      <c r="F989" t="s">
        <v>52</v>
      </c>
      <c r="G989" t="s">
        <v>20</v>
      </c>
      <c r="H989" t="s">
        <v>87</v>
      </c>
      <c r="I989" t="s">
        <v>88</v>
      </c>
      <c r="J989" t="s">
        <v>23</v>
      </c>
      <c r="K989" t="s">
        <v>24</v>
      </c>
      <c r="L989">
        <v>1</v>
      </c>
      <c r="M989">
        <v>31290</v>
      </c>
      <c r="N989">
        <v>0</v>
      </c>
      <c r="O989">
        <v>23060</v>
      </c>
    </row>
    <row r="990" spans="1:15" x14ac:dyDescent="0.25">
      <c r="A990" t="s">
        <v>1139</v>
      </c>
      <c r="B990">
        <v>45797</v>
      </c>
      <c r="C990" t="s">
        <v>56</v>
      </c>
      <c r="D990" t="s">
        <v>103</v>
      </c>
      <c r="E990" t="s">
        <v>134</v>
      </c>
      <c r="F990" t="s">
        <v>19</v>
      </c>
      <c r="G990" t="s">
        <v>27</v>
      </c>
      <c r="H990" t="s">
        <v>28</v>
      </c>
      <c r="I990" t="s">
        <v>29</v>
      </c>
      <c r="J990" t="s">
        <v>23</v>
      </c>
      <c r="K990" t="s">
        <v>24</v>
      </c>
      <c r="L990">
        <v>8</v>
      </c>
      <c r="M990">
        <v>28190</v>
      </c>
      <c r="N990">
        <v>0.05</v>
      </c>
      <c r="O990">
        <v>18540</v>
      </c>
    </row>
    <row r="991" spans="1:15" x14ac:dyDescent="0.25">
      <c r="A991" t="s">
        <v>1140</v>
      </c>
      <c r="B991">
        <v>45797</v>
      </c>
      <c r="C991" t="s">
        <v>76</v>
      </c>
      <c r="D991" t="s">
        <v>77</v>
      </c>
      <c r="E991" t="s">
        <v>170</v>
      </c>
      <c r="F991" t="s">
        <v>19</v>
      </c>
      <c r="G991" t="s">
        <v>83</v>
      </c>
      <c r="H991" t="s">
        <v>184</v>
      </c>
      <c r="I991" t="s">
        <v>185</v>
      </c>
      <c r="J991" t="s">
        <v>23</v>
      </c>
      <c r="K991" t="s">
        <v>24</v>
      </c>
      <c r="L991">
        <v>15</v>
      </c>
      <c r="M991">
        <v>4360</v>
      </c>
      <c r="N991">
        <v>0.05</v>
      </c>
      <c r="O991">
        <v>3160</v>
      </c>
    </row>
    <row r="992" spans="1:15" x14ac:dyDescent="0.25">
      <c r="A992" t="s">
        <v>1141</v>
      </c>
      <c r="B992">
        <v>45797</v>
      </c>
      <c r="C992" t="s">
        <v>56</v>
      </c>
      <c r="D992" t="s">
        <v>133</v>
      </c>
      <c r="E992" t="s">
        <v>58</v>
      </c>
      <c r="F992" t="s">
        <v>52</v>
      </c>
      <c r="G992" t="s">
        <v>20</v>
      </c>
      <c r="H992" t="s">
        <v>87</v>
      </c>
      <c r="I992" t="s">
        <v>88</v>
      </c>
      <c r="J992" t="s">
        <v>40</v>
      </c>
      <c r="K992" t="s">
        <v>24</v>
      </c>
      <c r="L992">
        <v>2</v>
      </c>
      <c r="M992">
        <v>32510</v>
      </c>
      <c r="N992">
        <v>0.05</v>
      </c>
      <c r="O992">
        <v>19280</v>
      </c>
    </row>
    <row r="993" spans="1:15" x14ac:dyDescent="0.25">
      <c r="A993" t="s">
        <v>1142</v>
      </c>
      <c r="B993">
        <v>45798</v>
      </c>
      <c r="C993" t="s">
        <v>76</v>
      </c>
      <c r="D993" t="s">
        <v>77</v>
      </c>
      <c r="E993" t="s">
        <v>78</v>
      </c>
      <c r="F993" t="s">
        <v>92</v>
      </c>
      <c r="G993" t="s">
        <v>27</v>
      </c>
      <c r="H993" t="s">
        <v>28</v>
      </c>
      <c r="I993" t="s">
        <v>141</v>
      </c>
      <c r="J993" t="s">
        <v>23</v>
      </c>
      <c r="K993" t="s">
        <v>24</v>
      </c>
      <c r="L993">
        <v>6</v>
      </c>
      <c r="M993">
        <v>16760</v>
      </c>
      <c r="N993">
        <v>0.2</v>
      </c>
      <c r="O993">
        <v>9770</v>
      </c>
    </row>
    <row r="994" spans="1:15" x14ac:dyDescent="0.25">
      <c r="A994" t="s">
        <v>1143</v>
      </c>
      <c r="B994">
        <v>45798</v>
      </c>
      <c r="C994" t="s">
        <v>76</v>
      </c>
      <c r="D994" t="s">
        <v>112</v>
      </c>
      <c r="E994" t="s">
        <v>170</v>
      </c>
      <c r="F994" t="s">
        <v>92</v>
      </c>
      <c r="G994" t="s">
        <v>59</v>
      </c>
      <c r="H994" t="s">
        <v>73</v>
      </c>
      <c r="I994" t="s">
        <v>113</v>
      </c>
      <c r="J994" t="s">
        <v>23</v>
      </c>
      <c r="K994" t="s">
        <v>24</v>
      </c>
      <c r="L994">
        <v>5</v>
      </c>
      <c r="M994">
        <v>34550</v>
      </c>
      <c r="N994">
        <v>0.08</v>
      </c>
      <c r="O994">
        <v>20750</v>
      </c>
    </row>
    <row r="995" spans="1:15" x14ac:dyDescent="0.25">
      <c r="A995" t="s">
        <v>1144</v>
      </c>
      <c r="B995">
        <v>45798</v>
      </c>
      <c r="C995" t="s">
        <v>56</v>
      </c>
      <c r="D995" t="s">
        <v>143</v>
      </c>
      <c r="E995" t="s">
        <v>58</v>
      </c>
      <c r="F995" t="s">
        <v>52</v>
      </c>
      <c r="G995" t="s">
        <v>20</v>
      </c>
      <c r="H995" t="s">
        <v>21</v>
      </c>
      <c r="I995" t="s">
        <v>22</v>
      </c>
      <c r="J995" t="s">
        <v>49</v>
      </c>
      <c r="K995" t="s">
        <v>24</v>
      </c>
      <c r="L995">
        <v>23</v>
      </c>
      <c r="M995">
        <v>1880</v>
      </c>
      <c r="N995">
        <v>0.08</v>
      </c>
      <c r="O995">
        <v>1340</v>
      </c>
    </row>
    <row r="996" spans="1:15" x14ac:dyDescent="0.25">
      <c r="A996" t="s">
        <v>1145</v>
      </c>
      <c r="B996">
        <v>45798</v>
      </c>
      <c r="C996" t="s">
        <v>42</v>
      </c>
      <c r="D996" t="s">
        <v>146</v>
      </c>
      <c r="E996" t="s">
        <v>64</v>
      </c>
      <c r="F996" t="s">
        <v>92</v>
      </c>
      <c r="G996" t="s">
        <v>20</v>
      </c>
      <c r="H996" t="s">
        <v>87</v>
      </c>
      <c r="I996" t="s">
        <v>105</v>
      </c>
      <c r="J996" t="s">
        <v>23</v>
      </c>
      <c r="K996" t="s">
        <v>24</v>
      </c>
      <c r="L996">
        <v>3</v>
      </c>
      <c r="M996">
        <v>52470</v>
      </c>
      <c r="N996">
        <v>0.12</v>
      </c>
      <c r="O996">
        <v>39020</v>
      </c>
    </row>
    <row r="997" spans="1:15" x14ac:dyDescent="0.25">
      <c r="A997" t="s">
        <v>1146</v>
      </c>
      <c r="B997">
        <v>45798</v>
      </c>
      <c r="C997" t="s">
        <v>56</v>
      </c>
      <c r="D997" t="s">
        <v>143</v>
      </c>
      <c r="E997" t="s">
        <v>91</v>
      </c>
      <c r="F997" t="s">
        <v>45</v>
      </c>
      <c r="G997" t="s">
        <v>46</v>
      </c>
      <c r="H997" t="s">
        <v>100</v>
      </c>
      <c r="I997" t="s">
        <v>101</v>
      </c>
      <c r="J997" t="s">
        <v>23</v>
      </c>
      <c r="K997" t="s">
        <v>24</v>
      </c>
      <c r="L997">
        <v>66</v>
      </c>
      <c r="M997">
        <v>1810</v>
      </c>
      <c r="N997">
        <v>0.15</v>
      </c>
      <c r="O997">
        <v>1040</v>
      </c>
    </row>
    <row r="998" spans="1:15" x14ac:dyDescent="0.25">
      <c r="A998" t="s">
        <v>1147</v>
      </c>
      <c r="B998">
        <v>45800</v>
      </c>
      <c r="C998" t="s">
        <v>16</v>
      </c>
      <c r="D998" t="s">
        <v>51</v>
      </c>
      <c r="E998" t="s">
        <v>18</v>
      </c>
      <c r="F998" t="s">
        <v>92</v>
      </c>
      <c r="G998" t="s">
        <v>46</v>
      </c>
      <c r="H998" t="s">
        <v>47</v>
      </c>
      <c r="I998" t="s">
        <v>48</v>
      </c>
      <c r="J998" t="s">
        <v>49</v>
      </c>
      <c r="K998" t="s">
        <v>24</v>
      </c>
      <c r="L998">
        <v>41</v>
      </c>
      <c r="M998">
        <v>1750</v>
      </c>
      <c r="N998">
        <v>0.15</v>
      </c>
      <c r="O998">
        <v>990</v>
      </c>
    </row>
    <row r="999" spans="1:15" x14ac:dyDescent="0.25">
      <c r="A999" t="s">
        <v>1148</v>
      </c>
      <c r="B999">
        <v>45800</v>
      </c>
      <c r="C999" t="s">
        <v>37</v>
      </c>
      <c r="D999" t="s">
        <v>67</v>
      </c>
      <c r="E999" t="s">
        <v>39</v>
      </c>
      <c r="F999" t="s">
        <v>19</v>
      </c>
      <c r="G999" t="s">
        <v>20</v>
      </c>
      <c r="H999" t="s">
        <v>33</v>
      </c>
      <c r="I999" t="s">
        <v>34</v>
      </c>
      <c r="J999" t="s">
        <v>49</v>
      </c>
      <c r="K999" t="s">
        <v>94</v>
      </c>
      <c r="L999">
        <v>3</v>
      </c>
      <c r="M999">
        <v>54230</v>
      </c>
      <c r="N999">
        <v>0.2</v>
      </c>
      <c r="O999">
        <v>33490</v>
      </c>
    </row>
    <row r="1000" spans="1:15" x14ac:dyDescent="0.25">
      <c r="A1000" t="s">
        <v>1149</v>
      </c>
      <c r="B1000">
        <v>45800</v>
      </c>
      <c r="C1000" t="s">
        <v>76</v>
      </c>
      <c r="D1000" t="s">
        <v>217</v>
      </c>
      <c r="E1000" t="s">
        <v>78</v>
      </c>
      <c r="F1000" t="s">
        <v>92</v>
      </c>
      <c r="G1000" t="s">
        <v>83</v>
      </c>
      <c r="H1000" t="s">
        <v>136</v>
      </c>
      <c r="I1000" t="s">
        <v>307</v>
      </c>
      <c r="J1000" t="s">
        <v>23</v>
      </c>
      <c r="K1000" t="s">
        <v>24</v>
      </c>
      <c r="L1000">
        <v>5</v>
      </c>
      <c r="M1000">
        <v>950</v>
      </c>
      <c r="N1000">
        <v>0.12</v>
      </c>
      <c r="O1000">
        <v>700</v>
      </c>
    </row>
    <row r="1001" spans="1:15" x14ac:dyDescent="0.25">
      <c r="A1001" t="s">
        <v>1150</v>
      </c>
      <c r="B1001">
        <v>45801</v>
      </c>
      <c r="C1001" t="s">
        <v>42</v>
      </c>
      <c r="D1001" t="s">
        <v>265</v>
      </c>
      <c r="E1001" t="s">
        <v>44</v>
      </c>
      <c r="F1001" t="s">
        <v>45</v>
      </c>
      <c r="G1001" t="s">
        <v>20</v>
      </c>
      <c r="H1001" t="s">
        <v>21</v>
      </c>
      <c r="I1001" t="s">
        <v>362</v>
      </c>
      <c r="J1001" t="s">
        <v>23</v>
      </c>
      <c r="K1001" t="s">
        <v>24</v>
      </c>
      <c r="L1001">
        <v>9</v>
      </c>
      <c r="M1001">
        <v>9060</v>
      </c>
      <c r="N1001">
        <v>0.1</v>
      </c>
      <c r="O1001">
        <v>5380</v>
      </c>
    </row>
    <row r="1002" spans="1:15" x14ac:dyDescent="0.25">
      <c r="A1002" t="s">
        <v>1151</v>
      </c>
      <c r="B1002">
        <v>45802</v>
      </c>
      <c r="C1002" t="s">
        <v>56</v>
      </c>
      <c r="D1002" t="s">
        <v>127</v>
      </c>
      <c r="E1002" t="s">
        <v>58</v>
      </c>
      <c r="F1002" t="s">
        <v>52</v>
      </c>
      <c r="G1002" t="s">
        <v>20</v>
      </c>
      <c r="H1002" t="s">
        <v>21</v>
      </c>
      <c r="I1002" t="s">
        <v>22</v>
      </c>
      <c r="J1002" t="s">
        <v>40</v>
      </c>
      <c r="K1002" t="s">
        <v>24</v>
      </c>
      <c r="L1002">
        <v>13</v>
      </c>
      <c r="M1002">
        <v>1790</v>
      </c>
      <c r="N1002">
        <v>0.1</v>
      </c>
      <c r="O1002">
        <v>1080</v>
      </c>
    </row>
    <row r="1003" spans="1:15" x14ac:dyDescent="0.25">
      <c r="A1003" t="s">
        <v>1152</v>
      </c>
      <c r="B1003">
        <v>45802</v>
      </c>
      <c r="C1003" t="s">
        <v>37</v>
      </c>
      <c r="D1003" t="s">
        <v>161</v>
      </c>
      <c r="E1003" t="s">
        <v>68</v>
      </c>
      <c r="F1003" t="s">
        <v>92</v>
      </c>
      <c r="G1003" t="s">
        <v>20</v>
      </c>
      <c r="H1003" t="s">
        <v>109</v>
      </c>
      <c r="I1003" t="s">
        <v>110</v>
      </c>
      <c r="J1003" t="s">
        <v>49</v>
      </c>
      <c r="K1003" t="s">
        <v>24</v>
      </c>
      <c r="L1003">
        <v>2</v>
      </c>
      <c r="M1003">
        <v>65380</v>
      </c>
      <c r="N1003">
        <v>0.1</v>
      </c>
      <c r="O1003">
        <v>44260</v>
      </c>
    </row>
    <row r="1004" spans="1:15" x14ac:dyDescent="0.25">
      <c r="A1004" t="s">
        <v>1153</v>
      </c>
      <c r="B1004">
        <v>45803</v>
      </c>
      <c r="C1004" t="s">
        <v>56</v>
      </c>
      <c r="D1004" t="s">
        <v>127</v>
      </c>
      <c r="E1004" t="s">
        <v>91</v>
      </c>
      <c r="F1004" t="s">
        <v>52</v>
      </c>
      <c r="G1004" t="s">
        <v>27</v>
      </c>
      <c r="H1004" t="s">
        <v>53</v>
      </c>
      <c r="I1004" t="s">
        <v>54</v>
      </c>
      <c r="J1004" t="s">
        <v>49</v>
      </c>
      <c r="K1004" t="s">
        <v>24</v>
      </c>
      <c r="L1004">
        <v>1</v>
      </c>
      <c r="M1004">
        <v>42730</v>
      </c>
      <c r="N1004">
        <v>0.2</v>
      </c>
      <c r="O1004">
        <v>27320</v>
      </c>
    </row>
    <row r="1005" spans="1:15" x14ac:dyDescent="0.25">
      <c r="A1005" t="s">
        <v>1154</v>
      </c>
      <c r="B1005">
        <v>45803</v>
      </c>
      <c r="C1005" t="s">
        <v>37</v>
      </c>
      <c r="D1005" t="s">
        <v>67</v>
      </c>
      <c r="E1005" t="s">
        <v>68</v>
      </c>
      <c r="F1005" t="s">
        <v>19</v>
      </c>
      <c r="G1005" t="s">
        <v>20</v>
      </c>
      <c r="H1005" t="s">
        <v>87</v>
      </c>
      <c r="I1005" t="s">
        <v>105</v>
      </c>
      <c r="J1005" t="s">
        <v>40</v>
      </c>
      <c r="K1005" t="s">
        <v>35</v>
      </c>
      <c r="L1005">
        <v>1</v>
      </c>
      <c r="M1005">
        <v>52910</v>
      </c>
      <c r="N1005">
        <v>0.15</v>
      </c>
      <c r="O1005">
        <v>30640</v>
      </c>
    </row>
    <row r="1006" spans="1:15" x14ac:dyDescent="0.25">
      <c r="A1006" t="s">
        <v>1155</v>
      </c>
      <c r="B1006">
        <v>45804</v>
      </c>
      <c r="C1006" t="s">
        <v>16</v>
      </c>
      <c r="D1006" t="s">
        <v>82</v>
      </c>
      <c r="E1006" t="s">
        <v>18</v>
      </c>
      <c r="F1006" t="s">
        <v>52</v>
      </c>
      <c r="G1006" t="s">
        <v>20</v>
      </c>
      <c r="H1006" t="s">
        <v>87</v>
      </c>
      <c r="I1006" t="s">
        <v>105</v>
      </c>
      <c r="J1006" t="s">
        <v>49</v>
      </c>
      <c r="K1006" t="s">
        <v>24</v>
      </c>
      <c r="L1006">
        <v>1</v>
      </c>
      <c r="M1006">
        <v>55190</v>
      </c>
      <c r="N1006">
        <v>0.1</v>
      </c>
      <c r="O1006">
        <v>33610</v>
      </c>
    </row>
    <row r="1007" spans="1:15" x14ac:dyDescent="0.25">
      <c r="A1007" t="s">
        <v>1156</v>
      </c>
      <c r="B1007">
        <v>45804</v>
      </c>
      <c r="C1007" t="s">
        <v>56</v>
      </c>
      <c r="D1007" t="s">
        <v>143</v>
      </c>
      <c r="E1007" t="s">
        <v>134</v>
      </c>
      <c r="F1007" t="s">
        <v>92</v>
      </c>
      <c r="G1007" t="s">
        <v>20</v>
      </c>
      <c r="H1007" t="s">
        <v>109</v>
      </c>
      <c r="I1007" t="s">
        <v>171</v>
      </c>
      <c r="J1007" t="s">
        <v>40</v>
      </c>
      <c r="K1007" t="s">
        <v>24</v>
      </c>
      <c r="L1007">
        <v>15</v>
      </c>
      <c r="M1007">
        <v>21520</v>
      </c>
      <c r="N1007">
        <v>0.05</v>
      </c>
      <c r="O1007">
        <v>12100</v>
      </c>
    </row>
    <row r="1008" spans="1:15" x14ac:dyDescent="0.25">
      <c r="A1008" t="s">
        <v>1157</v>
      </c>
      <c r="B1008">
        <v>45805</v>
      </c>
      <c r="C1008" t="s">
        <v>37</v>
      </c>
      <c r="D1008" t="s">
        <v>38</v>
      </c>
      <c r="E1008" t="s">
        <v>68</v>
      </c>
      <c r="F1008" t="s">
        <v>19</v>
      </c>
      <c r="G1008" t="s">
        <v>46</v>
      </c>
      <c r="H1008" t="s">
        <v>100</v>
      </c>
      <c r="I1008" t="s">
        <v>101</v>
      </c>
      <c r="J1008" t="s">
        <v>23</v>
      </c>
      <c r="K1008" t="s">
        <v>24</v>
      </c>
      <c r="L1008">
        <v>35</v>
      </c>
      <c r="M1008">
        <v>1820</v>
      </c>
      <c r="N1008">
        <v>0.18</v>
      </c>
      <c r="O1008">
        <v>1330</v>
      </c>
    </row>
    <row r="1009" spans="1:15" x14ac:dyDescent="0.25">
      <c r="A1009" t="s">
        <v>1158</v>
      </c>
      <c r="B1009">
        <v>45806</v>
      </c>
      <c r="C1009" t="s">
        <v>56</v>
      </c>
      <c r="D1009" t="s">
        <v>103</v>
      </c>
      <c r="E1009" t="s">
        <v>134</v>
      </c>
      <c r="F1009" t="s">
        <v>52</v>
      </c>
      <c r="G1009" t="s">
        <v>20</v>
      </c>
      <c r="H1009" t="s">
        <v>33</v>
      </c>
      <c r="I1009" t="s">
        <v>139</v>
      </c>
      <c r="J1009" t="s">
        <v>23</v>
      </c>
      <c r="K1009" t="s">
        <v>119</v>
      </c>
      <c r="L1009">
        <v>3</v>
      </c>
      <c r="M1009">
        <v>63730</v>
      </c>
      <c r="N1009">
        <v>0.18</v>
      </c>
      <c r="O1009">
        <v>41830</v>
      </c>
    </row>
    <row r="1010" spans="1:15" x14ac:dyDescent="0.25">
      <c r="A1010" t="s">
        <v>1159</v>
      </c>
      <c r="B1010">
        <v>45806</v>
      </c>
      <c r="C1010" t="s">
        <v>42</v>
      </c>
      <c r="D1010" t="s">
        <v>96</v>
      </c>
      <c r="E1010" t="s">
        <v>64</v>
      </c>
      <c r="F1010" t="s">
        <v>19</v>
      </c>
      <c r="G1010" t="s">
        <v>46</v>
      </c>
      <c r="H1010" t="s">
        <v>179</v>
      </c>
      <c r="I1010" t="s">
        <v>221</v>
      </c>
      <c r="J1010" t="s">
        <v>23</v>
      </c>
      <c r="K1010" t="s">
        <v>119</v>
      </c>
      <c r="L1010">
        <v>8</v>
      </c>
      <c r="M1010">
        <v>1710</v>
      </c>
      <c r="N1010">
        <v>0.15</v>
      </c>
      <c r="O1010">
        <v>1140</v>
      </c>
    </row>
    <row r="1011" spans="1:15" x14ac:dyDescent="0.25">
      <c r="A1011" t="s">
        <v>1160</v>
      </c>
      <c r="B1011">
        <v>45807</v>
      </c>
      <c r="C1011" t="s">
        <v>37</v>
      </c>
      <c r="D1011" t="s">
        <v>115</v>
      </c>
      <c r="E1011" t="s">
        <v>68</v>
      </c>
      <c r="F1011" t="s">
        <v>52</v>
      </c>
      <c r="G1011" t="s">
        <v>59</v>
      </c>
      <c r="H1011" t="s">
        <v>154</v>
      </c>
      <c r="I1011" t="s">
        <v>249</v>
      </c>
      <c r="J1011" t="s">
        <v>40</v>
      </c>
      <c r="K1011" t="s">
        <v>24</v>
      </c>
      <c r="L1011">
        <v>14</v>
      </c>
      <c r="M1011">
        <v>6810</v>
      </c>
      <c r="N1011">
        <v>0.1</v>
      </c>
      <c r="O1011">
        <v>5280</v>
      </c>
    </row>
    <row r="1012" spans="1:15" x14ac:dyDescent="0.25">
      <c r="A1012" t="s">
        <v>1161</v>
      </c>
      <c r="B1012">
        <v>45808</v>
      </c>
      <c r="C1012" t="s">
        <v>56</v>
      </c>
      <c r="D1012" t="s">
        <v>133</v>
      </c>
      <c r="E1012" t="s">
        <v>58</v>
      </c>
      <c r="F1012" t="s">
        <v>19</v>
      </c>
      <c r="G1012" t="s">
        <v>83</v>
      </c>
      <c r="H1012" t="s">
        <v>84</v>
      </c>
      <c r="I1012" t="s">
        <v>292</v>
      </c>
      <c r="J1012" t="s">
        <v>40</v>
      </c>
      <c r="K1012" t="s">
        <v>24</v>
      </c>
      <c r="L1012">
        <v>3</v>
      </c>
      <c r="M1012">
        <v>44500</v>
      </c>
      <c r="N1012">
        <v>0.08</v>
      </c>
      <c r="O1012">
        <v>32690</v>
      </c>
    </row>
    <row r="1013" spans="1:15" x14ac:dyDescent="0.25">
      <c r="A1013" t="s">
        <v>1162</v>
      </c>
      <c r="B1013">
        <v>45808</v>
      </c>
      <c r="C1013" t="s">
        <v>16</v>
      </c>
      <c r="D1013" t="s">
        <v>31</v>
      </c>
      <c r="E1013" t="s">
        <v>32</v>
      </c>
      <c r="F1013" t="s">
        <v>92</v>
      </c>
      <c r="G1013" t="s">
        <v>83</v>
      </c>
      <c r="H1013" t="s">
        <v>136</v>
      </c>
      <c r="I1013" t="s">
        <v>307</v>
      </c>
      <c r="J1013" t="s">
        <v>40</v>
      </c>
      <c r="K1013" t="s">
        <v>24</v>
      </c>
      <c r="L1013">
        <v>36</v>
      </c>
      <c r="M1013">
        <v>940</v>
      </c>
      <c r="N1013">
        <v>0.05</v>
      </c>
      <c r="O1013">
        <v>560</v>
      </c>
    </row>
    <row r="1014" spans="1:15" x14ac:dyDescent="0.25">
      <c r="A1014" t="s">
        <v>1163</v>
      </c>
      <c r="B1014">
        <v>45809</v>
      </c>
      <c r="C1014" t="s">
        <v>37</v>
      </c>
      <c r="D1014" t="s">
        <v>166</v>
      </c>
      <c r="E1014" t="s">
        <v>39</v>
      </c>
      <c r="F1014" t="s">
        <v>19</v>
      </c>
      <c r="G1014" t="s">
        <v>83</v>
      </c>
      <c r="H1014" t="s">
        <v>184</v>
      </c>
      <c r="I1014" t="s">
        <v>196</v>
      </c>
      <c r="J1014" t="s">
        <v>40</v>
      </c>
      <c r="K1014" t="s">
        <v>24</v>
      </c>
      <c r="L1014">
        <v>10</v>
      </c>
      <c r="M1014">
        <v>3260</v>
      </c>
      <c r="N1014">
        <v>0.12</v>
      </c>
      <c r="O1014">
        <v>2240</v>
      </c>
    </row>
    <row r="1015" spans="1:15" x14ac:dyDescent="0.25">
      <c r="A1015" t="s">
        <v>1164</v>
      </c>
      <c r="B1015">
        <v>45810</v>
      </c>
      <c r="C1015" t="s">
        <v>16</v>
      </c>
      <c r="D1015" t="s">
        <v>31</v>
      </c>
      <c r="E1015" t="s">
        <v>18</v>
      </c>
      <c r="F1015" t="s">
        <v>19</v>
      </c>
      <c r="G1015" t="s">
        <v>46</v>
      </c>
      <c r="H1015" t="s">
        <v>47</v>
      </c>
      <c r="I1015" t="s">
        <v>259</v>
      </c>
      <c r="J1015" t="s">
        <v>49</v>
      </c>
      <c r="K1015" t="s">
        <v>24</v>
      </c>
      <c r="L1015">
        <v>35</v>
      </c>
      <c r="M1015">
        <v>2830</v>
      </c>
      <c r="N1015">
        <v>0.08</v>
      </c>
      <c r="O1015">
        <v>1920</v>
      </c>
    </row>
    <row r="1016" spans="1:15" x14ac:dyDescent="0.25">
      <c r="A1016" t="s">
        <v>1165</v>
      </c>
      <c r="B1016">
        <v>45810</v>
      </c>
      <c r="C1016" t="s">
        <v>42</v>
      </c>
      <c r="D1016" t="s">
        <v>146</v>
      </c>
      <c r="E1016" t="s">
        <v>97</v>
      </c>
      <c r="F1016" t="s">
        <v>52</v>
      </c>
      <c r="G1016" t="s">
        <v>20</v>
      </c>
      <c r="H1016" t="s">
        <v>33</v>
      </c>
      <c r="I1016" t="s">
        <v>139</v>
      </c>
      <c r="J1016" t="s">
        <v>49</v>
      </c>
      <c r="K1016" t="s">
        <v>24</v>
      </c>
      <c r="L1016">
        <v>1</v>
      </c>
      <c r="M1016">
        <v>64580</v>
      </c>
      <c r="N1016">
        <v>0.08</v>
      </c>
      <c r="O1016">
        <v>39980</v>
      </c>
    </row>
    <row r="1017" spans="1:15" x14ac:dyDescent="0.25">
      <c r="A1017" t="s">
        <v>1166</v>
      </c>
      <c r="B1017">
        <v>45810</v>
      </c>
      <c r="C1017" t="s">
        <v>76</v>
      </c>
      <c r="D1017" t="s">
        <v>99</v>
      </c>
      <c r="E1017" t="s">
        <v>78</v>
      </c>
      <c r="F1017" t="s">
        <v>52</v>
      </c>
      <c r="G1017" t="s">
        <v>20</v>
      </c>
      <c r="H1017" t="s">
        <v>33</v>
      </c>
      <c r="I1017" t="s">
        <v>139</v>
      </c>
      <c r="J1017" t="s">
        <v>40</v>
      </c>
      <c r="K1017" t="s">
        <v>24</v>
      </c>
      <c r="L1017">
        <v>1</v>
      </c>
      <c r="M1017">
        <v>62380</v>
      </c>
      <c r="N1017">
        <v>0</v>
      </c>
      <c r="O1017">
        <v>38860</v>
      </c>
    </row>
    <row r="1018" spans="1:15" x14ac:dyDescent="0.25">
      <c r="A1018" t="s">
        <v>1167</v>
      </c>
      <c r="B1018">
        <v>45810</v>
      </c>
      <c r="C1018" t="s">
        <v>37</v>
      </c>
      <c r="D1018" t="s">
        <v>38</v>
      </c>
      <c r="E1018" t="s">
        <v>68</v>
      </c>
      <c r="F1018" t="s">
        <v>19</v>
      </c>
      <c r="G1018" t="s">
        <v>20</v>
      </c>
      <c r="H1018" t="s">
        <v>109</v>
      </c>
      <c r="I1018" t="s">
        <v>110</v>
      </c>
      <c r="J1018" t="s">
        <v>23</v>
      </c>
      <c r="K1018" t="s">
        <v>24</v>
      </c>
      <c r="L1018">
        <v>1</v>
      </c>
      <c r="M1018">
        <v>72020</v>
      </c>
      <c r="N1018">
        <v>0.15</v>
      </c>
      <c r="O1018">
        <v>53680</v>
      </c>
    </row>
    <row r="1019" spans="1:15" x14ac:dyDescent="0.25">
      <c r="A1019" t="s">
        <v>1168</v>
      </c>
      <c r="B1019">
        <v>45811</v>
      </c>
      <c r="C1019" t="s">
        <v>42</v>
      </c>
      <c r="D1019" t="s">
        <v>96</v>
      </c>
      <c r="E1019" t="s">
        <v>97</v>
      </c>
      <c r="F1019" t="s">
        <v>19</v>
      </c>
      <c r="G1019" t="s">
        <v>20</v>
      </c>
      <c r="H1019" t="s">
        <v>33</v>
      </c>
      <c r="I1019" t="s">
        <v>139</v>
      </c>
      <c r="J1019" t="s">
        <v>23</v>
      </c>
      <c r="K1019" t="s">
        <v>24</v>
      </c>
      <c r="L1019">
        <v>2</v>
      </c>
      <c r="M1019">
        <v>65430</v>
      </c>
      <c r="N1019">
        <v>0.1</v>
      </c>
      <c r="O1019">
        <v>49780</v>
      </c>
    </row>
    <row r="1020" spans="1:15" x14ac:dyDescent="0.25">
      <c r="A1020" t="s">
        <v>1169</v>
      </c>
      <c r="B1020">
        <v>45812</v>
      </c>
      <c r="C1020" t="s">
        <v>16</v>
      </c>
      <c r="D1020" t="s">
        <v>17</v>
      </c>
      <c r="E1020" t="s">
        <v>18</v>
      </c>
      <c r="F1020" t="s">
        <v>19</v>
      </c>
      <c r="G1020" t="s">
        <v>20</v>
      </c>
      <c r="H1020" t="s">
        <v>21</v>
      </c>
      <c r="I1020" t="s">
        <v>65</v>
      </c>
      <c r="J1020" t="s">
        <v>23</v>
      </c>
      <c r="K1020" t="s">
        <v>24</v>
      </c>
      <c r="L1020">
        <v>4</v>
      </c>
      <c r="M1020">
        <v>9090</v>
      </c>
      <c r="N1020">
        <v>0.1</v>
      </c>
      <c r="O1020">
        <v>5160</v>
      </c>
    </row>
    <row r="1021" spans="1:15" x14ac:dyDescent="0.25">
      <c r="A1021" t="s">
        <v>1170</v>
      </c>
      <c r="B1021">
        <v>45813</v>
      </c>
      <c r="C1021" t="s">
        <v>42</v>
      </c>
      <c r="D1021" t="s">
        <v>123</v>
      </c>
      <c r="E1021" t="s">
        <v>64</v>
      </c>
      <c r="F1021" t="s">
        <v>19</v>
      </c>
      <c r="G1021" t="s">
        <v>20</v>
      </c>
      <c r="H1021" t="s">
        <v>33</v>
      </c>
      <c r="I1021" t="s">
        <v>34</v>
      </c>
      <c r="J1021" t="s">
        <v>23</v>
      </c>
      <c r="K1021" t="s">
        <v>24</v>
      </c>
      <c r="L1021">
        <v>4</v>
      </c>
      <c r="M1021">
        <v>57490</v>
      </c>
      <c r="N1021">
        <v>0.18</v>
      </c>
      <c r="O1021">
        <v>43000</v>
      </c>
    </row>
    <row r="1022" spans="1:15" x14ac:dyDescent="0.25">
      <c r="A1022" t="s">
        <v>1171</v>
      </c>
      <c r="B1022">
        <v>45814</v>
      </c>
      <c r="C1022" t="s">
        <v>76</v>
      </c>
      <c r="D1022" t="s">
        <v>77</v>
      </c>
      <c r="E1022" t="s">
        <v>78</v>
      </c>
      <c r="F1022" t="s">
        <v>92</v>
      </c>
      <c r="G1022" t="s">
        <v>20</v>
      </c>
      <c r="H1022" t="s">
        <v>109</v>
      </c>
      <c r="I1022" t="s">
        <v>159</v>
      </c>
      <c r="J1022" t="s">
        <v>40</v>
      </c>
      <c r="K1022" t="s">
        <v>24</v>
      </c>
      <c r="L1022">
        <v>4</v>
      </c>
      <c r="M1022">
        <v>19220</v>
      </c>
      <c r="N1022">
        <v>0.05</v>
      </c>
      <c r="O1022">
        <v>11380</v>
      </c>
    </row>
    <row r="1023" spans="1:15" x14ac:dyDescent="0.25">
      <c r="A1023" t="s">
        <v>1172</v>
      </c>
      <c r="B1023">
        <v>45814</v>
      </c>
      <c r="C1023" t="s">
        <v>37</v>
      </c>
      <c r="D1023" t="s">
        <v>115</v>
      </c>
      <c r="E1023" t="s">
        <v>68</v>
      </c>
      <c r="F1023" t="s">
        <v>19</v>
      </c>
      <c r="G1023" t="s">
        <v>46</v>
      </c>
      <c r="H1023" t="s">
        <v>179</v>
      </c>
      <c r="I1023" t="s">
        <v>180</v>
      </c>
      <c r="J1023" t="s">
        <v>23</v>
      </c>
      <c r="K1023" t="s">
        <v>24</v>
      </c>
      <c r="L1023">
        <v>12</v>
      </c>
      <c r="M1023">
        <v>3860</v>
      </c>
      <c r="N1023">
        <v>0.05</v>
      </c>
      <c r="O1023">
        <v>2550</v>
      </c>
    </row>
    <row r="1024" spans="1:15" x14ac:dyDescent="0.25">
      <c r="A1024" t="s">
        <v>1173</v>
      </c>
      <c r="B1024">
        <v>45815</v>
      </c>
      <c r="C1024" t="s">
        <v>56</v>
      </c>
      <c r="D1024" t="s">
        <v>127</v>
      </c>
      <c r="E1024" t="s">
        <v>134</v>
      </c>
      <c r="F1024" t="s">
        <v>19</v>
      </c>
      <c r="G1024" t="s">
        <v>83</v>
      </c>
      <c r="H1024" t="s">
        <v>84</v>
      </c>
      <c r="I1024" t="s">
        <v>85</v>
      </c>
      <c r="J1024" t="s">
        <v>49</v>
      </c>
      <c r="K1024" t="s">
        <v>24</v>
      </c>
      <c r="L1024">
        <v>25</v>
      </c>
      <c r="M1024">
        <v>2520</v>
      </c>
      <c r="N1024">
        <v>0.12</v>
      </c>
      <c r="O1024">
        <v>1910</v>
      </c>
    </row>
    <row r="1025" spans="1:15" x14ac:dyDescent="0.25">
      <c r="A1025" t="s">
        <v>1174</v>
      </c>
      <c r="B1025">
        <v>45815</v>
      </c>
      <c r="C1025" t="s">
        <v>37</v>
      </c>
      <c r="D1025" t="s">
        <v>115</v>
      </c>
      <c r="E1025" t="s">
        <v>68</v>
      </c>
      <c r="F1025" t="s">
        <v>19</v>
      </c>
      <c r="G1025" t="s">
        <v>20</v>
      </c>
      <c r="H1025" t="s">
        <v>87</v>
      </c>
      <c r="I1025" t="s">
        <v>88</v>
      </c>
      <c r="J1025" t="s">
        <v>40</v>
      </c>
      <c r="K1025" t="s">
        <v>24</v>
      </c>
      <c r="L1025">
        <v>2</v>
      </c>
      <c r="M1025">
        <v>34450</v>
      </c>
      <c r="N1025">
        <v>0.05</v>
      </c>
      <c r="O1025">
        <v>24820</v>
      </c>
    </row>
    <row r="1026" spans="1:15" x14ac:dyDescent="0.25">
      <c r="A1026" t="s">
        <v>1175</v>
      </c>
      <c r="B1026">
        <v>45815</v>
      </c>
      <c r="C1026" t="s">
        <v>16</v>
      </c>
      <c r="D1026" t="s">
        <v>51</v>
      </c>
      <c r="E1026" t="s">
        <v>26</v>
      </c>
      <c r="F1026" t="s">
        <v>92</v>
      </c>
      <c r="G1026" t="s">
        <v>46</v>
      </c>
      <c r="H1026" t="s">
        <v>179</v>
      </c>
      <c r="I1026" t="s">
        <v>236</v>
      </c>
      <c r="J1026" t="s">
        <v>40</v>
      </c>
      <c r="K1026" t="s">
        <v>35</v>
      </c>
      <c r="L1026">
        <v>46</v>
      </c>
      <c r="M1026">
        <v>2350</v>
      </c>
      <c r="N1026">
        <v>0.18</v>
      </c>
      <c r="O1026">
        <v>1320</v>
      </c>
    </row>
    <row r="1027" spans="1:15" x14ac:dyDescent="0.25">
      <c r="A1027" t="s">
        <v>1176</v>
      </c>
      <c r="B1027">
        <v>45816</v>
      </c>
      <c r="C1027" t="s">
        <v>56</v>
      </c>
      <c r="D1027" t="s">
        <v>127</v>
      </c>
      <c r="E1027" t="s">
        <v>91</v>
      </c>
      <c r="F1027" t="s">
        <v>19</v>
      </c>
      <c r="G1027" t="s">
        <v>27</v>
      </c>
      <c r="H1027" t="s">
        <v>53</v>
      </c>
      <c r="I1027" t="s">
        <v>54</v>
      </c>
      <c r="J1027" t="s">
        <v>49</v>
      </c>
      <c r="K1027" t="s">
        <v>24</v>
      </c>
      <c r="L1027">
        <v>4</v>
      </c>
      <c r="M1027">
        <v>40550</v>
      </c>
      <c r="N1027">
        <v>0</v>
      </c>
      <c r="O1027">
        <v>28620</v>
      </c>
    </row>
    <row r="1028" spans="1:15" x14ac:dyDescent="0.25">
      <c r="A1028" t="s">
        <v>1177</v>
      </c>
      <c r="B1028">
        <v>45816</v>
      </c>
      <c r="C1028" t="s">
        <v>56</v>
      </c>
      <c r="D1028" t="s">
        <v>103</v>
      </c>
      <c r="E1028" t="s">
        <v>134</v>
      </c>
      <c r="F1028" t="s">
        <v>45</v>
      </c>
      <c r="G1028" t="s">
        <v>20</v>
      </c>
      <c r="H1028" t="s">
        <v>33</v>
      </c>
      <c r="I1028" t="s">
        <v>139</v>
      </c>
      <c r="J1028" t="s">
        <v>49</v>
      </c>
      <c r="K1028" t="s">
        <v>24</v>
      </c>
      <c r="L1028">
        <v>4</v>
      </c>
      <c r="M1028">
        <v>61730</v>
      </c>
      <c r="N1028">
        <v>0.05</v>
      </c>
      <c r="O1028">
        <v>42600</v>
      </c>
    </row>
    <row r="1029" spans="1:15" x14ac:dyDescent="0.25">
      <c r="A1029" t="s">
        <v>1178</v>
      </c>
      <c r="B1029">
        <v>45816</v>
      </c>
      <c r="C1029" t="s">
        <v>56</v>
      </c>
      <c r="D1029" t="s">
        <v>72</v>
      </c>
      <c r="E1029" t="s">
        <v>134</v>
      </c>
      <c r="F1029" t="s">
        <v>19</v>
      </c>
      <c r="G1029" t="s">
        <v>59</v>
      </c>
      <c r="H1029" t="s">
        <v>69</v>
      </c>
      <c r="I1029" t="s">
        <v>70</v>
      </c>
      <c r="J1029" t="s">
        <v>40</v>
      </c>
      <c r="K1029" t="s">
        <v>35</v>
      </c>
      <c r="L1029">
        <v>5</v>
      </c>
      <c r="M1029">
        <v>29890</v>
      </c>
      <c r="N1029">
        <v>0.2</v>
      </c>
      <c r="O1029">
        <v>18970</v>
      </c>
    </row>
    <row r="1030" spans="1:15" x14ac:dyDescent="0.25">
      <c r="A1030" t="s">
        <v>1179</v>
      </c>
      <c r="B1030">
        <v>45817</v>
      </c>
      <c r="C1030" t="s">
        <v>16</v>
      </c>
      <c r="D1030" t="s">
        <v>191</v>
      </c>
      <c r="E1030" t="s">
        <v>26</v>
      </c>
      <c r="F1030" t="s">
        <v>19</v>
      </c>
      <c r="G1030" t="s">
        <v>83</v>
      </c>
      <c r="H1030" t="s">
        <v>84</v>
      </c>
      <c r="I1030" t="s">
        <v>292</v>
      </c>
      <c r="J1030" t="s">
        <v>40</v>
      </c>
      <c r="K1030" t="s">
        <v>24</v>
      </c>
      <c r="L1030">
        <v>2</v>
      </c>
      <c r="M1030">
        <v>40960</v>
      </c>
      <c r="N1030">
        <v>0.18</v>
      </c>
      <c r="O1030">
        <v>30750</v>
      </c>
    </row>
    <row r="1031" spans="1:15" x14ac:dyDescent="0.25">
      <c r="A1031" t="s">
        <v>1180</v>
      </c>
      <c r="B1031">
        <v>45818</v>
      </c>
      <c r="C1031" t="s">
        <v>56</v>
      </c>
      <c r="D1031" t="s">
        <v>127</v>
      </c>
      <c r="E1031" t="s">
        <v>58</v>
      </c>
      <c r="F1031" t="s">
        <v>19</v>
      </c>
      <c r="G1031" t="s">
        <v>83</v>
      </c>
      <c r="H1031" t="s">
        <v>184</v>
      </c>
      <c r="I1031" t="s">
        <v>196</v>
      </c>
      <c r="J1031" t="s">
        <v>23</v>
      </c>
      <c r="K1031" t="s">
        <v>24</v>
      </c>
      <c r="L1031">
        <v>15</v>
      </c>
      <c r="M1031">
        <v>3270</v>
      </c>
      <c r="N1031">
        <v>0.05</v>
      </c>
      <c r="O1031">
        <v>2420</v>
      </c>
    </row>
    <row r="1032" spans="1:15" x14ac:dyDescent="0.25">
      <c r="A1032" t="s">
        <v>1181</v>
      </c>
      <c r="B1032">
        <v>45818</v>
      </c>
      <c r="C1032" t="s">
        <v>56</v>
      </c>
      <c r="D1032" t="s">
        <v>133</v>
      </c>
      <c r="E1032" t="s">
        <v>134</v>
      </c>
      <c r="F1032" t="s">
        <v>92</v>
      </c>
      <c r="G1032" t="s">
        <v>59</v>
      </c>
      <c r="H1032" t="s">
        <v>69</v>
      </c>
      <c r="I1032" t="s">
        <v>70</v>
      </c>
      <c r="J1032" t="s">
        <v>40</v>
      </c>
      <c r="K1032" t="s">
        <v>24</v>
      </c>
      <c r="L1032">
        <v>10</v>
      </c>
      <c r="M1032">
        <v>26950</v>
      </c>
      <c r="N1032">
        <v>0.1</v>
      </c>
      <c r="O1032">
        <v>20000</v>
      </c>
    </row>
    <row r="1033" spans="1:15" x14ac:dyDescent="0.25">
      <c r="A1033" t="s">
        <v>1182</v>
      </c>
      <c r="B1033">
        <v>45818</v>
      </c>
      <c r="C1033" t="s">
        <v>76</v>
      </c>
      <c r="D1033" t="s">
        <v>125</v>
      </c>
      <c r="E1033" t="s">
        <v>170</v>
      </c>
      <c r="F1033" t="s">
        <v>19</v>
      </c>
      <c r="G1033" t="s">
        <v>83</v>
      </c>
      <c r="H1033" t="s">
        <v>84</v>
      </c>
      <c r="I1033" t="s">
        <v>85</v>
      </c>
      <c r="J1033" t="s">
        <v>23</v>
      </c>
      <c r="K1033" t="s">
        <v>24</v>
      </c>
      <c r="L1033">
        <v>22</v>
      </c>
      <c r="M1033">
        <v>2340</v>
      </c>
      <c r="N1033">
        <v>0.25</v>
      </c>
      <c r="O1033">
        <v>1540</v>
      </c>
    </row>
    <row r="1034" spans="1:15" x14ac:dyDescent="0.25">
      <c r="A1034" t="s">
        <v>1183</v>
      </c>
      <c r="B1034">
        <v>45818</v>
      </c>
      <c r="C1034" t="s">
        <v>76</v>
      </c>
      <c r="D1034" t="s">
        <v>150</v>
      </c>
      <c r="E1034" t="s">
        <v>78</v>
      </c>
      <c r="F1034" t="s">
        <v>19</v>
      </c>
      <c r="G1034" t="s">
        <v>83</v>
      </c>
      <c r="H1034" t="s">
        <v>184</v>
      </c>
      <c r="I1034" t="s">
        <v>196</v>
      </c>
      <c r="J1034" t="s">
        <v>40</v>
      </c>
      <c r="K1034" t="s">
        <v>24</v>
      </c>
      <c r="L1034">
        <v>6</v>
      </c>
      <c r="M1034">
        <v>3260</v>
      </c>
      <c r="N1034">
        <v>0.12</v>
      </c>
      <c r="O1034">
        <v>2140</v>
      </c>
    </row>
    <row r="1035" spans="1:15" x14ac:dyDescent="0.25">
      <c r="A1035" t="s">
        <v>1184</v>
      </c>
      <c r="B1035">
        <v>45820</v>
      </c>
      <c r="C1035" t="s">
        <v>16</v>
      </c>
      <c r="D1035" t="s">
        <v>153</v>
      </c>
      <c r="E1035" t="s">
        <v>32</v>
      </c>
      <c r="F1035" t="s">
        <v>92</v>
      </c>
      <c r="G1035" t="s">
        <v>83</v>
      </c>
      <c r="H1035" t="s">
        <v>184</v>
      </c>
      <c r="I1035" t="s">
        <v>196</v>
      </c>
      <c r="J1035" t="s">
        <v>23</v>
      </c>
      <c r="K1035" t="s">
        <v>24</v>
      </c>
      <c r="L1035">
        <v>10</v>
      </c>
      <c r="M1035">
        <v>3200</v>
      </c>
      <c r="N1035">
        <v>0.18</v>
      </c>
      <c r="O1035">
        <v>2000</v>
      </c>
    </row>
    <row r="1036" spans="1:15" x14ac:dyDescent="0.25">
      <c r="A1036" t="s">
        <v>1185</v>
      </c>
      <c r="B1036">
        <v>45821</v>
      </c>
      <c r="C1036" t="s">
        <v>16</v>
      </c>
      <c r="D1036" t="s">
        <v>191</v>
      </c>
      <c r="E1036" t="s">
        <v>26</v>
      </c>
      <c r="F1036" t="s">
        <v>19</v>
      </c>
      <c r="G1036" t="s">
        <v>46</v>
      </c>
      <c r="H1036" t="s">
        <v>100</v>
      </c>
      <c r="I1036" t="s">
        <v>177</v>
      </c>
      <c r="J1036" t="s">
        <v>49</v>
      </c>
      <c r="K1036" t="s">
        <v>24</v>
      </c>
      <c r="L1036">
        <v>24</v>
      </c>
      <c r="M1036">
        <v>2510</v>
      </c>
      <c r="N1036">
        <v>0.1</v>
      </c>
      <c r="O1036">
        <v>1630</v>
      </c>
    </row>
    <row r="1037" spans="1:15" x14ac:dyDescent="0.25">
      <c r="A1037" t="s">
        <v>1186</v>
      </c>
      <c r="B1037">
        <v>45821</v>
      </c>
      <c r="C1037" t="s">
        <v>42</v>
      </c>
      <c r="D1037" t="s">
        <v>265</v>
      </c>
      <c r="E1037" t="s">
        <v>64</v>
      </c>
      <c r="F1037" t="s">
        <v>19</v>
      </c>
      <c r="G1037" t="s">
        <v>20</v>
      </c>
      <c r="H1037" t="s">
        <v>109</v>
      </c>
      <c r="I1037" t="s">
        <v>110</v>
      </c>
      <c r="J1037" t="s">
        <v>23</v>
      </c>
      <c r="K1037" t="s">
        <v>24</v>
      </c>
      <c r="L1037">
        <v>4</v>
      </c>
      <c r="M1037">
        <v>67240</v>
      </c>
      <c r="N1037">
        <v>0</v>
      </c>
      <c r="O1037">
        <v>42840</v>
      </c>
    </row>
    <row r="1038" spans="1:15" x14ac:dyDescent="0.25">
      <c r="A1038" t="s">
        <v>1187</v>
      </c>
      <c r="B1038">
        <v>45821</v>
      </c>
      <c r="C1038" t="s">
        <v>56</v>
      </c>
      <c r="D1038" t="s">
        <v>103</v>
      </c>
      <c r="E1038" t="s">
        <v>58</v>
      </c>
      <c r="F1038" t="s">
        <v>19</v>
      </c>
      <c r="G1038" t="s">
        <v>20</v>
      </c>
      <c r="H1038" t="s">
        <v>109</v>
      </c>
      <c r="I1038" t="s">
        <v>110</v>
      </c>
      <c r="J1038" t="s">
        <v>49</v>
      </c>
      <c r="K1038" t="s">
        <v>24</v>
      </c>
      <c r="L1038">
        <v>3</v>
      </c>
      <c r="M1038">
        <v>69960</v>
      </c>
      <c r="N1038">
        <v>0.1</v>
      </c>
      <c r="O1038">
        <v>47220</v>
      </c>
    </row>
    <row r="1039" spans="1:15" x14ac:dyDescent="0.25">
      <c r="A1039" t="s">
        <v>1188</v>
      </c>
      <c r="B1039">
        <v>45821</v>
      </c>
      <c r="C1039" t="s">
        <v>56</v>
      </c>
      <c r="D1039" t="s">
        <v>127</v>
      </c>
      <c r="E1039" t="s">
        <v>58</v>
      </c>
      <c r="F1039" t="s">
        <v>92</v>
      </c>
      <c r="G1039" t="s">
        <v>27</v>
      </c>
      <c r="H1039" t="s">
        <v>214</v>
      </c>
      <c r="I1039" t="s">
        <v>252</v>
      </c>
      <c r="J1039" t="s">
        <v>23</v>
      </c>
      <c r="K1039" t="s">
        <v>94</v>
      </c>
      <c r="L1039">
        <v>8</v>
      </c>
      <c r="M1039">
        <v>13480</v>
      </c>
      <c r="N1039">
        <v>0.05</v>
      </c>
      <c r="O1039">
        <v>7730</v>
      </c>
    </row>
    <row r="1040" spans="1:15" x14ac:dyDescent="0.25">
      <c r="A1040" t="s">
        <v>1189</v>
      </c>
      <c r="B1040">
        <v>45821</v>
      </c>
      <c r="C1040" t="s">
        <v>16</v>
      </c>
      <c r="D1040" t="s">
        <v>82</v>
      </c>
      <c r="E1040" t="s">
        <v>26</v>
      </c>
      <c r="F1040" t="s">
        <v>52</v>
      </c>
      <c r="G1040" t="s">
        <v>20</v>
      </c>
      <c r="H1040" t="s">
        <v>21</v>
      </c>
      <c r="I1040" t="s">
        <v>65</v>
      </c>
      <c r="J1040" t="s">
        <v>23</v>
      </c>
      <c r="K1040" t="s">
        <v>24</v>
      </c>
      <c r="L1040">
        <v>11</v>
      </c>
      <c r="M1040">
        <v>9040</v>
      </c>
      <c r="N1040">
        <v>0.1</v>
      </c>
      <c r="O1040">
        <v>7020</v>
      </c>
    </row>
    <row r="1041" spans="1:15" x14ac:dyDescent="0.25">
      <c r="A1041" t="s">
        <v>1190</v>
      </c>
      <c r="B1041">
        <v>45822</v>
      </c>
      <c r="C1041" t="s">
        <v>56</v>
      </c>
      <c r="D1041" t="s">
        <v>103</v>
      </c>
      <c r="E1041" t="s">
        <v>134</v>
      </c>
      <c r="F1041" t="s">
        <v>19</v>
      </c>
      <c r="G1041" t="s">
        <v>59</v>
      </c>
      <c r="H1041" t="s">
        <v>60</v>
      </c>
      <c r="I1041" t="s">
        <v>61</v>
      </c>
      <c r="J1041" t="s">
        <v>23</v>
      </c>
      <c r="K1041" t="s">
        <v>24</v>
      </c>
      <c r="L1041">
        <v>1</v>
      </c>
      <c r="M1041">
        <v>24870</v>
      </c>
      <c r="N1041">
        <v>0.08</v>
      </c>
      <c r="O1041">
        <v>17880</v>
      </c>
    </row>
    <row r="1042" spans="1:15" x14ac:dyDescent="0.25">
      <c r="A1042" t="s">
        <v>1191</v>
      </c>
      <c r="B1042">
        <v>45823</v>
      </c>
      <c r="C1042" t="s">
        <v>42</v>
      </c>
      <c r="D1042" t="s">
        <v>265</v>
      </c>
      <c r="E1042" t="s">
        <v>97</v>
      </c>
      <c r="F1042" t="s">
        <v>19</v>
      </c>
      <c r="G1042" t="s">
        <v>20</v>
      </c>
      <c r="H1042" t="s">
        <v>21</v>
      </c>
      <c r="I1042" t="s">
        <v>22</v>
      </c>
      <c r="J1042" t="s">
        <v>23</v>
      </c>
      <c r="K1042" t="s">
        <v>94</v>
      </c>
      <c r="L1042">
        <v>20</v>
      </c>
      <c r="M1042">
        <v>1750</v>
      </c>
      <c r="N1042">
        <v>0</v>
      </c>
      <c r="O1042">
        <v>1250</v>
      </c>
    </row>
    <row r="1043" spans="1:15" x14ac:dyDescent="0.25">
      <c r="A1043" t="s">
        <v>1192</v>
      </c>
      <c r="B1043">
        <v>45824</v>
      </c>
      <c r="C1043" t="s">
        <v>16</v>
      </c>
      <c r="D1043" t="s">
        <v>17</v>
      </c>
      <c r="E1043" t="s">
        <v>18</v>
      </c>
      <c r="F1043" t="s">
        <v>52</v>
      </c>
      <c r="G1043" t="s">
        <v>27</v>
      </c>
      <c r="H1043" t="s">
        <v>28</v>
      </c>
      <c r="I1043" t="s">
        <v>29</v>
      </c>
      <c r="J1043" t="s">
        <v>23</v>
      </c>
      <c r="K1043" t="s">
        <v>119</v>
      </c>
      <c r="L1043">
        <v>8</v>
      </c>
      <c r="M1043">
        <v>28210</v>
      </c>
      <c r="N1043">
        <v>0</v>
      </c>
      <c r="O1043">
        <v>19800</v>
      </c>
    </row>
    <row r="1044" spans="1:15" x14ac:dyDescent="0.25">
      <c r="A1044" t="s">
        <v>1193</v>
      </c>
      <c r="B1044">
        <v>45824</v>
      </c>
      <c r="C1044" t="s">
        <v>37</v>
      </c>
      <c r="D1044" t="s">
        <v>38</v>
      </c>
      <c r="E1044" t="s">
        <v>68</v>
      </c>
      <c r="F1044" t="s">
        <v>92</v>
      </c>
      <c r="G1044" t="s">
        <v>20</v>
      </c>
      <c r="H1044" t="s">
        <v>109</v>
      </c>
      <c r="I1044" t="s">
        <v>110</v>
      </c>
      <c r="J1044" t="s">
        <v>23</v>
      </c>
      <c r="K1044" t="s">
        <v>24</v>
      </c>
      <c r="L1044">
        <v>2</v>
      </c>
      <c r="M1044">
        <v>73180</v>
      </c>
      <c r="N1044">
        <v>0.05</v>
      </c>
      <c r="O1044">
        <v>57210</v>
      </c>
    </row>
    <row r="1045" spans="1:15" x14ac:dyDescent="0.25">
      <c r="A1045" t="s">
        <v>1194</v>
      </c>
      <c r="B1045">
        <v>45826</v>
      </c>
      <c r="C1045" t="s">
        <v>76</v>
      </c>
      <c r="D1045" t="s">
        <v>112</v>
      </c>
      <c r="E1045" t="s">
        <v>170</v>
      </c>
      <c r="F1045" t="s">
        <v>92</v>
      </c>
      <c r="G1045" t="s">
        <v>46</v>
      </c>
      <c r="H1045" t="s">
        <v>100</v>
      </c>
      <c r="I1045" t="s">
        <v>177</v>
      </c>
      <c r="J1045" t="s">
        <v>23</v>
      </c>
      <c r="K1045" t="s">
        <v>35</v>
      </c>
      <c r="L1045">
        <v>66</v>
      </c>
      <c r="M1045">
        <v>2530</v>
      </c>
      <c r="N1045">
        <v>0.1</v>
      </c>
      <c r="O1045">
        <v>1970</v>
      </c>
    </row>
    <row r="1046" spans="1:15" x14ac:dyDescent="0.25">
      <c r="A1046" t="s">
        <v>1195</v>
      </c>
      <c r="B1046">
        <v>45827</v>
      </c>
      <c r="C1046" t="s">
        <v>16</v>
      </c>
      <c r="D1046" t="s">
        <v>31</v>
      </c>
      <c r="E1046" t="s">
        <v>32</v>
      </c>
      <c r="F1046" t="s">
        <v>92</v>
      </c>
      <c r="G1046" t="s">
        <v>46</v>
      </c>
      <c r="H1046" t="s">
        <v>179</v>
      </c>
      <c r="I1046" t="s">
        <v>221</v>
      </c>
      <c r="J1046" t="s">
        <v>23</v>
      </c>
      <c r="K1046" t="s">
        <v>35</v>
      </c>
      <c r="L1046">
        <v>61</v>
      </c>
      <c r="M1046">
        <v>1580</v>
      </c>
      <c r="N1046">
        <v>0</v>
      </c>
      <c r="O1046">
        <v>970</v>
      </c>
    </row>
    <row r="1047" spans="1:15" x14ac:dyDescent="0.25">
      <c r="A1047" t="s">
        <v>1196</v>
      </c>
      <c r="B1047">
        <v>45827</v>
      </c>
      <c r="C1047" t="s">
        <v>37</v>
      </c>
      <c r="D1047" t="s">
        <v>38</v>
      </c>
      <c r="E1047" t="s">
        <v>68</v>
      </c>
      <c r="F1047" t="s">
        <v>19</v>
      </c>
      <c r="G1047" t="s">
        <v>59</v>
      </c>
      <c r="H1047" t="s">
        <v>154</v>
      </c>
      <c r="I1047" t="s">
        <v>249</v>
      </c>
      <c r="J1047" t="s">
        <v>23</v>
      </c>
      <c r="K1047" t="s">
        <v>24</v>
      </c>
      <c r="L1047">
        <v>11</v>
      </c>
      <c r="M1047">
        <v>6990</v>
      </c>
      <c r="N1047">
        <v>0.1</v>
      </c>
      <c r="O1047">
        <v>5360</v>
      </c>
    </row>
    <row r="1048" spans="1:15" x14ac:dyDescent="0.25">
      <c r="A1048" t="s">
        <v>1197</v>
      </c>
      <c r="B1048">
        <v>45827</v>
      </c>
      <c r="C1048" t="s">
        <v>56</v>
      </c>
      <c r="D1048" t="s">
        <v>72</v>
      </c>
      <c r="E1048" t="s">
        <v>58</v>
      </c>
      <c r="F1048" t="s">
        <v>52</v>
      </c>
      <c r="G1048" t="s">
        <v>83</v>
      </c>
      <c r="H1048" t="s">
        <v>84</v>
      </c>
      <c r="I1048" t="s">
        <v>292</v>
      </c>
      <c r="J1048" t="s">
        <v>23</v>
      </c>
      <c r="K1048" t="s">
        <v>24</v>
      </c>
      <c r="L1048">
        <v>1</v>
      </c>
      <c r="M1048">
        <v>42310</v>
      </c>
      <c r="N1048">
        <v>0.18</v>
      </c>
      <c r="O1048">
        <v>26050</v>
      </c>
    </row>
    <row r="1049" spans="1:15" x14ac:dyDescent="0.25">
      <c r="A1049" t="s">
        <v>1198</v>
      </c>
      <c r="B1049">
        <v>45827</v>
      </c>
      <c r="C1049" t="s">
        <v>42</v>
      </c>
      <c r="D1049" t="s">
        <v>265</v>
      </c>
      <c r="E1049" t="s">
        <v>44</v>
      </c>
      <c r="F1049" t="s">
        <v>19</v>
      </c>
      <c r="G1049" t="s">
        <v>20</v>
      </c>
      <c r="H1049" t="s">
        <v>109</v>
      </c>
      <c r="I1049" t="s">
        <v>110</v>
      </c>
      <c r="J1049" t="s">
        <v>40</v>
      </c>
      <c r="K1049" t="s">
        <v>35</v>
      </c>
      <c r="L1049">
        <v>3</v>
      </c>
      <c r="M1049">
        <v>72720</v>
      </c>
      <c r="N1049">
        <v>0.15</v>
      </c>
      <c r="O1049">
        <v>49340</v>
      </c>
    </row>
    <row r="1050" spans="1:15" x14ac:dyDescent="0.25">
      <c r="A1050" t="s">
        <v>1199</v>
      </c>
      <c r="B1050">
        <v>45827</v>
      </c>
      <c r="C1050" t="s">
        <v>56</v>
      </c>
      <c r="D1050" t="s">
        <v>72</v>
      </c>
      <c r="E1050" t="s">
        <v>134</v>
      </c>
      <c r="F1050" t="s">
        <v>19</v>
      </c>
      <c r="G1050" t="s">
        <v>20</v>
      </c>
      <c r="H1050" t="s">
        <v>109</v>
      </c>
      <c r="I1050" t="s">
        <v>171</v>
      </c>
      <c r="J1050" t="s">
        <v>49</v>
      </c>
      <c r="K1050" t="s">
        <v>24</v>
      </c>
      <c r="L1050">
        <v>6</v>
      </c>
      <c r="M1050">
        <v>22820</v>
      </c>
      <c r="N1050">
        <v>0</v>
      </c>
      <c r="O1050">
        <v>15680</v>
      </c>
    </row>
    <row r="1051" spans="1:15" x14ac:dyDescent="0.25">
      <c r="A1051" t="s">
        <v>1200</v>
      </c>
      <c r="B1051">
        <v>45828</v>
      </c>
      <c r="C1051" t="s">
        <v>16</v>
      </c>
      <c r="D1051" t="s">
        <v>31</v>
      </c>
      <c r="E1051" t="s">
        <v>26</v>
      </c>
      <c r="F1051" t="s">
        <v>19</v>
      </c>
      <c r="G1051" t="s">
        <v>27</v>
      </c>
      <c r="H1051" t="s">
        <v>79</v>
      </c>
      <c r="I1051" t="s">
        <v>168</v>
      </c>
      <c r="J1051" t="s">
        <v>23</v>
      </c>
      <c r="K1051" t="s">
        <v>24</v>
      </c>
      <c r="L1051">
        <v>4</v>
      </c>
      <c r="M1051">
        <v>9690</v>
      </c>
      <c r="N1051">
        <v>0</v>
      </c>
      <c r="O1051">
        <v>7040</v>
      </c>
    </row>
    <row r="1052" spans="1:15" x14ac:dyDescent="0.25">
      <c r="A1052" t="s">
        <v>1201</v>
      </c>
      <c r="B1052">
        <v>45828</v>
      </c>
      <c r="C1052" t="s">
        <v>37</v>
      </c>
      <c r="D1052" t="s">
        <v>115</v>
      </c>
      <c r="E1052" t="s">
        <v>39</v>
      </c>
      <c r="F1052" t="s">
        <v>45</v>
      </c>
      <c r="G1052" t="s">
        <v>20</v>
      </c>
      <c r="H1052" t="s">
        <v>33</v>
      </c>
      <c r="I1052" t="s">
        <v>182</v>
      </c>
      <c r="J1052" t="s">
        <v>40</v>
      </c>
      <c r="K1052" t="s">
        <v>24</v>
      </c>
      <c r="L1052">
        <v>3</v>
      </c>
      <c r="M1052">
        <v>106610</v>
      </c>
      <c r="N1052">
        <v>0.12</v>
      </c>
      <c r="O1052">
        <v>70280</v>
      </c>
    </row>
    <row r="1053" spans="1:15" x14ac:dyDescent="0.25">
      <c r="A1053" t="s">
        <v>1202</v>
      </c>
      <c r="B1053">
        <v>45828</v>
      </c>
      <c r="C1053" t="s">
        <v>56</v>
      </c>
      <c r="D1053" t="s">
        <v>103</v>
      </c>
      <c r="E1053" t="s">
        <v>91</v>
      </c>
      <c r="F1053" t="s">
        <v>45</v>
      </c>
      <c r="G1053" t="s">
        <v>46</v>
      </c>
      <c r="H1053" t="s">
        <v>47</v>
      </c>
      <c r="I1053" t="s">
        <v>48</v>
      </c>
      <c r="J1053" t="s">
        <v>40</v>
      </c>
      <c r="K1053" t="s">
        <v>24</v>
      </c>
      <c r="L1053">
        <v>21</v>
      </c>
      <c r="M1053">
        <v>1810</v>
      </c>
      <c r="N1053">
        <v>0</v>
      </c>
      <c r="O1053">
        <v>1180</v>
      </c>
    </row>
    <row r="1054" spans="1:15" x14ac:dyDescent="0.25">
      <c r="A1054" t="s">
        <v>1203</v>
      </c>
      <c r="B1054">
        <v>45828</v>
      </c>
      <c r="C1054" t="s">
        <v>16</v>
      </c>
      <c r="D1054" t="s">
        <v>153</v>
      </c>
      <c r="E1054" t="s">
        <v>32</v>
      </c>
      <c r="F1054" t="s">
        <v>52</v>
      </c>
      <c r="G1054" t="s">
        <v>46</v>
      </c>
      <c r="H1054" t="s">
        <v>179</v>
      </c>
      <c r="I1054" t="s">
        <v>221</v>
      </c>
      <c r="J1054" t="s">
        <v>23</v>
      </c>
      <c r="K1054" t="s">
        <v>24</v>
      </c>
      <c r="L1054">
        <v>38</v>
      </c>
      <c r="M1054">
        <v>1530</v>
      </c>
      <c r="N1054">
        <v>0.12</v>
      </c>
      <c r="O1054">
        <v>1200</v>
      </c>
    </row>
    <row r="1055" spans="1:15" x14ac:dyDescent="0.25">
      <c r="A1055" t="s">
        <v>1204</v>
      </c>
      <c r="B1055">
        <v>45829</v>
      </c>
      <c r="C1055" t="s">
        <v>56</v>
      </c>
      <c r="D1055" t="s">
        <v>143</v>
      </c>
      <c r="E1055" t="s">
        <v>134</v>
      </c>
      <c r="F1055" t="s">
        <v>19</v>
      </c>
      <c r="G1055" t="s">
        <v>20</v>
      </c>
      <c r="H1055" t="s">
        <v>33</v>
      </c>
      <c r="I1055" t="s">
        <v>182</v>
      </c>
      <c r="J1055" t="s">
        <v>23</v>
      </c>
      <c r="K1055" t="s">
        <v>24</v>
      </c>
      <c r="L1055">
        <v>2</v>
      </c>
      <c r="M1055">
        <v>112900</v>
      </c>
      <c r="N1055">
        <v>0</v>
      </c>
      <c r="O1055">
        <v>72970</v>
      </c>
    </row>
    <row r="1056" spans="1:15" x14ac:dyDescent="0.25">
      <c r="A1056" t="s">
        <v>1205</v>
      </c>
      <c r="B1056">
        <v>45830</v>
      </c>
      <c r="C1056" t="s">
        <v>16</v>
      </c>
      <c r="D1056" t="s">
        <v>17</v>
      </c>
      <c r="E1056" t="s">
        <v>26</v>
      </c>
      <c r="F1056" t="s">
        <v>92</v>
      </c>
      <c r="G1056" t="s">
        <v>20</v>
      </c>
      <c r="H1056" t="s">
        <v>109</v>
      </c>
      <c r="I1056" t="s">
        <v>171</v>
      </c>
      <c r="J1056" t="s">
        <v>23</v>
      </c>
      <c r="K1056" t="s">
        <v>94</v>
      </c>
      <c r="L1056">
        <v>8</v>
      </c>
      <c r="M1056">
        <v>23220</v>
      </c>
      <c r="N1056">
        <v>0.2</v>
      </c>
      <c r="O1056">
        <v>16920</v>
      </c>
    </row>
    <row r="1057" spans="1:15" x14ac:dyDescent="0.25">
      <c r="A1057" t="s">
        <v>1206</v>
      </c>
      <c r="B1057">
        <v>45830</v>
      </c>
      <c r="C1057" t="s">
        <v>56</v>
      </c>
      <c r="D1057" t="s">
        <v>143</v>
      </c>
      <c r="E1057" t="s">
        <v>134</v>
      </c>
      <c r="F1057" t="s">
        <v>19</v>
      </c>
      <c r="G1057" t="s">
        <v>46</v>
      </c>
      <c r="H1057" t="s">
        <v>100</v>
      </c>
      <c r="I1057" t="s">
        <v>101</v>
      </c>
      <c r="J1057" t="s">
        <v>40</v>
      </c>
      <c r="K1057" t="s">
        <v>24</v>
      </c>
      <c r="L1057">
        <v>40</v>
      </c>
      <c r="M1057">
        <v>1880</v>
      </c>
      <c r="N1057">
        <v>0.1</v>
      </c>
      <c r="O1057">
        <v>1480</v>
      </c>
    </row>
    <row r="1058" spans="1:15" x14ac:dyDescent="0.25">
      <c r="A1058" t="s">
        <v>1207</v>
      </c>
      <c r="B1058">
        <v>45831</v>
      </c>
      <c r="C1058" t="s">
        <v>76</v>
      </c>
      <c r="D1058" t="s">
        <v>150</v>
      </c>
      <c r="E1058" t="s">
        <v>78</v>
      </c>
      <c r="F1058" t="s">
        <v>19</v>
      </c>
      <c r="G1058" t="s">
        <v>46</v>
      </c>
      <c r="H1058" t="s">
        <v>179</v>
      </c>
      <c r="I1058" t="s">
        <v>236</v>
      </c>
      <c r="J1058" t="s">
        <v>49</v>
      </c>
      <c r="K1058" t="s">
        <v>24</v>
      </c>
      <c r="L1058">
        <v>40</v>
      </c>
      <c r="M1058">
        <v>2100</v>
      </c>
      <c r="N1058">
        <v>0.1</v>
      </c>
      <c r="O1058">
        <v>1540</v>
      </c>
    </row>
    <row r="1059" spans="1:15" x14ac:dyDescent="0.25">
      <c r="A1059" t="s">
        <v>1208</v>
      </c>
      <c r="B1059">
        <v>45831</v>
      </c>
      <c r="C1059" t="s">
        <v>76</v>
      </c>
      <c r="D1059" t="s">
        <v>150</v>
      </c>
      <c r="E1059" t="s">
        <v>170</v>
      </c>
      <c r="F1059" t="s">
        <v>19</v>
      </c>
      <c r="G1059" t="s">
        <v>83</v>
      </c>
      <c r="H1059" t="s">
        <v>184</v>
      </c>
      <c r="I1059" t="s">
        <v>185</v>
      </c>
      <c r="J1059" t="s">
        <v>23</v>
      </c>
      <c r="K1059" t="s">
        <v>24</v>
      </c>
      <c r="L1059">
        <v>7</v>
      </c>
      <c r="M1059">
        <v>4810</v>
      </c>
      <c r="N1059">
        <v>0.1</v>
      </c>
      <c r="O1059">
        <v>2940</v>
      </c>
    </row>
    <row r="1060" spans="1:15" x14ac:dyDescent="0.25">
      <c r="A1060" t="s">
        <v>1209</v>
      </c>
      <c r="B1060">
        <v>45832</v>
      </c>
      <c r="C1060" t="s">
        <v>37</v>
      </c>
      <c r="D1060" t="s">
        <v>115</v>
      </c>
      <c r="E1060" t="s">
        <v>68</v>
      </c>
      <c r="F1060" t="s">
        <v>52</v>
      </c>
      <c r="G1060" t="s">
        <v>83</v>
      </c>
      <c r="H1060" t="s">
        <v>136</v>
      </c>
      <c r="I1060" t="s">
        <v>137</v>
      </c>
      <c r="J1060" t="s">
        <v>40</v>
      </c>
      <c r="K1060" t="s">
        <v>24</v>
      </c>
      <c r="L1060">
        <v>33</v>
      </c>
      <c r="M1060">
        <v>1690</v>
      </c>
      <c r="N1060">
        <v>0.05</v>
      </c>
      <c r="O1060">
        <v>1040</v>
      </c>
    </row>
    <row r="1061" spans="1:15" x14ac:dyDescent="0.25">
      <c r="A1061" t="s">
        <v>1210</v>
      </c>
      <c r="B1061">
        <v>45833</v>
      </c>
      <c r="C1061" t="s">
        <v>42</v>
      </c>
      <c r="D1061" t="s">
        <v>130</v>
      </c>
      <c r="E1061" t="s">
        <v>64</v>
      </c>
      <c r="F1061" t="s">
        <v>92</v>
      </c>
      <c r="G1061" t="s">
        <v>46</v>
      </c>
      <c r="H1061" t="s">
        <v>179</v>
      </c>
      <c r="I1061" t="s">
        <v>221</v>
      </c>
      <c r="J1061" t="s">
        <v>23</v>
      </c>
      <c r="K1061" t="s">
        <v>119</v>
      </c>
      <c r="L1061">
        <v>73</v>
      </c>
      <c r="M1061">
        <v>1540</v>
      </c>
      <c r="N1061">
        <v>0.08</v>
      </c>
      <c r="O1061">
        <v>1210</v>
      </c>
    </row>
    <row r="1062" spans="1:15" x14ac:dyDescent="0.25">
      <c r="A1062" t="s">
        <v>1211</v>
      </c>
      <c r="B1062">
        <v>45834</v>
      </c>
      <c r="C1062" t="s">
        <v>56</v>
      </c>
      <c r="D1062" t="s">
        <v>133</v>
      </c>
      <c r="E1062" t="s">
        <v>134</v>
      </c>
      <c r="F1062" t="s">
        <v>19</v>
      </c>
      <c r="G1062" t="s">
        <v>83</v>
      </c>
      <c r="H1062" t="s">
        <v>136</v>
      </c>
      <c r="I1062" t="s">
        <v>307</v>
      </c>
      <c r="J1062" t="s">
        <v>40</v>
      </c>
      <c r="K1062" t="s">
        <v>24</v>
      </c>
      <c r="L1062">
        <v>34</v>
      </c>
      <c r="M1062">
        <v>870</v>
      </c>
      <c r="N1062">
        <v>0</v>
      </c>
      <c r="O1062">
        <v>590</v>
      </c>
    </row>
    <row r="1063" spans="1:15" x14ac:dyDescent="0.25">
      <c r="A1063" t="s">
        <v>1212</v>
      </c>
      <c r="B1063">
        <v>45835</v>
      </c>
      <c r="C1063" t="s">
        <v>42</v>
      </c>
      <c r="D1063" t="s">
        <v>265</v>
      </c>
      <c r="E1063" t="s">
        <v>44</v>
      </c>
      <c r="F1063" t="s">
        <v>19</v>
      </c>
      <c r="G1063" t="s">
        <v>27</v>
      </c>
      <c r="H1063" t="s">
        <v>79</v>
      </c>
      <c r="I1063" t="s">
        <v>80</v>
      </c>
      <c r="J1063" t="s">
        <v>40</v>
      </c>
      <c r="K1063" t="s">
        <v>24</v>
      </c>
      <c r="L1063">
        <v>15</v>
      </c>
      <c r="M1063">
        <v>4680</v>
      </c>
      <c r="N1063">
        <v>0.2</v>
      </c>
      <c r="O1063">
        <v>3680</v>
      </c>
    </row>
    <row r="1064" spans="1:15" x14ac:dyDescent="0.25">
      <c r="A1064" t="s">
        <v>1213</v>
      </c>
      <c r="B1064">
        <v>45835</v>
      </c>
      <c r="C1064" t="s">
        <v>76</v>
      </c>
      <c r="D1064" t="s">
        <v>150</v>
      </c>
      <c r="E1064" t="s">
        <v>170</v>
      </c>
      <c r="F1064" t="s">
        <v>92</v>
      </c>
      <c r="G1064" t="s">
        <v>20</v>
      </c>
      <c r="H1064" t="s">
        <v>21</v>
      </c>
      <c r="I1064" t="s">
        <v>65</v>
      </c>
      <c r="J1064" t="s">
        <v>40</v>
      </c>
      <c r="K1064" t="s">
        <v>24</v>
      </c>
      <c r="L1064">
        <v>18</v>
      </c>
      <c r="M1064">
        <v>8640</v>
      </c>
      <c r="N1064">
        <v>0.05</v>
      </c>
      <c r="O1064">
        <v>6630</v>
      </c>
    </row>
    <row r="1065" spans="1:15" x14ac:dyDescent="0.25">
      <c r="A1065" t="s">
        <v>1214</v>
      </c>
      <c r="B1065">
        <v>45835</v>
      </c>
      <c r="C1065" t="s">
        <v>37</v>
      </c>
      <c r="D1065" t="s">
        <v>67</v>
      </c>
      <c r="E1065" t="s">
        <v>39</v>
      </c>
      <c r="F1065" t="s">
        <v>45</v>
      </c>
      <c r="G1065" t="s">
        <v>83</v>
      </c>
      <c r="H1065" t="s">
        <v>184</v>
      </c>
      <c r="I1065" t="s">
        <v>196</v>
      </c>
      <c r="J1065" t="s">
        <v>40</v>
      </c>
      <c r="K1065" t="s">
        <v>24</v>
      </c>
      <c r="L1065">
        <v>14</v>
      </c>
      <c r="M1065">
        <v>3240</v>
      </c>
      <c r="N1065">
        <v>0.08</v>
      </c>
      <c r="O1065">
        <v>1910</v>
      </c>
    </row>
    <row r="1066" spans="1:15" x14ac:dyDescent="0.25">
      <c r="A1066" t="s">
        <v>1215</v>
      </c>
      <c r="B1066">
        <v>45836</v>
      </c>
      <c r="C1066" t="s">
        <v>76</v>
      </c>
      <c r="D1066" t="s">
        <v>99</v>
      </c>
      <c r="E1066" t="s">
        <v>170</v>
      </c>
      <c r="F1066" t="s">
        <v>92</v>
      </c>
      <c r="G1066" t="s">
        <v>46</v>
      </c>
      <c r="H1066" t="s">
        <v>100</v>
      </c>
      <c r="I1066" t="s">
        <v>177</v>
      </c>
      <c r="J1066" t="s">
        <v>40</v>
      </c>
      <c r="K1066" t="s">
        <v>24</v>
      </c>
      <c r="L1066">
        <v>43</v>
      </c>
      <c r="M1066">
        <v>2420</v>
      </c>
      <c r="N1066">
        <v>0.12</v>
      </c>
      <c r="O1066">
        <v>1810</v>
      </c>
    </row>
    <row r="1067" spans="1:15" x14ac:dyDescent="0.25">
      <c r="A1067" t="s">
        <v>1216</v>
      </c>
      <c r="B1067">
        <v>45836</v>
      </c>
      <c r="C1067" t="s">
        <v>37</v>
      </c>
      <c r="D1067" t="s">
        <v>213</v>
      </c>
      <c r="E1067" t="s">
        <v>68</v>
      </c>
      <c r="F1067" t="s">
        <v>19</v>
      </c>
      <c r="G1067" t="s">
        <v>46</v>
      </c>
      <c r="H1067" t="s">
        <v>100</v>
      </c>
      <c r="I1067" t="s">
        <v>177</v>
      </c>
      <c r="J1067" t="s">
        <v>23</v>
      </c>
      <c r="K1067" t="s">
        <v>24</v>
      </c>
      <c r="L1067">
        <v>17</v>
      </c>
      <c r="M1067">
        <v>2560</v>
      </c>
      <c r="N1067">
        <v>0.12</v>
      </c>
      <c r="O1067">
        <v>1570</v>
      </c>
    </row>
    <row r="1068" spans="1:15" x14ac:dyDescent="0.25">
      <c r="A1068" t="s">
        <v>1217</v>
      </c>
      <c r="B1068">
        <v>45837</v>
      </c>
      <c r="C1068" t="s">
        <v>16</v>
      </c>
      <c r="D1068" t="s">
        <v>153</v>
      </c>
      <c r="E1068" t="s">
        <v>32</v>
      </c>
      <c r="F1068" t="s">
        <v>92</v>
      </c>
      <c r="G1068" t="s">
        <v>59</v>
      </c>
      <c r="H1068" t="s">
        <v>69</v>
      </c>
      <c r="I1068" t="s">
        <v>70</v>
      </c>
      <c r="J1068" t="s">
        <v>49</v>
      </c>
      <c r="K1068" t="s">
        <v>24</v>
      </c>
      <c r="L1068">
        <v>14</v>
      </c>
      <c r="M1068">
        <v>27180</v>
      </c>
      <c r="N1068">
        <v>0.08</v>
      </c>
      <c r="O1068">
        <v>19330</v>
      </c>
    </row>
    <row r="1069" spans="1:15" x14ac:dyDescent="0.25">
      <c r="A1069" t="s">
        <v>1218</v>
      </c>
      <c r="B1069">
        <v>45838</v>
      </c>
      <c r="C1069" t="s">
        <v>42</v>
      </c>
      <c r="D1069" t="s">
        <v>43</v>
      </c>
      <c r="E1069" t="s">
        <v>97</v>
      </c>
      <c r="F1069" t="s">
        <v>19</v>
      </c>
      <c r="G1069" t="s">
        <v>46</v>
      </c>
      <c r="H1069" t="s">
        <v>100</v>
      </c>
      <c r="I1069" t="s">
        <v>177</v>
      </c>
      <c r="J1069" t="s">
        <v>23</v>
      </c>
      <c r="K1069" t="s">
        <v>94</v>
      </c>
      <c r="L1069">
        <v>23</v>
      </c>
      <c r="M1069">
        <v>2450</v>
      </c>
      <c r="N1069">
        <v>0.18</v>
      </c>
      <c r="O1069">
        <v>1660</v>
      </c>
    </row>
    <row r="1070" spans="1:15" x14ac:dyDescent="0.25">
      <c r="A1070" t="s">
        <v>1219</v>
      </c>
      <c r="B1070">
        <v>45838</v>
      </c>
      <c r="C1070" t="s">
        <v>56</v>
      </c>
      <c r="D1070" t="s">
        <v>133</v>
      </c>
      <c r="E1070" t="s">
        <v>58</v>
      </c>
      <c r="F1070" t="s">
        <v>52</v>
      </c>
      <c r="G1070" t="s">
        <v>27</v>
      </c>
      <c r="H1070" t="s">
        <v>53</v>
      </c>
      <c r="I1070" t="s">
        <v>131</v>
      </c>
      <c r="J1070" t="s">
        <v>23</v>
      </c>
      <c r="K1070" t="s">
        <v>35</v>
      </c>
      <c r="L1070">
        <v>1</v>
      </c>
      <c r="M1070">
        <v>38830</v>
      </c>
      <c r="N1070">
        <v>0.12</v>
      </c>
      <c r="O1070">
        <v>30040</v>
      </c>
    </row>
    <row r="1071" spans="1:15" x14ac:dyDescent="0.25">
      <c r="A1071" t="s">
        <v>1220</v>
      </c>
      <c r="B1071">
        <v>45838</v>
      </c>
      <c r="C1071" t="s">
        <v>76</v>
      </c>
      <c r="D1071" t="s">
        <v>112</v>
      </c>
      <c r="E1071" t="s">
        <v>170</v>
      </c>
      <c r="F1071" t="s">
        <v>92</v>
      </c>
      <c r="G1071" t="s">
        <v>83</v>
      </c>
      <c r="H1071" t="s">
        <v>136</v>
      </c>
      <c r="I1071" t="s">
        <v>137</v>
      </c>
      <c r="J1071" t="s">
        <v>40</v>
      </c>
      <c r="K1071" t="s">
        <v>119</v>
      </c>
      <c r="L1071">
        <v>52</v>
      </c>
      <c r="M1071">
        <v>1660</v>
      </c>
      <c r="N1071">
        <v>0.18</v>
      </c>
      <c r="O1071">
        <v>1160</v>
      </c>
    </row>
    <row r="1072" spans="1:15" x14ac:dyDescent="0.25">
      <c r="A1072" t="s">
        <v>1221</v>
      </c>
      <c r="B1072">
        <v>45838</v>
      </c>
      <c r="C1072" t="s">
        <v>16</v>
      </c>
      <c r="D1072" t="s">
        <v>153</v>
      </c>
      <c r="E1072" t="s">
        <v>32</v>
      </c>
      <c r="F1072" t="s">
        <v>19</v>
      </c>
      <c r="G1072" t="s">
        <v>83</v>
      </c>
      <c r="H1072" t="s">
        <v>136</v>
      </c>
      <c r="I1072" t="s">
        <v>307</v>
      </c>
      <c r="J1072" t="s">
        <v>49</v>
      </c>
      <c r="K1072" t="s">
        <v>35</v>
      </c>
      <c r="L1072">
        <v>13</v>
      </c>
      <c r="M1072">
        <v>960</v>
      </c>
      <c r="N1072">
        <v>0.08</v>
      </c>
      <c r="O1072">
        <v>730</v>
      </c>
    </row>
    <row r="1073" spans="1:15" x14ac:dyDescent="0.25">
      <c r="A1073" t="s">
        <v>1222</v>
      </c>
      <c r="B1073">
        <v>45839</v>
      </c>
      <c r="C1073" t="s">
        <v>37</v>
      </c>
      <c r="D1073" t="s">
        <v>161</v>
      </c>
      <c r="E1073" t="s">
        <v>68</v>
      </c>
      <c r="F1073" t="s">
        <v>92</v>
      </c>
      <c r="G1073" t="s">
        <v>46</v>
      </c>
      <c r="H1073" t="s">
        <v>100</v>
      </c>
      <c r="I1073" t="s">
        <v>177</v>
      </c>
      <c r="J1073" t="s">
        <v>49</v>
      </c>
      <c r="K1073" t="s">
        <v>119</v>
      </c>
      <c r="L1073">
        <v>47</v>
      </c>
      <c r="M1073">
        <v>2670</v>
      </c>
      <c r="N1073">
        <v>0.05</v>
      </c>
      <c r="O1073">
        <v>1540</v>
      </c>
    </row>
    <row r="1074" spans="1:15" x14ac:dyDescent="0.25">
      <c r="A1074" t="s">
        <v>1223</v>
      </c>
      <c r="B1074">
        <v>45839</v>
      </c>
      <c r="C1074" t="s">
        <v>37</v>
      </c>
      <c r="D1074" t="s">
        <v>161</v>
      </c>
      <c r="E1074" t="s">
        <v>68</v>
      </c>
      <c r="F1074" t="s">
        <v>92</v>
      </c>
      <c r="G1074" t="s">
        <v>59</v>
      </c>
      <c r="H1074" t="s">
        <v>60</v>
      </c>
      <c r="I1074" t="s">
        <v>200</v>
      </c>
      <c r="J1074" t="s">
        <v>23</v>
      </c>
      <c r="K1074" t="s">
        <v>24</v>
      </c>
      <c r="L1074">
        <v>24</v>
      </c>
      <c r="M1074">
        <v>8410</v>
      </c>
      <c r="N1074">
        <v>0.1</v>
      </c>
      <c r="O1074">
        <v>6090</v>
      </c>
    </row>
    <row r="1075" spans="1:15" x14ac:dyDescent="0.25">
      <c r="A1075" t="s">
        <v>1224</v>
      </c>
      <c r="B1075">
        <v>45839</v>
      </c>
      <c r="C1075" t="s">
        <v>37</v>
      </c>
      <c r="D1075" t="s">
        <v>115</v>
      </c>
      <c r="E1075" t="s">
        <v>68</v>
      </c>
      <c r="F1075" t="s">
        <v>45</v>
      </c>
      <c r="G1075" t="s">
        <v>59</v>
      </c>
      <c r="H1075" t="s">
        <v>73</v>
      </c>
      <c r="I1075" t="s">
        <v>74</v>
      </c>
      <c r="J1075" t="s">
        <v>23</v>
      </c>
      <c r="K1075" t="s">
        <v>24</v>
      </c>
      <c r="L1075">
        <v>5</v>
      </c>
      <c r="M1075">
        <v>45480</v>
      </c>
      <c r="N1075">
        <v>0.08</v>
      </c>
      <c r="O1075">
        <v>29160</v>
      </c>
    </row>
    <row r="1076" spans="1:15" x14ac:dyDescent="0.25">
      <c r="A1076" t="s">
        <v>1225</v>
      </c>
      <c r="B1076">
        <v>45840</v>
      </c>
      <c r="C1076" t="s">
        <v>37</v>
      </c>
      <c r="D1076" t="s">
        <v>67</v>
      </c>
      <c r="E1076" t="s">
        <v>68</v>
      </c>
      <c r="F1076" t="s">
        <v>19</v>
      </c>
      <c r="G1076" t="s">
        <v>20</v>
      </c>
      <c r="H1076" t="s">
        <v>87</v>
      </c>
      <c r="I1076" t="s">
        <v>88</v>
      </c>
      <c r="J1076" t="s">
        <v>40</v>
      </c>
      <c r="K1076" t="s">
        <v>24</v>
      </c>
      <c r="L1076">
        <v>1</v>
      </c>
      <c r="M1076">
        <v>31260</v>
      </c>
      <c r="N1076">
        <v>0.2</v>
      </c>
      <c r="O1076">
        <v>19270</v>
      </c>
    </row>
    <row r="1077" spans="1:15" x14ac:dyDescent="0.25">
      <c r="A1077" t="s">
        <v>1226</v>
      </c>
      <c r="B1077">
        <v>45840</v>
      </c>
      <c r="C1077" t="s">
        <v>42</v>
      </c>
      <c r="D1077" t="s">
        <v>130</v>
      </c>
      <c r="E1077" t="s">
        <v>64</v>
      </c>
      <c r="F1077" t="s">
        <v>19</v>
      </c>
      <c r="G1077" t="s">
        <v>59</v>
      </c>
      <c r="H1077" t="s">
        <v>60</v>
      </c>
      <c r="I1077" t="s">
        <v>61</v>
      </c>
      <c r="J1077" t="s">
        <v>23</v>
      </c>
      <c r="K1077" t="s">
        <v>24</v>
      </c>
      <c r="L1077">
        <v>7</v>
      </c>
      <c r="M1077">
        <v>23310</v>
      </c>
      <c r="N1077">
        <v>0.08</v>
      </c>
      <c r="O1077">
        <v>14840</v>
      </c>
    </row>
    <row r="1078" spans="1:15" x14ac:dyDescent="0.25">
      <c r="A1078" t="s">
        <v>1227</v>
      </c>
      <c r="B1078">
        <v>45840</v>
      </c>
      <c r="C1078" t="s">
        <v>37</v>
      </c>
      <c r="D1078" t="s">
        <v>67</v>
      </c>
      <c r="E1078" t="s">
        <v>68</v>
      </c>
      <c r="F1078" t="s">
        <v>45</v>
      </c>
      <c r="G1078" t="s">
        <v>83</v>
      </c>
      <c r="H1078" t="s">
        <v>184</v>
      </c>
      <c r="I1078" t="s">
        <v>185</v>
      </c>
      <c r="J1078" t="s">
        <v>40</v>
      </c>
      <c r="K1078" t="s">
        <v>119</v>
      </c>
      <c r="L1078">
        <v>14</v>
      </c>
      <c r="M1078">
        <v>4710</v>
      </c>
      <c r="N1078">
        <v>0</v>
      </c>
      <c r="O1078">
        <v>3200</v>
      </c>
    </row>
    <row r="1079" spans="1:15" x14ac:dyDescent="0.25">
      <c r="A1079" t="s">
        <v>1228</v>
      </c>
      <c r="B1079">
        <v>45840</v>
      </c>
      <c r="C1079" t="s">
        <v>16</v>
      </c>
      <c r="D1079" t="s">
        <v>31</v>
      </c>
      <c r="E1079" t="s">
        <v>32</v>
      </c>
      <c r="F1079" t="s">
        <v>52</v>
      </c>
      <c r="G1079" t="s">
        <v>27</v>
      </c>
      <c r="H1079" t="s">
        <v>28</v>
      </c>
      <c r="I1079" t="s">
        <v>29</v>
      </c>
      <c r="J1079" t="s">
        <v>23</v>
      </c>
      <c r="K1079" t="s">
        <v>24</v>
      </c>
      <c r="L1079">
        <v>3</v>
      </c>
      <c r="M1079">
        <v>29670</v>
      </c>
      <c r="N1079">
        <v>0.15</v>
      </c>
      <c r="O1079">
        <v>18970</v>
      </c>
    </row>
    <row r="1080" spans="1:15" x14ac:dyDescent="0.25">
      <c r="A1080" t="s">
        <v>1229</v>
      </c>
      <c r="B1080">
        <v>45844</v>
      </c>
      <c r="C1080" t="s">
        <v>56</v>
      </c>
      <c r="D1080" t="s">
        <v>72</v>
      </c>
      <c r="E1080" t="s">
        <v>58</v>
      </c>
      <c r="F1080" t="s">
        <v>52</v>
      </c>
      <c r="G1080" t="s">
        <v>20</v>
      </c>
      <c r="H1080" t="s">
        <v>109</v>
      </c>
      <c r="I1080" t="s">
        <v>171</v>
      </c>
      <c r="J1080" t="s">
        <v>49</v>
      </c>
      <c r="K1080" t="s">
        <v>24</v>
      </c>
      <c r="L1080">
        <v>4</v>
      </c>
      <c r="M1080">
        <v>22790</v>
      </c>
      <c r="N1080">
        <v>0</v>
      </c>
      <c r="O1080">
        <v>16750</v>
      </c>
    </row>
    <row r="1081" spans="1:15" x14ac:dyDescent="0.25">
      <c r="A1081" t="s">
        <v>1230</v>
      </c>
      <c r="B1081">
        <v>45845</v>
      </c>
      <c r="C1081" t="s">
        <v>16</v>
      </c>
      <c r="D1081" t="s">
        <v>51</v>
      </c>
      <c r="E1081" t="s">
        <v>18</v>
      </c>
      <c r="F1081" t="s">
        <v>92</v>
      </c>
      <c r="G1081" t="s">
        <v>59</v>
      </c>
      <c r="H1081" t="s">
        <v>154</v>
      </c>
      <c r="I1081" t="s">
        <v>249</v>
      </c>
      <c r="J1081" t="s">
        <v>40</v>
      </c>
      <c r="K1081" t="s">
        <v>24</v>
      </c>
      <c r="L1081">
        <v>8</v>
      </c>
      <c r="M1081">
        <v>6370</v>
      </c>
      <c r="N1081">
        <v>0</v>
      </c>
      <c r="O1081">
        <v>3720</v>
      </c>
    </row>
    <row r="1082" spans="1:15" x14ac:dyDescent="0.25">
      <c r="A1082" t="s">
        <v>1231</v>
      </c>
      <c r="B1082">
        <v>45845</v>
      </c>
      <c r="C1082" t="s">
        <v>56</v>
      </c>
      <c r="D1082" t="s">
        <v>143</v>
      </c>
      <c r="E1082" t="s">
        <v>91</v>
      </c>
      <c r="F1082" t="s">
        <v>52</v>
      </c>
      <c r="G1082" t="s">
        <v>20</v>
      </c>
      <c r="H1082" t="s">
        <v>21</v>
      </c>
      <c r="I1082" t="s">
        <v>65</v>
      </c>
      <c r="J1082" t="s">
        <v>49</v>
      </c>
      <c r="K1082" t="s">
        <v>24</v>
      </c>
      <c r="L1082">
        <v>5</v>
      </c>
      <c r="M1082">
        <v>8290</v>
      </c>
      <c r="N1082">
        <v>0</v>
      </c>
      <c r="O1082">
        <v>4700</v>
      </c>
    </row>
    <row r="1083" spans="1:15" x14ac:dyDescent="0.25">
      <c r="A1083" t="s">
        <v>1232</v>
      </c>
      <c r="B1083">
        <v>45845</v>
      </c>
      <c r="C1083" t="s">
        <v>16</v>
      </c>
      <c r="D1083" t="s">
        <v>17</v>
      </c>
      <c r="E1083" t="s">
        <v>32</v>
      </c>
      <c r="F1083" t="s">
        <v>52</v>
      </c>
      <c r="G1083" t="s">
        <v>27</v>
      </c>
      <c r="H1083" t="s">
        <v>79</v>
      </c>
      <c r="I1083" t="s">
        <v>80</v>
      </c>
      <c r="J1083" t="s">
        <v>49</v>
      </c>
      <c r="K1083" t="s">
        <v>35</v>
      </c>
      <c r="L1083">
        <v>10</v>
      </c>
      <c r="M1083">
        <v>4620</v>
      </c>
      <c r="N1083">
        <v>0.2</v>
      </c>
      <c r="O1083">
        <v>2840</v>
      </c>
    </row>
    <row r="1084" spans="1:15" x14ac:dyDescent="0.25">
      <c r="A1084" t="s">
        <v>1233</v>
      </c>
      <c r="B1084">
        <v>45846</v>
      </c>
      <c r="C1084" t="s">
        <v>56</v>
      </c>
      <c r="D1084" t="s">
        <v>57</v>
      </c>
      <c r="E1084" t="s">
        <v>91</v>
      </c>
      <c r="F1084" t="s">
        <v>19</v>
      </c>
      <c r="G1084" t="s">
        <v>83</v>
      </c>
      <c r="H1084" t="s">
        <v>84</v>
      </c>
      <c r="I1084" t="s">
        <v>292</v>
      </c>
      <c r="J1084" t="s">
        <v>49</v>
      </c>
      <c r="K1084" t="s">
        <v>35</v>
      </c>
      <c r="L1084">
        <v>4</v>
      </c>
      <c r="M1084">
        <v>44410</v>
      </c>
      <c r="N1084">
        <v>0.12</v>
      </c>
      <c r="O1084">
        <v>27770</v>
      </c>
    </row>
    <row r="1085" spans="1:15" x14ac:dyDescent="0.25">
      <c r="A1085" t="s">
        <v>1234</v>
      </c>
      <c r="B1085">
        <v>45846</v>
      </c>
      <c r="C1085" t="s">
        <v>56</v>
      </c>
      <c r="D1085" t="s">
        <v>143</v>
      </c>
      <c r="E1085" t="s">
        <v>134</v>
      </c>
      <c r="F1085" t="s">
        <v>19</v>
      </c>
      <c r="G1085" t="s">
        <v>83</v>
      </c>
      <c r="H1085" t="s">
        <v>84</v>
      </c>
      <c r="I1085" t="s">
        <v>292</v>
      </c>
      <c r="J1085" t="s">
        <v>23</v>
      </c>
      <c r="K1085" t="s">
        <v>35</v>
      </c>
      <c r="L1085">
        <v>1</v>
      </c>
      <c r="M1085">
        <v>40090</v>
      </c>
      <c r="N1085">
        <v>0.15</v>
      </c>
      <c r="O1085">
        <v>29160</v>
      </c>
    </row>
    <row r="1086" spans="1:15" x14ac:dyDescent="0.25">
      <c r="A1086" t="s">
        <v>1235</v>
      </c>
      <c r="B1086">
        <v>45846</v>
      </c>
      <c r="C1086" t="s">
        <v>42</v>
      </c>
      <c r="D1086" t="s">
        <v>96</v>
      </c>
      <c r="E1086" t="s">
        <v>44</v>
      </c>
      <c r="F1086" t="s">
        <v>52</v>
      </c>
      <c r="G1086" t="s">
        <v>46</v>
      </c>
      <c r="H1086" t="s">
        <v>179</v>
      </c>
      <c r="I1086" t="s">
        <v>236</v>
      </c>
      <c r="J1086" t="s">
        <v>40</v>
      </c>
      <c r="K1086" t="s">
        <v>24</v>
      </c>
      <c r="L1086">
        <v>23</v>
      </c>
      <c r="M1086">
        <v>2200</v>
      </c>
      <c r="N1086">
        <v>0.05</v>
      </c>
      <c r="O1086">
        <v>1670</v>
      </c>
    </row>
    <row r="1087" spans="1:15" x14ac:dyDescent="0.25">
      <c r="A1087" t="s">
        <v>1236</v>
      </c>
      <c r="B1087">
        <v>45846</v>
      </c>
      <c r="C1087" t="s">
        <v>16</v>
      </c>
      <c r="D1087" t="s">
        <v>82</v>
      </c>
      <c r="E1087" t="s">
        <v>32</v>
      </c>
      <c r="F1087" t="s">
        <v>19</v>
      </c>
      <c r="G1087" t="s">
        <v>59</v>
      </c>
      <c r="H1087" t="s">
        <v>60</v>
      </c>
      <c r="I1087" t="s">
        <v>200</v>
      </c>
      <c r="J1087" t="s">
        <v>49</v>
      </c>
      <c r="K1087" t="s">
        <v>119</v>
      </c>
      <c r="L1087">
        <v>6</v>
      </c>
      <c r="M1087">
        <v>8950</v>
      </c>
      <c r="N1087">
        <v>0.05</v>
      </c>
      <c r="O1087">
        <v>6840</v>
      </c>
    </row>
    <row r="1088" spans="1:15" x14ac:dyDescent="0.25">
      <c r="A1088" t="s">
        <v>1237</v>
      </c>
      <c r="B1088">
        <v>45847</v>
      </c>
      <c r="C1088" t="s">
        <v>56</v>
      </c>
      <c r="D1088" t="s">
        <v>72</v>
      </c>
      <c r="E1088" t="s">
        <v>134</v>
      </c>
      <c r="F1088" t="s">
        <v>19</v>
      </c>
      <c r="G1088" t="s">
        <v>46</v>
      </c>
      <c r="H1088" t="s">
        <v>179</v>
      </c>
      <c r="I1088" t="s">
        <v>236</v>
      </c>
      <c r="J1088" t="s">
        <v>40</v>
      </c>
      <c r="K1088" t="s">
        <v>24</v>
      </c>
      <c r="L1088">
        <v>32</v>
      </c>
      <c r="M1088">
        <v>2120</v>
      </c>
      <c r="N1088">
        <v>0.08</v>
      </c>
      <c r="O1088">
        <v>1550</v>
      </c>
    </row>
    <row r="1089" spans="1:15" x14ac:dyDescent="0.25">
      <c r="A1089" t="s">
        <v>1238</v>
      </c>
      <c r="B1089">
        <v>45847</v>
      </c>
      <c r="C1089" t="s">
        <v>76</v>
      </c>
      <c r="D1089" t="s">
        <v>77</v>
      </c>
      <c r="E1089" t="s">
        <v>78</v>
      </c>
      <c r="F1089" t="s">
        <v>19</v>
      </c>
      <c r="G1089" t="s">
        <v>59</v>
      </c>
      <c r="H1089" t="s">
        <v>73</v>
      </c>
      <c r="I1089" t="s">
        <v>74</v>
      </c>
      <c r="J1089" t="s">
        <v>40</v>
      </c>
      <c r="K1089" t="s">
        <v>35</v>
      </c>
      <c r="L1089">
        <v>3</v>
      </c>
      <c r="M1089">
        <v>47090</v>
      </c>
      <c r="N1089">
        <v>0.15</v>
      </c>
      <c r="O1089">
        <v>29140</v>
      </c>
    </row>
    <row r="1090" spans="1:15" x14ac:dyDescent="0.25">
      <c r="A1090" t="s">
        <v>1239</v>
      </c>
      <c r="B1090">
        <v>45847</v>
      </c>
      <c r="C1090" t="s">
        <v>56</v>
      </c>
      <c r="D1090" t="s">
        <v>143</v>
      </c>
      <c r="E1090" t="s">
        <v>134</v>
      </c>
      <c r="F1090" t="s">
        <v>19</v>
      </c>
      <c r="G1090" t="s">
        <v>46</v>
      </c>
      <c r="H1090" t="s">
        <v>179</v>
      </c>
      <c r="I1090" t="s">
        <v>180</v>
      </c>
      <c r="J1090" t="s">
        <v>40</v>
      </c>
      <c r="K1090" t="s">
        <v>94</v>
      </c>
      <c r="L1090">
        <v>7</v>
      </c>
      <c r="M1090">
        <v>3680</v>
      </c>
      <c r="N1090">
        <v>0.2</v>
      </c>
      <c r="O1090">
        <v>2250</v>
      </c>
    </row>
    <row r="1091" spans="1:15" x14ac:dyDescent="0.25">
      <c r="A1091" t="s">
        <v>1240</v>
      </c>
      <c r="B1091">
        <v>45847</v>
      </c>
      <c r="C1091" t="s">
        <v>56</v>
      </c>
      <c r="D1091" t="s">
        <v>103</v>
      </c>
      <c r="E1091" t="s">
        <v>91</v>
      </c>
      <c r="F1091" t="s">
        <v>52</v>
      </c>
      <c r="G1091" t="s">
        <v>46</v>
      </c>
      <c r="H1091" t="s">
        <v>179</v>
      </c>
      <c r="I1091" t="s">
        <v>180</v>
      </c>
      <c r="J1091" t="s">
        <v>40</v>
      </c>
      <c r="K1091" t="s">
        <v>24</v>
      </c>
      <c r="L1091">
        <v>6</v>
      </c>
      <c r="M1091">
        <v>4050</v>
      </c>
      <c r="N1091">
        <v>0</v>
      </c>
      <c r="O1091">
        <v>2780</v>
      </c>
    </row>
    <row r="1092" spans="1:15" x14ac:dyDescent="0.25">
      <c r="A1092" t="s">
        <v>1241</v>
      </c>
      <c r="B1092">
        <v>45847</v>
      </c>
      <c r="C1092" t="s">
        <v>42</v>
      </c>
      <c r="D1092" t="s">
        <v>130</v>
      </c>
      <c r="E1092" t="s">
        <v>97</v>
      </c>
      <c r="F1092" t="s">
        <v>52</v>
      </c>
      <c r="G1092" t="s">
        <v>46</v>
      </c>
      <c r="H1092" t="s">
        <v>179</v>
      </c>
      <c r="I1092" t="s">
        <v>221</v>
      </c>
      <c r="J1092" t="s">
        <v>23</v>
      </c>
      <c r="K1092" t="s">
        <v>24</v>
      </c>
      <c r="L1092">
        <v>28</v>
      </c>
      <c r="M1092">
        <v>1540</v>
      </c>
      <c r="N1092">
        <v>0.15</v>
      </c>
      <c r="O1092">
        <v>990</v>
      </c>
    </row>
    <row r="1093" spans="1:15" x14ac:dyDescent="0.25">
      <c r="A1093" t="s">
        <v>1242</v>
      </c>
      <c r="B1093">
        <v>45849</v>
      </c>
      <c r="C1093" t="s">
        <v>37</v>
      </c>
      <c r="D1093" t="s">
        <v>67</v>
      </c>
      <c r="E1093" t="s">
        <v>68</v>
      </c>
      <c r="F1093" t="s">
        <v>45</v>
      </c>
      <c r="G1093" t="s">
        <v>46</v>
      </c>
      <c r="H1093" t="s">
        <v>179</v>
      </c>
      <c r="I1093" t="s">
        <v>180</v>
      </c>
      <c r="J1093" t="s">
        <v>23</v>
      </c>
      <c r="K1093" t="s">
        <v>24</v>
      </c>
      <c r="L1093">
        <v>8</v>
      </c>
      <c r="M1093">
        <v>3940</v>
      </c>
      <c r="N1093">
        <v>0.1</v>
      </c>
      <c r="O1093">
        <v>2800</v>
      </c>
    </row>
    <row r="1094" spans="1:15" x14ac:dyDescent="0.25">
      <c r="A1094" t="s">
        <v>1243</v>
      </c>
      <c r="B1094">
        <v>45849</v>
      </c>
      <c r="C1094" t="s">
        <v>56</v>
      </c>
      <c r="D1094" t="s">
        <v>127</v>
      </c>
      <c r="E1094" t="s">
        <v>134</v>
      </c>
      <c r="F1094" t="s">
        <v>19</v>
      </c>
      <c r="G1094" t="s">
        <v>27</v>
      </c>
      <c r="H1094" t="s">
        <v>79</v>
      </c>
      <c r="I1094" t="s">
        <v>168</v>
      </c>
      <c r="J1094" t="s">
        <v>40</v>
      </c>
      <c r="K1094" t="s">
        <v>24</v>
      </c>
      <c r="L1094">
        <v>5</v>
      </c>
      <c r="M1094">
        <v>9720</v>
      </c>
      <c r="N1094">
        <v>0.08</v>
      </c>
      <c r="O1094">
        <v>7580</v>
      </c>
    </row>
    <row r="1095" spans="1:15" x14ac:dyDescent="0.25">
      <c r="A1095" t="s">
        <v>1244</v>
      </c>
      <c r="B1095">
        <v>45849</v>
      </c>
      <c r="C1095" t="s">
        <v>56</v>
      </c>
      <c r="D1095" t="s">
        <v>127</v>
      </c>
      <c r="E1095" t="s">
        <v>134</v>
      </c>
      <c r="F1095" t="s">
        <v>19</v>
      </c>
      <c r="G1095" t="s">
        <v>27</v>
      </c>
      <c r="H1095" t="s">
        <v>214</v>
      </c>
      <c r="I1095" t="s">
        <v>215</v>
      </c>
      <c r="J1095" t="s">
        <v>40</v>
      </c>
      <c r="K1095" t="s">
        <v>24</v>
      </c>
      <c r="L1095">
        <v>4</v>
      </c>
      <c r="M1095">
        <v>34460</v>
      </c>
      <c r="N1095">
        <v>0.1</v>
      </c>
      <c r="O1095">
        <v>23720</v>
      </c>
    </row>
    <row r="1096" spans="1:15" x14ac:dyDescent="0.25">
      <c r="A1096" t="s">
        <v>1245</v>
      </c>
      <c r="B1096">
        <v>45850</v>
      </c>
      <c r="C1096" t="s">
        <v>37</v>
      </c>
      <c r="D1096" t="s">
        <v>161</v>
      </c>
      <c r="E1096" t="s">
        <v>39</v>
      </c>
      <c r="F1096" t="s">
        <v>19</v>
      </c>
      <c r="G1096" t="s">
        <v>27</v>
      </c>
      <c r="H1096" t="s">
        <v>53</v>
      </c>
      <c r="I1096" t="s">
        <v>131</v>
      </c>
      <c r="J1096" t="s">
        <v>23</v>
      </c>
      <c r="K1096" t="s">
        <v>24</v>
      </c>
      <c r="L1096">
        <v>2</v>
      </c>
      <c r="M1096">
        <v>36030</v>
      </c>
      <c r="N1096">
        <v>0.15</v>
      </c>
      <c r="O1096">
        <v>20270</v>
      </c>
    </row>
    <row r="1097" spans="1:15" x14ac:dyDescent="0.25">
      <c r="A1097" t="s">
        <v>1246</v>
      </c>
      <c r="B1097">
        <v>45850</v>
      </c>
      <c r="C1097" t="s">
        <v>42</v>
      </c>
      <c r="D1097" t="s">
        <v>43</v>
      </c>
      <c r="E1097" t="s">
        <v>64</v>
      </c>
      <c r="F1097" t="s">
        <v>19</v>
      </c>
      <c r="G1097" t="s">
        <v>83</v>
      </c>
      <c r="H1097" t="s">
        <v>136</v>
      </c>
      <c r="I1097" t="s">
        <v>307</v>
      </c>
      <c r="J1097" t="s">
        <v>23</v>
      </c>
      <c r="K1097" t="s">
        <v>119</v>
      </c>
      <c r="L1097">
        <v>35</v>
      </c>
      <c r="M1097">
        <v>860</v>
      </c>
      <c r="N1097">
        <v>0.05</v>
      </c>
      <c r="O1097">
        <v>530</v>
      </c>
    </row>
    <row r="1098" spans="1:15" x14ac:dyDescent="0.25">
      <c r="A1098" t="s">
        <v>1247</v>
      </c>
      <c r="B1098">
        <v>45851</v>
      </c>
      <c r="C1098" t="s">
        <v>37</v>
      </c>
      <c r="D1098" t="s">
        <v>161</v>
      </c>
      <c r="E1098" t="s">
        <v>68</v>
      </c>
      <c r="F1098" t="s">
        <v>92</v>
      </c>
      <c r="G1098" t="s">
        <v>27</v>
      </c>
      <c r="H1098" t="s">
        <v>28</v>
      </c>
      <c r="I1098" t="s">
        <v>141</v>
      </c>
      <c r="J1098" t="s">
        <v>23</v>
      </c>
      <c r="K1098" t="s">
        <v>35</v>
      </c>
      <c r="L1098">
        <v>13</v>
      </c>
      <c r="M1098">
        <v>16110</v>
      </c>
      <c r="N1098">
        <v>0.1</v>
      </c>
      <c r="O1098">
        <v>11250</v>
      </c>
    </row>
    <row r="1099" spans="1:15" x14ac:dyDescent="0.25">
      <c r="A1099" t="s">
        <v>1248</v>
      </c>
      <c r="B1099">
        <v>45852</v>
      </c>
      <c r="C1099" t="s">
        <v>76</v>
      </c>
      <c r="D1099" t="s">
        <v>112</v>
      </c>
      <c r="E1099" t="s">
        <v>78</v>
      </c>
      <c r="F1099" t="s">
        <v>52</v>
      </c>
      <c r="G1099" t="s">
        <v>46</v>
      </c>
      <c r="H1099" t="s">
        <v>179</v>
      </c>
      <c r="I1099" t="s">
        <v>180</v>
      </c>
      <c r="J1099" t="s">
        <v>40</v>
      </c>
      <c r="K1099" t="s">
        <v>24</v>
      </c>
      <c r="L1099">
        <v>6</v>
      </c>
      <c r="M1099">
        <v>3660</v>
      </c>
      <c r="N1099">
        <v>0.1</v>
      </c>
      <c r="O1099">
        <v>2550</v>
      </c>
    </row>
    <row r="1100" spans="1:15" x14ac:dyDescent="0.25">
      <c r="A1100" t="s">
        <v>1249</v>
      </c>
      <c r="B1100">
        <v>45852</v>
      </c>
      <c r="C1100" t="s">
        <v>42</v>
      </c>
      <c r="D1100" t="s">
        <v>96</v>
      </c>
      <c r="E1100" t="s">
        <v>97</v>
      </c>
      <c r="F1100" t="s">
        <v>19</v>
      </c>
      <c r="G1100" t="s">
        <v>20</v>
      </c>
      <c r="H1100" t="s">
        <v>21</v>
      </c>
      <c r="I1100" t="s">
        <v>65</v>
      </c>
      <c r="J1100" t="s">
        <v>23</v>
      </c>
      <c r="K1100" t="s">
        <v>24</v>
      </c>
      <c r="L1100">
        <v>12</v>
      </c>
      <c r="M1100">
        <v>8370</v>
      </c>
      <c r="N1100">
        <v>0.18</v>
      </c>
      <c r="O1100">
        <v>6210</v>
      </c>
    </row>
    <row r="1101" spans="1:15" x14ac:dyDescent="0.25">
      <c r="A1101" t="s">
        <v>1250</v>
      </c>
      <c r="B1101">
        <v>45852</v>
      </c>
      <c r="C1101" t="s">
        <v>56</v>
      </c>
      <c r="D1101" t="s">
        <v>57</v>
      </c>
      <c r="E1101" t="s">
        <v>91</v>
      </c>
      <c r="F1101" t="s">
        <v>19</v>
      </c>
      <c r="G1101" t="s">
        <v>46</v>
      </c>
      <c r="H1101" t="s">
        <v>100</v>
      </c>
      <c r="I1101" t="s">
        <v>101</v>
      </c>
      <c r="J1101" t="s">
        <v>49</v>
      </c>
      <c r="K1101" t="s">
        <v>119</v>
      </c>
      <c r="L1101">
        <v>14</v>
      </c>
      <c r="M1101">
        <v>1940</v>
      </c>
      <c r="N1101">
        <v>0.1</v>
      </c>
      <c r="O1101">
        <v>1100</v>
      </c>
    </row>
    <row r="1102" spans="1:15" x14ac:dyDescent="0.25">
      <c r="A1102" t="s">
        <v>1251</v>
      </c>
      <c r="B1102">
        <v>45853</v>
      </c>
      <c r="C1102" t="s">
        <v>37</v>
      </c>
      <c r="D1102" t="s">
        <v>67</v>
      </c>
      <c r="E1102" t="s">
        <v>68</v>
      </c>
      <c r="F1102" t="s">
        <v>19</v>
      </c>
      <c r="G1102" t="s">
        <v>83</v>
      </c>
      <c r="H1102" t="s">
        <v>184</v>
      </c>
      <c r="I1102" t="s">
        <v>185</v>
      </c>
      <c r="J1102" t="s">
        <v>23</v>
      </c>
      <c r="K1102" t="s">
        <v>24</v>
      </c>
      <c r="L1102">
        <v>15</v>
      </c>
      <c r="M1102">
        <v>4710</v>
      </c>
      <c r="N1102">
        <v>0.15</v>
      </c>
      <c r="O1102">
        <v>3680</v>
      </c>
    </row>
    <row r="1103" spans="1:15" x14ac:dyDescent="0.25">
      <c r="A1103" t="s">
        <v>1252</v>
      </c>
      <c r="B1103">
        <v>45853</v>
      </c>
      <c r="C1103" t="s">
        <v>37</v>
      </c>
      <c r="D1103" t="s">
        <v>166</v>
      </c>
      <c r="E1103" t="s">
        <v>68</v>
      </c>
      <c r="F1103" t="s">
        <v>92</v>
      </c>
      <c r="G1103" t="s">
        <v>27</v>
      </c>
      <c r="H1103" t="s">
        <v>214</v>
      </c>
      <c r="I1103" t="s">
        <v>252</v>
      </c>
      <c r="J1103" t="s">
        <v>23</v>
      </c>
      <c r="K1103" t="s">
        <v>24</v>
      </c>
      <c r="L1103">
        <v>11</v>
      </c>
      <c r="M1103">
        <v>13950</v>
      </c>
      <c r="N1103">
        <v>0.12</v>
      </c>
      <c r="O1103">
        <v>10420</v>
      </c>
    </row>
    <row r="1104" spans="1:15" x14ac:dyDescent="0.25">
      <c r="A1104" t="s">
        <v>1253</v>
      </c>
      <c r="B1104">
        <v>45854</v>
      </c>
      <c r="C1104" t="s">
        <v>76</v>
      </c>
      <c r="D1104" t="s">
        <v>77</v>
      </c>
      <c r="E1104" t="s">
        <v>170</v>
      </c>
      <c r="F1104" t="s">
        <v>92</v>
      </c>
      <c r="G1104" t="s">
        <v>59</v>
      </c>
      <c r="H1104" t="s">
        <v>73</v>
      </c>
      <c r="I1104" t="s">
        <v>113</v>
      </c>
      <c r="J1104" t="s">
        <v>40</v>
      </c>
      <c r="K1104" t="s">
        <v>35</v>
      </c>
      <c r="L1104">
        <v>7</v>
      </c>
      <c r="M1104">
        <v>32520</v>
      </c>
      <c r="N1104">
        <v>0.1</v>
      </c>
      <c r="O1104">
        <v>20480</v>
      </c>
    </row>
    <row r="1105" spans="1:15" x14ac:dyDescent="0.25">
      <c r="A1105" t="s">
        <v>1254</v>
      </c>
      <c r="B1105">
        <v>45855</v>
      </c>
      <c r="C1105" t="s">
        <v>56</v>
      </c>
      <c r="D1105" t="s">
        <v>127</v>
      </c>
      <c r="E1105" t="s">
        <v>91</v>
      </c>
      <c r="F1105" t="s">
        <v>19</v>
      </c>
      <c r="G1105" t="s">
        <v>27</v>
      </c>
      <c r="H1105" t="s">
        <v>53</v>
      </c>
      <c r="I1105" t="s">
        <v>54</v>
      </c>
      <c r="J1105" t="s">
        <v>49</v>
      </c>
      <c r="K1105" t="s">
        <v>24</v>
      </c>
      <c r="L1105">
        <v>1</v>
      </c>
      <c r="M1105">
        <v>40960</v>
      </c>
      <c r="N1105">
        <v>0</v>
      </c>
      <c r="O1105">
        <v>28830</v>
      </c>
    </row>
    <row r="1106" spans="1:15" x14ac:dyDescent="0.25">
      <c r="A1106" t="s">
        <v>1255</v>
      </c>
      <c r="B1106">
        <v>45856</v>
      </c>
      <c r="C1106" t="s">
        <v>16</v>
      </c>
      <c r="D1106" t="s">
        <v>51</v>
      </c>
      <c r="E1106" t="s">
        <v>32</v>
      </c>
      <c r="F1106" t="s">
        <v>52</v>
      </c>
      <c r="G1106" t="s">
        <v>20</v>
      </c>
      <c r="H1106" t="s">
        <v>109</v>
      </c>
      <c r="I1106" t="s">
        <v>159</v>
      </c>
      <c r="J1106" t="s">
        <v>49</v>
      </c>
      <c r="K1106" t="s">
        <v>35</v>
      </c>
      <c r="L1106">
        <v>6</v>
      </c>
      <c r="M1106">
        <v>19170</v>
      </c>
      <c r="N1106">
        <v>0.12</v>
      </c>
      <c r="O1106">
        <v>14520</v>
      </c>
    </row>
    <row r="1107" spans="1:15" x14ac:dyDescent="0.25">
      <c r="A1107" t="s">
        <v>1256</v>
      </c>
      <c r="B1107">
        <v>45858</v>
      </c>
      <c r="C1107" t="s">
        <v>56</v>
      </c>
      <c r="D1107" t="s">
        <v>133</v>
      </c>
      <c r="E1107" t="s">
        <v>58</v>
      </c>
      <c r="F1107" t="s">
        <v>19</v>
      </c>
      <c r="G1107" t="s">
        <v>20</v>
      </c>
      <c r="H1107" t="s">
        <v>21</v>
      </c>
      <c r="I1107" t="s">
        <v>362</v>
      </c>
      <c r="J1107" t="s">
        <v>49</v>
      </c>
      <c r="K1107" t="s">
        <v>24</v>
      </c>
      <c r="L1107">
        <v>4</v>
      </c>
      <c r="M1107">
        <v>9600</v>
      </c>
      <c r="N1107">
        <v>0.18</v>
      </c>
      <c r="O1107">
        <v>6670</v>
      </c>
    </row>
    <row r="1108" spans="1:15" x14ac:dyDescent="0.25">
      <c r="A1108" t="s">
        <v>1257</v>
      </c>
      <c r="B1108">
        <v>45858</v>
      </c>
      <c r="C1108" t="s">
        <v>16</v>
      </c>
      <c r="D1108" t="s">
        <v>153</v>
      </c>
      <c r="E1108" t="s">
        <v>32</v>
      </c>
      <c r="F1108" t="s">
        <v>52</v>
      </c>
      <c r="G1108" t="s">
        <v>27</v>
      </c>
      <c r="H1108" t="s">
        <v>79</v>
      </c>
      <c r="I1108" t="s">
        <v>262</v>
      </c>
      <c r="J1108" t="s">
        <v>23</v>
      </c>
      <c r="K1108" t="s">
        <v>24</v>
      </c>
      <c r="L1108">
        <v>26</v>
      </c>
      <c r="M1108">
        <v>2750</v>
      </c>
      <c r="N1108">
        <v>0.1</v>
      </c>
      <c r="O1108">
        <v>1570</v>
      </c>
    </row>
    <row r="1109" spans="1:15" x14ac:dyDescent="0.25">
      <c r="A1109" t="s">
        <v>1258</v>
      </c>
      <c r="B1109">
        <v>45858</v>
      </c>
      <c r="C1109" t="s">
        <v>16</v>
      </c>
      <c r="D1109" t="s">
        <v>82</v>
      </c>
      <c r="E1109" t="s">
        <v>26</v>
      </c>
      <c r="F1109" t="s">
        <v>19</v>
      </c>
      <c r="G1109" t="s">
        <v>83</v>
      </c>
      <c r="H1109" t="s">
        <v>184</v>
      </c>
      <c r="I1109" t="s">
        <v>196</v>
      </c>
      <c r="J1109" t="s">
        <v>23</v>
      </c>
      <c r="K1109" t="s">
        <v>24</v>
      </c>
      <c r="L1109">
        <v>15</v>
      </c>
      <c r="M1109">
        <v>3130</v>
      </c>
      <c r="N1109">
        <v>0.15</v>
      </c>
      <c r="O1109">
        <v>2220</v>
      </c>
    </row>
    <row r="1110" spans="1:15" x14ac:dyDescent="0.25">
      <c r="A1110" t="s">
        <v>1259</v>
      </c>
      <c r="B1110">
        <v>45858</v>
      </c>
      <c r="C1110" t="s">
        <v>42</v>
      </c>
      <c r="D1110" t="s">
        <v>130</v>
      </c>
      <c r="E1110" t="s">
        <v>64</v>
      </c>
      <c r="F1110" t="s">
        <v>19</v>
      </c>
      <c r="G1110" t="s">
        <v>20</v>
      </c>
      <c r="H1110" t="s">
        <v>87</v>
      </c>
      <c r="I1110" t="s">
        <v>105</v>
      </c>
      <c r="J1110" t="s">
        <v>23</v>
      </c>
      <c r="K1110" t="s">
        <v>24</v>
      </c>
      <c r="L1110">
        <v>1</v>
      </c>
      <c r="M1110">
        <v>51970</v>
      </c>
      <c r="N1110">
        <v>0.15</v>
      </c>
      <c r="O1110">
        <v>35150</v>
      </c>
    </row>
    <row r="1111" spans="1:15" x14ac:dyDescent="0.25">
      <c r="A1111" t="s">
        <v>1260</v>
      </c>
      <c r="B1111">
        <v>45858</v>
      </c>
      <c r="C1111" t="s">
        <v>76</v>
      </c>
      <c r="D1111" t="s">
        <v>217</v>
      </c>
      <c r="E1111" t="s">
        <v>78</v>
      </c>
      <c r="F1111" t="s">
        <v>19</v>
      </c>
      <c r="G1111" t="s">
        <v>46</v>
      </c>
      <c r="H1111" t="s">
        <v>47</v>
      </c>
      <c r="I1111" t="s">
        <v>93</v>
      </c>
      <c r="J1111" t="s">
        <v>23</v>
      </c>
      <c r="K1111" t="s">
        <v>94</v>
      </c>
      <c r="L1111">
        <v>18</v>
      </c>
      <c r="M1111">
        <v>1260</v>
      </c>
      <c r="N1111">
        <v>0.18</v>
      </c>
      <c r="O1111">
        <v>760</v>
      </c>
    </row>
    <row r="1112" spans="1:15" x14ac:dyDescent="0.25">
      <c r="A1112" t="s">
        <v>1261</v>
      </c>
      <c r="B1112">
        <v>45859</v>
      </c>
      <c r="C1112" t="s">
        <v>56</v>
      </c>
      <c r="D1112" t="s">
        <v>103</v>
      </c>
      <c r="E1112" t="s">
        <v>134</v>
      </c>
      <c r="F1112" t="s">
        <v>52</v>
      </c>
      <c r="G1112" t="s">
        <v>59</v>
      </c>
      <c r="H1112" t="s">
        <v>69</v>
      </c>
      <c r="I1112" t="s">
        <v>70</v>
      </c>
      <c r="J1112" t="s">
        <v>40</v>
      </c>
      <c r="K1112" t="s">
        <v>24</v>
      </c>
      <c r="L1112">
        <v>8</v>
      </c>
      <c r="M1112">
        <v>27790</v>
      </c>
      <c r="N1112">
        <v>0.1</v>
      </c>
      <c r="O1112">
        <v>21650</v>
      </c>
    </row>
    <row r="1113" spans="1:15" x14ac:dyDescent="0.25">
      <c r="A1113" t="s">
        <v>1262</v>
      </c>
      <c r="B1113">
        <v>45860</v>
      </c>
      <c r="C1113" t="s">
        <v>37</v>
      </c>
      <c r="D1113" t="s">
        <v>115</v>
      </c>
      <c r="E1113" t="s">
        <v>39</v>
      </c>
      <c r="F1113" t="s">
        <v>19</v>
      </c>
      <c r="G1113" t="s">
        <v>27</v>
      </c>
      <c r="H1113" t="s">
        <v>53</v>
      </c>
      <c r="I1113" t="s">
        <v>54</v>
      </c>
      <c r="J1113" t="s">
        <v>40</v>
      </c>
      <c r="K1113" t="s">
        <v>24</v>
      </c>
      <c r="L1113">
        <v>3</v>
      </c>
      <c r="M1113">
        <v>41560</v>
      </c>
      <c r="N1113">
        <v>0</v>
      </c>
      <c r="O1113">
        <v>25190</v>
      </c>
    </row>
    <row r="1114" spans="1:15" x14ac:dyDescent="0.25">
      <c r="A1114" t="s">
        <v>1263</v>
      </c>
      <c r="B1114">
        <v>45860</v>
      </c>
      <c r="C1114" t="s">
        <v>16</v>
      </c>
      <c r="D1114" t="s">
        <v>82</v>
      </c>
      <c r="E1114" t="s">
        <v>18</v>
      </c>
      <c r="F1114" t="s">
        <v>92</v>
      </c>
      <c r="G1114" t="s">
        <v>20</v>
      </c>
      <c r="H1114" t="s">
        <v>87</v>
      </c>
      <c r="I1114" t="s">
        <v>88</v>
      </c>
      <c r="J1114" t="s">
        <v>23</v>
      </c>
      <c r="K1114" t="s">
        <v>24</v>
      </c>
      <c r="L1114">
        <v>3</v>
      </c>
      <c r="M1114">
        <v>32030</v>
      </c>
      <c r="N1114">
        <v>0.05</v>
      </c>
      <c r="O1114">
        <v>20250</v>
      </c>
    </row>
    <row r="1115" spans="1:15" x14ac:dyDescent="0.25">
      <c r="A1115" t="s">
        <v>1264</v>
      </c>
      <c r="B1115">
        <v>45860</v>
      </c>
      <c r="C1115" t="s">
        <v>16</v>
      </c>
      <c r="D1115" t="s">
        <v>51</v>
      </c>
      <c r="E1115" t="s">
        <v>26</v>
      </c>
      <c r="F1115" t="s">
        <v>19</v>
      </c>
      <c r="G1115" t="s">
        <v>27</v>
      </c>
      <c r="H1115" t="s">
        <v>53</v>
      </c>
      <c r="I1115" t="s">
        <v>131</v>
      </c>
      <c r="J1115" t="s">
        <v>23</v>
      </c>
      <c r="K1115" t="s">
        <v>24</v>
      </c>
      <c r="L1115">
        <v>1</v>
      </c>
      <c r="M1115">
        <v>35680</v>
      </c>
      <c r="N1115">
        <v>0.08</v>
      </c>
      <c r="O1115">
        <v>23000</v>
      </c>
    </row>
    <row r="1116" spans="1:15" x14ac:dyDescent="0.25">
      <c r="A1116" t="s">
        <v>1265</v>
      </c>
      <c r="B1116">
        <v>45860</v>
      </c>
      <c r="C1116" t="s">
        <v>42</v>
      </c>
      <c r="D1116" t="s">
        <v>96</v>
      </c>
      <c r="E1116" t="s">
        <v>97</v>
      </c>
      <c r="F1116" t="s">
        <v>52</v>
      </c>
      <c r="G1116" t="s">
        <v>27</v>
      </c>
      <c r="H1116" t="s">
        <v>79</v>
      </c>
      <c r="I1116" t="s">
        <v>262</v>
      </c>
      <c r="J1116" t="s">
        <v>23</v>
      </c>
      <c r="K1116" t="s">
        <v>94</v>
      </c>
      <c r="L1116">
        <v>29</v>
      </c>
      <c r="M1116">
        <v>2520</v>
      </c>
      <c r="N1116">
        <v>0.18</v>
      </c>
      <c r="O1116">
        <v>1580</v>
      </c>
    </row>
    <row r="1117" spans="1:15" x14ac:dyDescent="0.25">
      <c r="A1117" t="s">
        <v>1266</v>
      </c>
      <c r="B1117">
        <v>45861</v>
      </c>
      <c r="C1117" t="s">
        <v>16</v>
      </c>
      <c r="D1117" t="s">
        <v>153</v>
      </c>
      <c r="E1117" t="s">
        <v>32</v>
      </c>
      <c r="F1117" t="s">
        <v>92</v>
      </c>
      <c r="G1117" t="s">
        <v>20</v>
      </c>
      <c r="H1117" t="s">
        <v>87</v>
      </c>
      <c r="I1117" t="s">
        <v>105</v>
      </c>
      <c r="J1117" t="s">
        <v>23</v>
      </c>
      <c r="K1117" t="s">
        <v>94</v>
      </c>
      <c r="L1117">
        <v>7</v>
      </c>
      <c r="M1117">
        <v>52550</v>
      </c>
      <c r="N1117">
        <v>0.15</v>
      </c>
      <c r="O1117">
        <v>39310</v>
      </c>
    </row>
    <row r="1118" spans="1:15" x14ac:dyDescent="0.25">
      <c r="A1118" t="s">
        <v>1267</v>
      </c>
      <c r="B1118">
        <v>45861</v>
      </c>
      <c r="C1118" t="s">
        <v>16</v>
      </c>
      <c r="D1118" t="s">
        <v>51</v>
      </c>
      <c r="E1118" t="s">
        <v>26</v>
      </c>
      <c r="F1118" t="s">
        <v>52</v>
      </c>
      <c r="G1118" t="s">
        <v>27</v>
      </c>
      <c r="H1118" t="s">
        <v>214</v>
      </c>
      <c r="I1118" t="s">
        <v>215</v>
      </c>
      <c r="J1118" t="s">
        <v>23</v>
      </c>
      <c r="K1118" t="s">
        <v>24</v>
      </c>
      <c r="L1118">
        <v>1</v>
      </c>
      <c r="M1118">
        <v>33870</v>
      </c>
      <c r="N1118">
        <v>0.1</v>
      </c>
      <c r="O1118">
        <v>24070</v>
      </c>
    </row>
    <row r="1119" spans="1:15" x14ac:dyDescent="0.25">
      <c r="A1119" t="s">
        <v>1268</v>
      </c>
      <c r="B1119">
        <v>45862</v>
      </c>
      <c r="C1119" t="s">
        <v>76</v>
      </c>
      <c r="D1119" t="s">
        <v>112</v>
      </c>
      <c r="E1119" t="s">
        <v>170</v>
      </c>
      <c r="F1119" t="s">
        <v>19</v>
      </c>
      <c r="G1119" t="s">
        <v>83</v>
      </c>
      <c r="H1119" t="s">
        <v>84</v>
      </c>
      <c r="I1119" t="s">
        <v>292</v>
      </c>
      <c r="J1119" t="s">
        <v>40</v>
      </c>
      <c r="K1119" t="s">
        <v>24</v>
      </c>
      <c r="L1119">
        <v>4</v>
      </c>
      <c r="M1119">
        <v>42350</v>
      </c>
      <c r="N1119">
        <v>0.1</v>
      </c>
      <c r="O1119">
        <v>24780</v>
      </c>
    </row>
    <row r="1120" spans="1:15" x14ac:dyDescent="0.25">
      <c r="A1120" t="s">
        <v>1269</v>
      </c>
      <c r="B1120">
        <v>45862</v>
      </c>
      <c r="C1120" t="s">
        <v>16</v>
      </c>
      <c r="D1120" t="s">
        <v>31</v>
      </c>
      <c r="E1120" t="s">
        <v>32</v>
      </c>
      <c r="F1120" t="s">
        <v>19</v>
      </c>
      <c r="G1120" t="s">
        <v>27</v>
      </c>
      <c r="H1120" t="s">
        <v>79</v>
      </c>
      <c r="I1120" t="s">
        <v>80</v>
      </c>
      <c r="J1120" t="s">
        <v>23</v>
      </c>
      <c r="K1120" t="s">
        <v>24</v>
      </c>
      <c r="L1120">
        <v>13</v>
      </c>
      <c r="M1120">
        <v>4330</v>
      </c>
      <c r="N1120">
        <v>0.1</v>
      </c>
      <c r="O1120">
        <v>2510</v>
      </c>
    </row>
    <row r="1121" spans="1:15" x14ac:dyDescent="0.25">
      <c r="A1121" t="s">
        <v>1270</v>
      </c>
      <c r="B1121">
        <v>45864</v>
      </c>
      <c r="C1121" t="s">
        <v>16</v>
      </c>
      <c r="D1121" t="s">
        <v>17</v>
      </c>
      <c r="E1121" t="s">
        <v>32</v>
      </c>
      <c r="F1121" t="s">
        <v>19</v>
      </c>
      <c r="G1121" t="s">
        <v>59</v>
      </c>
      <c r="H1121" t="s">
        <v>69</v>
      </c>
      <c r="I1121" t="s">
        <v>70</v>
      </c>
      <c r="J1121" t="s">
        <v>49</v>
      </c>
      <c r="K1121" t="s">
        <v>94</v>
      </c>
      <c r="L1121">
        <v>3</v>
      </c>
      <c r="M1121">
        <v>29500</v>
      </c>
      <c r="N1121">
        <v>0.25</v>
      </c>
      <c r="O1121">
        <v>18520</v>
      </c>
    </row>
    <row r="1122" spans="1:15" x14ac:dyDescent="0.25">
      <c r="A1122" t="s">
        <v>1271</v>
      </c>
      <c r="B1122">
        <v>45864</v>
      </c>
      <c r="C1122" t="s">
        <v>56</v>
      </c>
      <c r="D1122" t="s">
        <v>133</v>
      </c>
      <c r="E1122" t="s">
        <v>91</v>
      </c>
      <c r="F1122" t="s">
        <v>52</v>
      </c>
      <c r="G1122" t="s">
        <v>20</v>
      </c>
      <c r="H1122" t="s">
        <v>87</v>
      </c>
      <c r="I1122" t="s">
        <v>105</v>
      </c>
      <c r="J1122" t="s">
        <v>23</v>
      </c>
      <c r="K1122" t="s">
        <v>24</v>
      </c>
      <c r="L1122">
        <v>1</v>
      </c>
      <c r="M1122">
        <v>51370</v>
      </c>
      <c r="N1122">
        <v>0.05</v>
      </c>
      <c r="O1122">
        <v>32860</v>
      </c>
    </row>
    <row r="1123" spans="1:15" x14ac:dyDescent="0.25">
      <c r="A1123" t="s">
        <v>1272</v>
      </c>
      <c r="B1123">
        <v>45864</v>
      </c>
      <c r="C1123" t="s">
        <v>42</v>
      </c>
      <c r="D1123" t="s">
        <v>130</v>
      </c>
      <c r="E1123" t="s">
        <v>97</v>
      </c>
      <c r="F1123" t="s">
        <v>19</v>
      </c>
      <c r="G1123" t="s">
        <v>20</v>
      </c>
      <c r="H1123" t="s">
        <v>87</v>
      </c>
      <c r="I1123" t="s">
        <v>88</v>
      </c>
      <c r="J1123" t="s">
        <v>40</v>
      </c>
      <c r="K1123" t="s">
        <v>24</v>
      </c>
      <c r="L1123">
        <v>2</v>
      </c>
      <c r="M1123">
        <v>30830</v>
      </c>
      <c r="N1123">
        <v>0.2</v>
      </c>
      <c r="O1123">
        <v>17310</v>
      </c>
    </row>
    <row r="1124" spans="1:15" x14ac:dyDescent="0.25">
      <c r="A1124" t="s">
        <v>1273</v>
      </c>
      <c r="B1124">
        <v>45865</v>
      </c>
      <c r="C1124" t="s">
        <v>37</v>
      </c>
      <c r="D1124" t="s">
        <v>166</v>
      </c>
      <c r="E1124" t="s">
        <v>68</v>
      </c>
      <c r="F1124" t="s">
        <v>45</v>
      </c>
      <c r="G1124" t="s">
        <v>46</v>
      </c>
      <c r="H1124" t="s">
        <v>100</v>
      </c>
      <c r="I1124" t="s">
        <v>101</v>
      </c>
      <c r="J1124" t="s">
        <v>40</v>
      </c>
      <c r="K1124" t="s">
        <v>35</v>
      </c>
      <c r="L1124">
        <v>79</v>
      </c>
      <c r="M1124">
        <v>1960</v>
      </c>
      <c r="N1124">
        <v>0.1</v>
      </c>
      <c r="O1124">
        <v>1220</v>
      </c>
    </row>
    <row r="1125" spans="1:15" x14ac:dyDescent="0.25">
      <c r="A1125" t="s">
        <v>1274</v>
      </c>
      <c r="B1125">
        <v>45865</v>
      </c>
      <c r="C1125" t="s">
        <v>42</v>
      </c>
      <c r="D1125" t="s">
        <v>43</v>
      </c>
      <c r="E1125" t="s">
        <v>64</v>
      </c>
      <c r="F1125" t="s">
        <v>19</v>
      </c>
      <c r="G1125" t="s">
        <v>46</v>
      </c>
      <c r="H1125" t="s">
        <v>47</v>
      </c>
      <c r="I1125" t="s">
        <v>93</v>
      </c>
      <c r="J1125" t="s">
        <v>23</v>
      </c>
      <c r="K1125" t="s">
        <v>119</v>
      </c>
      <c r="L1125">
        <v>26</v>
      </c>
      <c r="M1125">
        <v>1210</v>
      </c>
      <c r="N1125">
        <v>0</v>
      </c>
      <c r="O1125">
        <v>760</v>
      </c>
    </row>
    <row r="1126" spans="1:15" x14ac:dyDescent="0.25">
      <c r="A1126" t="s">
        <v>1275</v>
      </c>
      <c r="B1126">
        <v>45865</v>
      </c>
      <c r="C1126" t="s">
        <v>42</v>
      </c>
      <c r="D1126" t="s">
        <v>265</v>
      </c>
      <c r="E1126" t="s">
        <v>64</v>
      </c>
      <c r="F1126" t="s">
        <v>45</v>
      </c>
      <c r="G1126" t="s">
        <v>46</v>
      </c>
      <c r="H1126" t="s">
        <v>100</v>
      </c>
      <c r="I1126" t="s">
        <v>177</v>
      </c>
      <c r="J1126" t="s">
        <v>23</v>
      </c>
      <c r="K1126" t="s">
        <v>94</v>
      </c>
      <c r="L1126">
        <v>33</v>
      </c>
      <c r="M1126">
        <v>2380</v>
      </c>
      <c r="N1126">
        <v>0.2</v>
      </c>
      <c r="O1126">
        <v>1380</v>
      </c>
    </row>
    <row r="1127" spans="1:15" x14ac:dyDescent="0.25">
      <c r="A1127" t="s">
        <v>1276</v>
      </c>
      <c r="B1127">
        <v>45866</v>
      </c>
      <c r="C1127" t="s">
        <v>56</v>
      </c>
      <c r="D1127" t="s">
        <v>143</v>
      </c>
      <c r="E1127" t="s">
        <v>58</v>
      </c>
      <c r="F1127" t="s">
        <v>52</v>
      </c>
      <c r="G1127" t="s">
        <v>59</v>
      </c>
      <c r="H1127" t="s">
        <v>60</v>
      </c>
      <c r="I1127" t="s">
        <v>61</v>
      </c>
      <c r="J1127" t="s">
        <v>49</v>
      </c>
      <c r="K1127" t="s">
        <v>24</v>
      </c>
      <c r="L1127">
        <v>1</v>
      </c>
      <c r="M1127">
        <v>24200</v>
      </c>
      <c r="N1127">
        <v>0.15</v>
      </c>
      <c r="O1127">
        <v>16070</v>
      </c>
    </row>
    <row r="1128" spans="1:15" x14ac:dyDescent="0.25">
      <c r="A1128" t="s">
        <v>1277</v>
      </c>
      <c r="B1128">
        <v>45867</v>
      </c>
      <c r="C1128" t="s">
        <v>42</v>
      </c>
      <c r="D1128" t="s">
        <v>96</v>
      </c>
      <c r="E1128" t="s">
        <v>44</v>
      </c>
      <c r="F1128" t="s">
        <v>19</v>
      </c>
      <c r="G1128" t="s">
        <v>27</v>
      </c>
      <c r="H1128" t="s">
        <v>214</v>
      </c>
      <c r="I1128" t="s">
        <v>215</v>
      </c>
      <c r="J1128" t="s">
        <v>40</v>
      </c>
      <c r="K1128" t="s">
        <v>24</v>
      </c>
      <c r="L1128">
        <v>2</v>
      </c>
      <c r="M1128">
        <v>33680</v>
      </c>
      <c r="N1128">
        <v>0.05</v>
      </c>
      <c r="O1128">
        <v>22780</v>
      </c>
    </row>
    <row r="1129" spans="1:15" x14ac:dyDescent="0.25">
      <c r="A1129" t="s">
        <v>1278</v>
      </c>
      <c r="B1129">
        <v>45868</v>
      </c>
      <c r="C1129" t="s">
        <v>42</v>
      </c>
      <c r="D1129" t="s">
        <v>130</v>
      </c>
      <c r="E1129" t="s">
        <v>64</v>
      </c>
      <c r="F1129" t="s">
        <v>92</v>
      </c>
      <c r="G1129" t="s">
        <v>59</v>
      </c>
      <c r="H1129" t="s">
        <v>69</v>
      </c>
      <c r="I1129" t="s">
        <v>121</v>
      </c>
      <c r="J1129" t="s">
        <v>23</v>
      </c>
      <c r="K1129" t="s">
        <v>119</v>
      </c>
      <c r="L1129">
        <v>5</v>
      </c>
      <c r="M1129">
        <v>3420</v>
      </c>
      <c r="N1129">
        <v>0.05</v>
      </c>
      <c r="O1129">
        <v>2030</v>
      </c>
    </row>
    <row r="1130" spans="1:15" x14ac:dyDescent="0.25">
      <c r="A1130" t="s">
        <v>1279</v>
      </c>
      <c r="B1130">
        <v>45869</v>
      </c>
      <c r="C1130" t="s">
        <v>42</v>
      </c>
      <c r="D1130" t="s">
        <v>43</v>
      </c>
      <c r="E1130" t="s">
        <v>44</v>
      </c>
      <c r="F1130" t="s">
        <v>52</v>
      </c>
      <c r="G1130" t="s">
        <v>27</v>
      </c>
      <c r="H1130" t="s">
        <v>79</v>
      </c>
      <c r="I1130" t="s">
        <v>168</v>
      </c>
      <c r="J1130" t="s">
        <v>23</v>
      </c>
      <c r="K1130" t="s">
        <v>24</v>
      </c>
      <c r="L1130">
        <v>8</v>
      </c>
      <c r="M1130">
        <v>9040</v>
      </c>
      <c r="N1130">
        <v>0.05</v>
      </c>
      <c r="O1130">
        <v>5960</v>
      </c>
    </row>
    <row r="1131" spans="1:15" x14ac:dyDescent="0.25">
      <c r="A1131" t="s">
        <v>1280</v>
      </c>
      <c r="B1131">
        <v>45870</v>
      </c>
      <c r="C1131" t="s">
        <v>76</v>
      </c>
      <c r="D1131" t="s">
        <v>217</v>
      </c>
      <c r="E1131" t="s">
        <v>78</v>
      </c>
      <c r="F1131" t="s">
        <v>19</v>
      </c>
      <c r="G1131" t="s">
        <v>59</v>
      </c>
      <c r="H1131" t="s">
        <v>73</v>
      </c>
      <c r="I1131" t="s">
        <v>113</v>
      </c>
      <c r="J1131" t="s">
        <v>49</v>
      </c>
      <c r="K1131" t="s">
        <v>35</v>
      </c>
      <c r="L1131">
        <v>3</v>
      </c>
      <c r="M1131">
        <v>31710</v>
      </c>
      <c r="N1131">
        <v>0.18</v>
      </c>
      <c r="O1131">
        <v>23830</v>
      </c>
    </row>
    <row r="1132" spans="1:15" x14ac:dyDescent="0.25">
      <c r="A1132" t="s">
        <v>1281</v>
      </c>
      <c r="B1132">
        <v>45870</v>
      </c>
      <c r="C1132" t="s">
        <v>56</v>
      </c>
      <c r="D1132" t="s">
        <v>133</v>
      </c>
      <c r="E1132" t="s">
        <v>91</v>
      </c>
      <c r="F1132" t="s">
        <v>19</v>
      </c>
      <c r="G1132" t="s">
        <v>27</v>
      </c>
      <c r="H1132" t="s">
        <v>214</v>
      </c>
      <c r="I1132" t="s">
        <v>215</v>
      </c>
      <c r="J1132" t="s">
        <v>40</v>
      </c>
      <c r="K1132" t="s">
        <v>24</v>
      </c>
      <c r="L1132">
        <v>2</v>
      </c>
      <c r="M1132">
        <v>32310</v>
      </c>
      <c r="N1132">
        <v>0.08</v>
      </c>
      <c r="O1132">
        <v>21130</v>
      </c>
    </row>
    <row r="1133" spans="1:15" x14ac:dyDescent="0.25">
      <c r="A1133" t="s">
        <v>1282</v>
      </c>
      <c r="B1133">
        <v>45870</v>
      </c>
      <c r="C1133" t="s">
        <v>56</v>
      </c>
      <c r="D1133" t="s">
        <v>133</v>
      </c>
      <c r="E1133" t="s">
        <v>91</v>
      </c>
      <c r="F1133" t="s">
        <v>92</v>
      </c>
      <c r="G1133" t="s">
        <v>59</v>
      </c>
      <c r="H1133" t="s">
        <v>69</v>
      </c>
      <c r="I1133" t="s">
        <v>70</v>
      </c>
      <c r="J1133" t="s">
        <v>23</v>
      </c>
      <c r="K1133" t="s">
        <v>24</v>
      </c>
      <c r="L1133">
        <v>5</v>
      </c>
      <c r="M1133">
        <v>30130</v>
      </c>
      <c r="N1133">
        <v>0</v>
      </c>
      <c r="O1133">
        <v>20510</v>
      </c>
    </row>
    <row r="1134" spans="1:15" x14ac:dyDescent="0.25">
      <c r="A1134" t="s">
        <v>1283</v>
      </c>
      <c r="B1134">
        <v>45870</v>
      </c>
      <c r="C1134" t="s">
        <v>42</v>
      </c>
      <c r="D1134" t="s">
        <v>265</v>
      </c>
      <c r="E1134" t="s">
        <v>64</v>
      </c>
      <c r="F1134" t="s">
        <v>92</v>
      </c>
      <c r="G1134" t="s">
        <v>20</v>
      </c>
      <c r="H1134" t="s">
        <v>33</v>
      </c>
      <c r="I1134" t="s">
        <v>34</v>
      </c>
      <c r="J1134" t="s">
        <v>40</v>
      </c>
      <c r="K1134" t="s">
        <v>119</v>
      </c>
      <c r="L1134">
        <v>6</v>
      </c>
      <c r="M1134">
        <v>57110</v>
      </c>
      <c r="N1134">
        <v>0.2</v>
      </c>
      <c r="O1134">
        <v>39180</v>
      </c>
    </row>
    <row r="1135" spans="1:15" x14ac:dyDescent="0.25">
      <c r="A1135" t="s">
        <v>1284</v>
      </c>
      <c r="B1135">
        <v>45870</v>
      </c>
      <c r="C1135" t="s">
        <v>76</v>
      </c>
      <c r="D1135" t="s">
        <v>99</v>
      </c>
      <c r="E1135" t="s">
        <v>170</v>
      </c>
      <c r="F1135" t="s">
        <v>19</v>
      </c>
      <c r="G1135" t="s">
        <v>46</v>
      </c>
      <c r="H1135" t="s">
        <v>100</v>
      </c>
      <c r="I1135" t="s">
        <v>177</v>
      </c>
      <c r="J1135" t="s">
        <v>23</v>
      </c>
      <c r="K1135" t="s">
        <v>35</v>
      </c>
      <c r="L1135">
        <v>13</v>
      </c>
      <c r="M1135">
        <v>2560</v>
      </c>
      <c r="N1135">
        <v>0.18</v>
      </c>
      <c r="O1135">
        <v>1610</v>
      </c>
    </row>
    <row r="1136" spans="1:15" x14ac:dyDescent="0.25">
      <c r="A1136" t="s">
        <v>1285</v>
      </c>
      <c r="B1136">
        <v>45871</v>
      </c>
      <c r="C1136" t="s">
        <v>56</v>
      </c>
      <c r="D1136" t="s">
        <v>133</v>
      </c>
      <c r="E1136" t="s">
        <v>58</v>
      </c>
      <c r="F1136" t="s">
        <v>92</v>
      </c>
      <c r="G1136" t="s">
        <v>20</v>
      </c>
      <c r="H1136" t="s">
        <v>33</v>
      </c>
      <c r="I1136" t="s">
        <v>139</v>
      </c>
      <c r="J1136" t="s">
        <v>40</v>
      </c>
      <c r="K1136" t="s">
        <v>24</v>
      </c>
      <c r="L1136">
        <v>4</v>
      </c>
      <c r="M1136">
        <v>60610</v>
      </c>
      <c r="N1136">
        <v>0</v>
      </c>
      <c r="O1136">
        <v>44860</v>
      </c>
    </row>
    <row r="1137" spans="1:15" x14ac:dyDescent="0.25">
      <c r="A1137" t="s">
        <v>1286</v>
      </c>
      <c r="B1137">
        <v>45871</v>
      </c>
      <c r="C1137" t="s">
        <v>37</v>
      </c>
      <c r="D1137" t="s">
        <v>67</v>
      </c>
      <c r="E1137" t="s">
        <v>68</v>
      </c>
      <c r="F1137" t="s">
        <v>52</v>
      </c>
      <c r="G1137" t="s">
        <v>83</v>
      </c>
      <c r="H1137" t="s">
        <v>136</v>
      </c>
      <c r="I1137" t="s">
        <v>137</v>
      </c>
      <c r="J1137" t="s">
        <v>40</v>
      </c>
      <c r="K1137" t="s">
        <v>24</v>
      </c>
      <c r="L1137">
        <v>14</v>
      </c>
      <c r="M1137">
        <v>1640</v>
      </c>
      <c r="N1137">
        <v>0.12</v>
      </c>
      <c r="O1137">
        <v>1050</v>
      </c>
    </row>
    <row r="1138" spans="1:15" x14ac:dyDescent="0.25">
      <c r="A1138" t="s">
        <v>1287</v>
      </c>
      <c r="B1138">
        <v>45871</v>
      </c>
      <c r="C1138" t="s">
        <v>42</v>
      </c>
      <c r="D1138" t="s">
        <v>96</v>
      </c>
      <c r="E1138" t="s">
        <v>44</v>
      </c>
      <c r="F1138" t="s">
        <v>45</v>
      </c>
      <c r="G1138" t="s">
        <v>27</v>
      </c>
      <c r="H1138" t="s">
        <v>214</v>
      </c>
      <c r="I1138" t="s">
        <v>215</v>
      </c>
      <c r="J1138" t="s">
        <v>23</v>
      </c>
      <c r="K1138" t="s">
        <v>24</v>
      </c>
      <c r="L1138">
        <v>5</v>
      </c>
      <c r="M1138">
        <v>33910</v>
      </c>
      <c r="N1138">
        <v>0.12</v>
      </c>
      <c r="O1138">
        <v>25150</v>
      </c>
    </row>
    <row r="1139" spans="1:15" x14ac:dyDescent="0.25">
      <c r="A1139" t="s">
        <v>1288</v>
      </c>
      <c r="B1139">
        <v>45872</v>
      </c>
      <c r="C1139" t="s">
        <v>56</v>
      </c>
      <c r="D1139" t="s">
        <v>143</v>
      </c>
      <c r="E1139" t="s">
        <v>91</v>
      </c>
      <c r="F1139" t="s">
        <v>19</v>
      </c>
      <c r="G1139" t="s">
        <v>59</v>
      </c>
      <c r="H1139" t="s">
        <v>154</v>
      </c>
      <c r="I1139" t="s">
        <v>155</v>
      </c>
      <c r="J1139" t="s">
        <v>49</v>
      </c>
      <c r="K1139" t="s">
        <v>24</v>
      </c>
      <c r="L1139">
        <v>8</v>
      </c>
      <c r="M1139">
        <v>12410</v>
      </c>
      <c r="N1139">
        <v>0.08</v>
      </c>
      <c r="O1139">
        <v>8190</v>
      </c>
    </row>
    <row r="1140" spans="1:15" x14ac:dyDescent="0.25">
      <c r="A1140" t="s">
        <v>1289</v>
      </c>
      <c r="B1140">
        <v>45872</v>
      </c>
      <c r="C1140" t="s">
        <v>56</v>
      </c>
      <c r="D1140" t="s">
        <v>57</v>
      </c>
      <c r="E1140" t="s">
        <v>91</v>
      </c>
      <c r="F1140" t="s">
        <v>19</v>
      </c>
      <c r="G1140" t="s">
        <v>27</v>
      </c>
      <c r="H1140" t="s">
        <v>79</v>
      </c>
      <c r="I1140" t="s">
        <v>262</v>
      </c>
      <c r="J1140" t="s">
        <v>49</v>
      </c>
      <c r="K1140" t="s">
        <v>24</v>
      </c>
      <c r="L1140">
        <v>37</v>
      </c>
      <c r="M1140">
        <v>2660</v>
      </c>
      <c r="N1140">
        <v>0.12</v>
      </c>
      <c r="O1140">
        <v>1500</v>
      </c>
    </row>
    <row r="1141" spans="1:15" x14ac:dyDescent="0.25">
      <c r="A1141" t="s">
        <v>1290</v>
      </c>
      <c r="B1141">
        <v>45872</v>
      </c>
      <c r="C1141" t="s">
        <v>42</v>
      </c>
      <c r="D1141" t="s">
        <v>146</v>
      </c>
      <c r="E1141" t="s">
        <v>64</v>
      </c>
      <c r="F1141" t="s">
        <v>19</v>
      </c>
      <c r="G1141" t="s">
        <v>46</v>
      </c>
      <c r="H1141" t="s">
        <v>100</v>
      </c>
      <c r="I1141" t="s">
        <v>101</v>
      </c>
      <c r="J1141" t="s">
        <v>40</v>
      </c>
      <c r="K1141" t="s">
        <v>94</v>
      </c>
      <c r="L1141">
        <v>20</v>
      </c>
      <c r="M1141">
        <v>1820</v>
      </c>
      <c r="N1141">
        <v>0.12</v>
      </c>
      <c r="O1141">
        <v>1080</v>
      </c>
    </row>
    <row r="1142" spans="1:15" x14ac:dyDescent="0.25">
      <c r="A1142" t="s">
        <v>1291</v>
      </c>
      <c r="B1142">
        <v>45874</v>
      </c>
      <c r="C1142" t="s">
        <v>16</v>
      </c>
      <c r="D1142" t="s">
        <v>191</v>
      </c>
      <c r="E1142" t="s">
        <v>18</v>
      </c>
      <c r="F1142" t="s">
        <v>92</v>
      </c>
      <c r="G1142" t="s">
        <v>27</v>
      </c>
      <c r="H1142" t="s">
        <v>79</v>
      </c>
      <c r="I1142" t="s">
        <v>80</v>
      </c>
      <c r="J1142" t="s">
        <v>40</v>
      </c>
      <c r="K1142" t="s">
        <v>24</v>
      </c>
      <c r="L1142">
        <v>12</v>
      </c>
      <c r="M1142">
        <v>4480</v>
      </c>
      <c r="N1142">
        <v>0.05</v>
      </c>
      <c r="O1142">
        <v>3260</v>
      </c>
    </row>
    <row r="1143" spans="1:15" x14ac:dyDescent="0.25">
      <c r="A1143" t="s">
        <v>1292</v>
      </c>
      <c r="B1143">
        <v>45875</v>
      </c>
      <c r="C1143" t="s">
        <v>56</v>
      </c>
      <c r="D1143" t="s">
        <v>133</v>
      </c>
      <c r="E1143" t="s">
        <v>134</v>
      </c>
      <c r="F1143" t="s">
        <v>92</v>
      </c>
      <c r="G1143" t="s">
        <v>27</v>
      </c>
      <c r="H1143" t="s">
        <v>79</v>
      </c>
      <c r="I1143" t="s">
        <v>262</v>
      </c>
      <c r="J1143" t="s">
        <v>23</v>
      </c>
      <c r="K1143" t="s">
        <v>24</v>
      </c>
      <c r="L1143">
        <v>60</v>
      </c>
      <c r="M1143">
        <v>2800</v>
      </c>
      <c r="N1143">
        <v>0.25</v>
      </c>
      <c r="O1143">
        <v>2030</v>
      </c>
    </row>
    <row r="1144" spans="1:15" x14ac:dyDescent="0.25">
      <c r="A1144" t="s">
        <v>1293</v>
      </c>
      <c r="B1144">
        <v>45875</v>
      </c>
      <c r="C1144" t="s">
        <v>56</v>
      </c>
      <c r="D1144" t="s">
        <v>143</v>
      </c>
      <c r="E1144" t="s">
        <v>58</v>
      </c>
      <c r="F1144" t="s">
        <v>92</v>
      </c>
      <c r="G1144" t="s">
        <v>83</v>
      </c>
      <c r="H1144" t="s">
        <v>184</v>
      </c>
      <c r="I1144" t="s">
        <v>196</v>
      </c>
      <c r="J1144" t="s">
        <v>23</v>
      </c>
      <c r="K1144" t="s">
        <v>24</v>
      </c>
      <c r="L1144">
        <v>19</v>
      </c>
      <c r="M1144">
        <v>3290</v>
      </c>
      <c r="N1144">
        <v>0.15</v>
      </c>
      <c r="O1144">
        <v>2470</v>
      </c>
    </row>
    <row r="1145" spans="1:15" x14ac:dyDescent="0.25">
      <c r="A1145" t="s">
        <v>1294</v>
      </c>
      <c r="B1145">
        <v>45876</v>
      </c>
      <c r="C1145" t="s">
        <v>16</v>
      </c>
      <c r="D1145" t="s">
        <v>153</v>
      </c>
      <c r="E1145" t="s">
        <v>18</v>
      </c>
      <c r="F1145" t="s">
        <v>45</v>
      </c>
      <c r="G1145" t="s">
        <v>46</v>
      </c>
      <c r="H1145" t="s">
        <v>100</v>
      </c>
      <c r="I1145" t="s">
        <v>101</v>
      </c>
      <c r="J1145" t="s">
        <v>23</v>
      </c>
      <c r="K1145" t="s">
        <v>24</v>
      </c>
      <c r="L1145">
        <v>14</v>
      </c>
      <c r="M1145">
        <v>1830</v>
      </c>
      <c r="N1145">
        <v>0.05</v>
      </c>
      <c r="O1145">
        <v>1400</v>
      </c>
    </row>
    <row r="1146" spans="1:15" x14ac:dyDescent="0.25">
      <c r="A1146" t="s">
        <v>1295</v>
      </c>
      <c r="B1146">
        <v>45876</v>
      </c>
      <c r="C1146" t="s">
        <v>56</v>
      </c>
      <c r="D1146" t="s">
        <v>143</v>
      </c>
      <c r="E1146" t="s">
        <v>134</v>
      </c>
      <c r="F1146" t="s">
        <v>19</v>
      </c>
      <c r="G1146" t="s">
        <v>83</v>
      </c>
      <c r="H1146" t="s">
        <v>184</v>
      </c>
      <c r="I1146" t="s">
        <v>185</v>
      </c>
      <c r="J1146" t="s">
        <v>23</v>
      </c>
      <c r="K1146" t="s">
        <v>24</v>
      </c>
      <c r="L1146">
        <v>11</v>
      </c>
      <c r="M1146">
        <v>4520</v>
      </c>
      <c r="N1146">
        <v>0.1</v>
      </c>
      <c r="O1146">
        <v>2970</v>
      </c>
    </row>
    <row r="1147" spans="1:15" x14ac:dyDescent="0.25">
      <c r="A1147" t="s">
        <v>1296</v>
      </c>
      <c r="B1147">
        <v>45877</v>
      </c>
      <c r="C1147" t="s">
        <v>16</v>
      </c>
      <c r="D1147" t="s">
        <v>31</v>
      </c>
      <c r="E1147" t="s">
        <v>26</v>
      </c>
      <c r="F1147" t="s">
        <v>19</v>
      </c>
      <c r="G1147" t="s">
        <v>59</v>
      </c>
      <c r="H1147" t="s">
        <v>154</v>
      </c>
      <c r="I1147" t="s">
        <v>155</v>
      </c>
      <c r="J1147" t="s">
        <v>23</v>
      </c>
      <c r="K1147" t="s">
        <v>24</v>
      </c>
      <c r="L1147">
        <v>4</v>
      </c>
      <c r="M1147">
        <v>12160</v>
      </c>
      <c r="N1147">
        <v>0</v>
      </c>
      <c r="O1147">
        <v>6980</v>
      </c>
    </row>
    <row r="1148" spans="1:15" x14ac:dyDescent="0.25">
      <c r="A1148" t="s">
        <v>1297</v>
      </c>
      <c r="B1148">
        <v>45878</v>
      </c>
      <c r="C1148" t="s">
        <v>76</v>
      </c>
      <c r="D1148" t="s">
        <v>217</v>
      </c>
      <c r="E1148" t="s">
        <v>170</v>
      </c>
      <c r="F1148" t="s">
        <v>92</v>
      </c>
      <c r="G1148" t="s">
        <v>20</v>
      </c>
      <c r="H1148" t="s">
        <v>33</v>
      </c>
      <c r="I1148" t="s">
        <v>139</v>
      </c>
      <c r="J1148" t="s">
        <v>49</v>
      </c>
      <c r="K1148" t="s">
        <v>24</v>
      </c>
      <c r="L1148">
        <v>6</v>
      </c>
      <c r="M1148">
        <v>64910</v>
      </c>
      <c r="N1148">
        <v>0.1</v>
      </c>
      <c r="O1148">
        <v>44220</v>
      </c>
    </row>
    <row r="1149" spans="1:15" x14ac:dyDescent="0.25">
      <c r="A1149" t="s">
        <v>1298</v>
      </c>
      <c r="B1149">
        <v>45878</v>
      </c>
      <c r="C1149" t="s">
        <v>37</v>
      </c>
      <c r="D1149" t="s">
        <v>67</v>
      </c>
      <c r="E1149" t="s">
        <v>68</v>
      </c>
      <c r="F1149" t="s">
        <v>52</v>
      </c>
      <c r="G1149" t="s">
        <v>20</v>
      </c>
      <c r="H1149" t="s">
        <v>87</v>
      </c>
      <c r="I1149" t="s">
        <v>105</v>
      </c>
      <c r="J1149" t="s">
        <v>23</v>
      </c>
      <c r="K1149" t="s">
        <v>24</v>
      </c>
      <c r="L1149">
        <v>2</v>
      </c>
      <c r="M1149">
        <v>51560</v>
      </c>
      <c r="N1149">
        <v>0.1</v>
      </c>
      <c r="O1149">
        <v>40120</v>
      </c>
    </row>
    <row r="1150" spans="1:15" x14ac:dyDescent="0.25">
      <c r="A1150" t="s">
        <v>1299</v>
      </c>
      <c r="B1150">
        <v>45880</v>
      </c>
      <c r="C1150" t="s">
        <v>56</v>
      </c>
      <c r="D1150" t="s">
        <v>72</v>
      </c>
      <c r="E1150" t="s">
        <v>58</v>
      </c>
      <c r="F1150" t="s">
        <v>52</v>
      </c>
      <c r="G1150" t="s">
        <v>59</v>
      </c>
      <c r="H1150" t="s">
        <v>60</v>
      </c>
      <c r="I1150" t="s">
        <v>61</v>
      </c>
      <c r="J1150" t="s">
        <v>49</v>
      </c>
      <c r="K1150" t="s">
        <v>119</v>
      </c>
      <c r="L1150">
        <v>6</v>
      </c>
      <c r="M1150">
        <v>24670</v>
      </c>
      <c r="N1150">
        <v>0.08</v>
      </c>
      <c r="O1150">
        <v>18380</v>
      </c>
    </row>
    <row r="1151" spans="1:15" x14ac:dyDescent="0.25">
      <c r="A1151" t="s">
        <v>1300</v>
      </c>
      <c r="B1151">
        <v>45880</v>
      </c>
      <c r="C1151" t="s">
        <v>16</v>
      </c>
      <c r="D1151" t="s">
        <v>82</v>
      </c>
      <c r="E1151" t="s">
        <v>26</v>
      </c>
      <c r="F1151" t="s">
        <v>52</v>
      </c>
      <c r="G1151" t="s">
        <v>20</v>
      </c>
      <c r="H1151" t="s">
        <v>87</v>
      </c>
      <c r="I1151" t="s">
        <v>88</v>
      </c>
      <c r="J1151" t="s">
        <v>40</v>
      </c>
      <c r="K1151" t="s">
        <v>24</v>
      </c>
      <c r="L1151">
        <v>3</v>
      </c>
      <c r="M1151">
        <v>30580</v>
      </c>
      <c r="N1151">
        <v>0</v>
      </c>
      <c r="O1151">
        <v>23340</v>
      </c>
    </row>
    <row r="1152" spans="1:15" x14ac:dyDescent="0.25">
      <c r="A1152" t="s">
        <v>1301</v>
      </c>
      <c r="B1152">
        <v>45881</v>
      </c>
      <c r="C1152" t="s">
        <v>76</v>
      </c>
      <c r="D1152" t="s">
        <v>112</v>
      </c>
      <c r="E1152" t="s">
        <v>170</v>
      </c>
      <c r="F1152" t="s">
        <v>92</v>
      </c>
      <c r="G1152" t="s">
        <v>20</v>
      </c>
      <c r="H1152" t="s">
        <v>109</v>
      </c>
      <c r="I1152" t="s">
        <v>159</v>
      </c>
      <c r="J1152" t="s">
        <v>40</v>
      </c>
      <c r="K1152" t="s">
        <v>24</v>
      </c>
      <c r="L1152">
        <v>2</v>
      </c>
      <c r="M1152">
        <v>19220</v>
      </c>
      <c r="N1152">
        <v>0.25</v>
      </c>
      <c r="O1152">
        <v>14510</v>
      </c>
    </row>
    <row r="1153" spans="1:15" x14ac:dyDescent="0.25">
      <c r="A1153" t="s">
        <v>1302</v>
      </c>
      <c r="B1153">
        <v>45881</v>
      </c>
      <c r="C1153" t="s">
        <v>42</v>
      </c>
      <c r="D1153" t="s">
        <v>146</v>
      </c>
      <c r="E1153" t="s">
        <v>44</v>
      </c>
      <c r="F1153" t="s">
        <v>52</v>
      </c>
      <c r="G1153" t="s">
        <v>83</v>
      </c>
      <c r="H1153" t="s">
        <v>184</v>
      </c>
      <c r="I1153" t="s">
        <v>196</v>
      </c>
      <c r="J1153" t="s">
        <v>49</v>
      </c>
      <c r="K1153" t="s">
        <v>24</v>
      </c>
      <c r="L1153">
        <v>14</v>
      </c>
      <c r="M1153">
        <v>3180</v>
      </c>
      <c r="N1153">
        <v>0.12</v>
      </c>
      <c r="O1153">
        <v>1820</v>
      </c>
    </row>
    <row r="1154" spans="1:15" x14ac:dyDescent="0.25">
      <c r="A1154" t="s">
        <v>1303</v>
      </c>
      <c r="B1154">
        <v>45881</v>
      </c>
      <c r="C1154" t="s">
        <v>16</v>
      </c>
      <c r="D1154" t="s">
        <v>153</v>
      </c>
      <c r="E1154" t="s">
        <v>18</v>
      </c>
      <c r="F1154" t="s">
        <v>19</v>
      </c>
      <c r="G1154" t="s">
        <v>46</v>
      </c>
      <c r="H1154" t="s">
        <v>100</v>
      </c>
      <c r="I1154" t="s">
        <v>177</v>
      </c>
      <c r="J1154" t="s">
        <v>49</v>
      </c>
      <c r="K1154" t="s">
        <v>24</v>
      </c>
      <c r="L1154">
        <v>8</v>
      </c>
      <c r="M1154">
        <v>2520</v>
      </c>
      <c r="N1154">
        <v>0.1</v>
      </c>
      <c r="O1154">
        <v>1940</v>
      </c>
    </row>
    <row r="1155" spans="1:15" x14ac:dyDescent="0.25">
      <c r="A1155" t="s">
        <v>1304</v>
      </c>
      <c r="B1155">
        <v>45881</v>
      </c>
      <c r="C1155" t="s">
        <v>56</v>
      </c>
      <c r="D1155" t="s">
        <v>143</v>
      </c>
      <c r="E1155" t="s">
        <v>91</v>
      </c>
      <c r="F1155" t="s">
        <v>19</v>
      </c>
      <c r="G1155" t="s">
        <v>20</v>
      </c>
      <c r="H1155" t="s">
        <v>33</v>
      </c>
      <c r="I1155" t="s">
        <v>182</v>
      </c>
      <c r="J1155" t="s">
        <v>23</v>
      </c>
      <c r="K1155" t="s">
        <v>24</v>
      </c>
      <c r="L1155">
        <v>4</v>
      </c>
      <c r="M1155">
        <v>101070</v>
      </c>
      <c r="N1155">
        <v>0</v>
      </c>
      <c r="O1155">
        <v>63390</v>
      </c>
    </row>
    <row r="1156" spans="1:15" x14ac:dyDescent="0.25">
      <c r="A1156" t="s">
        <v>1305</v>
      </c>
      <c r="B1156">
        <v>45882</v>
      </c>
      <c r="C1156" t="s">
        <v>42</v>
      </c>
      <c r="D1156" t="s">
        <v>96</v>
      </c>
      <c r="E1156" t="s">
        <v>44</v>
      </c>
      <c r="F1156" t="s">
        <v>92</v>
      </c>
      <c r="G1156" t="s">
        <v>46</v>
      </c>
      <c r="H1156" t="s">
        <v>47</v>
      </c>
      <c r="I1156" t="s">
        <v>48</v>
      </c>
      <c r="J1156" t="s">
        <v>23</v>
      </c>
      <c r="K1156" t="s">
        <v>24</v>
      </c>
      <c r="L1156">
        <v>41</v>
      </c>
      <c r="M1156">
        <v>1810</v>
      </c>
      <c r="N1156">
        <v>0.25</v>
      </c>
      <c r="O1156">
        <v>1030</v>
      </c>
    </row>
    <row r="1157" spans="1:15" x14ac:dyDescent="0.25">
      <c r="A1157" t="s">
        <v>1306</v>
      </c>
      <c r="B1157">
        <v>45883</v>
      </c>
      <c r="C1157" t="s">
        <v>56</v>
      </c>
      <c r="D1157" t="s">
        <v>143</v>
      </c>
      <c r="E1157" t="s">
        <v>134</v>
      </c>
      <c r="F1157" t="s">
        <v>92</v>
      </c>
      <c r="G1157" t="s">
        <v>83</v>
      </c>
      <c r="H1157" t="s">
        <v>184</v>
      </c>
      <c r="I1157" t="s">
        <v>185</v>
      </c>
      <c r="J1157" t="s">
        <v>49</v>
      </c>
      <c r="K1157" t="s">
        <v>24</v>
      </c>
      <c r="L1157">
        <v>4</v>
      </c>
      <c r="M1157">
        <v>4350</v>
      </c>
      <c r="N1157">
        <v>0.2</v>
      </c>
      <c r="O1157">
        <v>2450</v>
      </c>
    </row>
    <row r="1158" spans="1:15" x14ac:dyDescent="0.25">
      <c r="A1158" t="s">
        <v>1307</v>
      </c>
      <c r="B1158">
        <v>45884</v>
      </c>
      <c r="C1158" t="s">
        <v>76</v>
      </c>
      <c r="D1158" t="s">
        <v>217</v>
      </c>
      <c r="E1158" t="s">
        <v>78</v>
      </c>
      <c r="F1158" t="s">
        <v>19</v>
      </c>
      <c r="G1158" t="s">
        <v>59</v>
      </c>
      <c r="H1158" t="s">
        <v>73</v>
      </c>
      <c r="I1158" t="s">
        <v>113</v>
      </c>
      <c r="J1158" t="s">
        <v>40</v>
      </c>
      <c r="K1158" t="s">
        <v>24</v>
      </c>
      <c r="L1158">
        <v>1</v>
      </c>
      <c r="M1158">
        <v>32920</v>
      </c>
      <c r="N1158">
        <v>0.05</v>
      </c>
      <c r="O1158">
        <v>21290</v>
      </c>
    </row>
    <row r="1159" spans="1:15" x14ac:dyDescent="0.25">
      <c r="A1159" t="s">
        <v>1308</v>
      </c>
      <c r="B1159">
        <v>45884</v>
      </c>
      <c r="C1159" t="s">
        <v>56</v>
      </c>
      <c r="D1159" t="s">
        <v>57</v>
      </c>
      <c r="E1159" t="s">
        <v>134</v>
      </c>
      <c r="F1159" t="s">
        <v>19</v>
      </c>
      <c r="G1159" t="s">
        <v>20</v>
      </c>
      <c r="H1159" t="s">
        <v>33</v>
      </c>
      <c r="I1159" t="s">
        <v>182</v>
      </c>
      <c r="J1159" t="s">
        <v>23</v>
      </c>
      <c r="K1159" t="s">
        <v>35</v>
      </c>
      <c r="L1159">
        <v>3</v>
      </c>
      <c r="M1159">
        <v>101120</v>
      </c>
      <c r="N1159">
        <v>0.2</v>
      </c>
      <c r="O1159">
        <v>70470</v>
      </c>
    </row>
    <row r="1160" spans="1:15" x14ac:dyDescent="0.25">
      <c r="A1160" t="s">
        <v>1309</v>
      </c>
      <c r="B1160">
        <v>45885</v>
      </c>
      <c r="C1160" t="s">
        <v>42</v>
      </c>
      <c r="D1160" t="s">
        <v>43</v>
      </c>
      <c r="E1160" t="s">
        <v>97</v>
      </c>
      <c r="F1160" t="s">
        <v>45</v>
      </c>
      <c r="G1160" t="s">
        <v>20</v>
      </c>
      <c r="H1160" t="s">
        <v>87</v>
      </c>
      <c r="I1160" t="s">
        <v>88</v>
      </c>
      <c r="J1160" t="s">
        <v>49</v>
      </c>
      <c r="K1160" t="s">
        <v>24</v>
      </c>
      <c r="L1160">
        <v>2</v>
      </c>
      <c r="M1160">
        <v>30660</v>
      </c>
      <c r="N1160">
        <v>0.05</v>
      </c>
      <c r="O1160">
        <v>19450</v>
      </c>
    </row>
    <row r="1161" spans="1:15" x14ac:dyDescent="0.25">
      <c r="A1161" t="s">
        <v>1310</v>
      </c>
      <c r="B1161">
        <v>45886</v>
      </c>
      <c r="C1161" t="s">
        <v>56</v>
      </c>
      <c r="D1161" t="s">
        <v>57</v>
      </c>
      <c r="E1161" t="s">
        <v>91</v>
      </c>
      <c r="F1161" t="s">
        <v>19</v>
      </c>
      <c r="G1161" t="s">
        <v>59</v>
      </c>
      <c r="H1161" t="s">
        <v>73</v>
      </c>
      <c r="I1161" t="s">
        <v>113</v>
      </c>
      <c r="J1161" t="s">
        <v>40</v>
      </c>
      <c r="K1161" t="s">
        <v>119</v>
      </c>
      <c r="L1161">
        <v>3</v>
      </c>
      <c r="M1161">
        <v>32160</v>
      </c>
      <c r="N1161">
        <v>0.05</v>
      </c>
      <c r="O1161">
        <v>23460</v>
      </c>
    </row>
    <row r="1162" spans="1:15" x14ac:dyDescent="0.25">
      <c r="A1162" t="s">
        <v>1311</v>
      </c>
      <c r="B1162">
        <v>45887</v>
      </c>
      <c r="C1162" t="s">
        <v>37</v>
      </c>
      <c r="D1162" t="s">
        <v>166</v>
      </c>
      <c r="E1162" t="s">
        <v>68</v>
      </c>
      <c r="F1162" t="s">
        <v>52</v>
      </c>
      <c r="G1162" t="s">
        <v>20</v>
      </c>
      <c r="H1162" t="s">
        <v>21</v>
      </c>
      <c r="I1162" t="s">
        <v>362</v>
      </c>
      <c r="J1162" t="s">
        <v>40</v>
      </c>
      <c r="K1162" t="s">
        <v>24</v>
      </c>
      <c r="L1162">
        <v>4</v>
      </c>
      <c r="M1162">
        <v>9070</v>
      </c>
      <c r="N1162">
        <v>0.12</v>
      </c>
      <c r="O1162">
        <v>5860</v>
      </c>
    </row>
    <row r="1163" spans="1:15" x14ac:dyDescent="0.25">
      <c r="A1163" t="s">
        <v>1312</v>
      </c>
      <c r="B1163">
        <v>45887</v>
      </c>
      <c r="C1163" t="s">
        <v>76</v>
      </c>
      <c r="D1163" t="s">
        <v>150</v>
      </c>
      <c r="E1163" t="s">
        <v>78</v>
      </c>
      <c r="F1163" t="s">
        <v>19</v>
      </c>
      <c r="G1163" t="s">
        <v>83</v>
      </c>
      <c r="H1163" t="s">
        <v>184</v>
      </c>
      <c r="I1163" t="s">
        <v>196</v>
      </c>
      <c r="J1163" t="s">
        <v>23</v>
      </c>
      <c r="K1163" t="s">
        <v>35</v>
      </c>
      <c r="L1163">
        <v>11</v>
      </c>
      <c r="M1163">
        <v>3360</v>
      </c>
      <c r="N1163">
        <v>0.1</v>
      </c>
      <c r="O1163">
        <v>2460</v>
      </c>
    </row>
    <row r="1164" spans="1:15" x14ac:dyDescent="0.25">
      <c r="A1164" t="s">
        <v>1313</v>
      </c>
      <c r="B1164">
        <v>45887</v>
      </c>
      <c r="C1164" t="s">
        <v>56</v>
      </c>
      <c r="D1164" t="s">
        <v>127</v>
      </c>
      <c r="E1164" t="s">
        <v>91</v>
      </c>
      <c r="F1164" t="s">
        <v>19</v>
      </c>
      <c r="G1164" t="s">
        <v>59</v>
      </c>
      <c r="H1164" t="s">
        <v>69</v>
      </c>
      <c r="I1164" t="s">
        <v>70</v>
      </c>
      <c r="J1164" t="s">
        <v>23</v>
      </c>
      <c r="K1164" t="s">
        <v>24</v>
      </c>
      <c r="L1164">
        <v>5</v>
      </c>
      <c r="M1164">
        <v>29910</v>
      </c>
      <c r="N1164">
        <v>0.15</v>
      </c>
      <c r="O1164">
        <v>18610</v>
      </c>
    </row>
    <row r="1165" spans="1:15" x14ac:dyDescent="0.25">
      <c r="A1165" t="s">
        <v>1314</v>
      </c>
      <c r="B1165">
        <v>45887</v>
      </c>
      <c r="C1165" t="s">
        <v>16</v>
      </c>
      <c r="D1165" t="s">
        <v>191</v>
      </c>
      <c r="E1165" t="s">
        <v>26</v>
      </c>
      <c r="F1165" t="s">
        <v>92</v>
      </c>
      <c r="G1165" t="s">
        <v>59</v>
      </c>
      <c r="H1165" t="s">
        <v>60</v>
      </c>
      <c r="I1165" t="s">
        <v>61</v>
      </c>
      <c r="J1165" t="s">
        <v>40</v>
      </c>
      <c r="K1165" t="s">
        <v>24</v>
      </c>
      <c r="L1165">
        <v>12</v>
      </c>
      <c r="M1165">
        <v>22960</v>
      </c>
      <c r="N1165">
        <v>0.05</v>
      </c>
      <c r="O1165">
        <v>15620</v>
      </c>
    </row>
    <row r="1166" spans="1:15" x14ac:dyDescent="0.25">
      <c r="A1166" t="s">
        <v>1315</v>
      </c>
      <c r="B1166">
        <v>45888</v>
      </c>
      <c r="C1166" t="s">
        <v>16</v>
      </c>
      <c r="D1166" t="s">
        <v>153</v>
      </c>
      <c r="E1166" t="s">
        <v>18</v>
      </c>
      <c r="F1166" t="s">
        <v>19</v>
      </c>
      <c r="G1166" t="s">
        <v>46</v>
      </c>
      <c r="H1166" t="s">
        <v>179</v>
      </c>
      <c r="I1166" t="s">
        <v>236</v>
      </c>
      <c r="J1166" t="s">
        <v>23</v>
      </c>
      <c r="K1166" t="s">
        <v>24</v>
      </c>
      <c r="L1166">
        <v>11</v>
      </c>
      <c r="M1166">
        <v>2120</v>
      </c>
      <c r="N1166">
        <v>0.05</v>
      </c>
      <c r="O1166">
        <v>1430</v>
      </c>
    </row>
    <row r="1167" spans="1:15" x14ac:dyDescent="0.25">
      <c r="A1167" t="s">
        <v>1316</v>
      </c>
      <c r="B1167">
        <v>45888</v>
      </c>
      <c r="C1167" t="s">
        <v>42</v>
      </c>
      <c r="D1167" t="s">
        <v>96</v>
      </c>
      <c r="E1167" t="s">
        <v>44</v>
      </c>
      <c r="F1167" t="s">
        <v>45</v>
      </c>
      <c r="G1167" t="s">
        <v>59</v>
      </c>
      <c r="H1167" t="s">
        <v>73</v>
      </c>
      <c r="I1167" t="s">
        <v>74</v>
      </c>
      <c r="J1167" t="s">
        <v>23</v>
      </c>
      <c r="K1167" t="s">
        <v>24</v>
      </c>
      <c r="L1167">
        <v>7</v>
      </c>
      <c r="M1167">
        <v>46100</v>
      </c>
      <c r="N1167">
        <v>0.18</v>
      </c>
      <c r="O1167">
        <v>30450</v>
      </c>
    </row>
    <row r="1168" spans="1:15" x14ac:dyDescent="0.25">
      <c r="A1168" t="s">
        <v>1317</v>
      </c>
      <c r="B1168">
        <v>45888</v>
      </c>
      <c r="C1168" t="s">
        <v>42</v>
      </c>
      <c r="D1168" t="s">
        <v>265</v>
      </c>
      <c r="E1168" t="s">
        <v>97</v>
      </c>
      <c r="F1168" t="s">
        <v>92</v>
      </c>
      <c r="G1168" t="s">
        <v>20</v>
      </c>
      <c r="H1168" t="s">
        <v>87</v>
      </c>
      <c r="I1168" t="s">
        <v>88</v>
      </c>
      <c r="J1168" t="s">
        <v>23</v>
      </c>
      <c r="K1168" t="s">
        <v>24</v>
      </c>
      <c r="L1168">
        <v>6</v>
      </c>
      <c r="M1168">
        <v>33390</v>
      </c>
      <c r="N1168">
        <v>0.2</v>
      </c>
      <c r="O1168">
        <v>22100</v>
      </c>
    </row>
    <row r="1169" spans="1:15" x14ac:dyDescent="0.25">
      <c r="A1169" t="s">
        <v>1318</v>
      </c>
      <c r="B1169">
        <v>45888</v>
      </c>
      <c r="C1169" t="s">
        <v>42</v>
      </c>
      <c r="D1169" t="s">
        <v>43</v>
      </c>
      <c r="E1169" t="s">
        <v>64</v>
      </c>
      <c r="F1169" t="s">
        <v>92</v>
      </c>
      <c r="G1169" t="s">
        <v>27</v>
      </c>
      <c r="H1169" t="s">
        <v>53</v>
      </c>
      <c r="I1169" t="s">
        <v>131</v>
      </c>
      <c r="J1169" t="s">
        <v>23</v>
      </c>
      <c r="K1169" t="s">
        <v>119</v>
      </c>
      <c r="L1169">
        <v>7</v>
      </c>
      <c r="M1169">
        <v>34880</v>
      </c>
      <c r="N1169">
        <v>0.05</v>
      </c>
      <c r="O1169">
        <v>25760</v>
      </c>
    </row>
    <row r="1170" spans="1:15" x14ac:dyDescent="0.25">
      <c r="A1170" t="s">
        <v>1319</v>
      </c>
      <c r="B1170">
        <v>45889</v>
      </c>
      <c r="C1170" t="s">
        <v>56</v>
      </c>
      <c r="D1170" t="s">
        <v>143</v>
      </c>
      <c r="E1170" t="s">
        <v>58</v>
      </c>
      <c r="F1170" t="s">
        <v>19</v>
      </c>
      <c r="G1170" t="s">
        <v>83</v>
      </c>
      <c r="H1170" t="s">
        <v>184</v>
      </c>
      <c r="I1170" t="s">
        <v>196</v>
      </c>
      <c r="J1170" t="s">
        <v>40</v>
      </c>
      <c r="K1170" t="s">
        <v>24</v>
      </c>
      <c r="L1170">
        <v>14</v>
      </c>
      <c r="M1170">
        <v>3350</v>
      </c>
      <c r="N1170">
        <v>0.15</v>
      </c>
      <c r="O1170">
        <v>2040</v>
      </c>
    </row>
    <row r="1171" spans="1:15" x14ac:dyDescent="0.25">
      <c r="A1171" t="s">
        <v>1320</v>
      </c>
      <c r="B1171">
        <v>45889</v>
      </c>
      <c r="C1171" t="s">
        <v>42</v>
      </c>
      <c r="D1171" t="s">
        <v>96</v>
      </c>
      <c r="E1171" t="s">
        <v>97</v>
      </c>
      <c r="F1171" t="s">
        <v>52</v>
      </c>
      <c r="G1171" t="s">
        <v>20</v>
      </c>
      <c r="H1171" t="s">
        <v>33</v>
      </c>
      <c r="I1171" t="s">
        <v>34</v>
      </c>
      <c r="J1171" t="s">
        <v>40</v>
      </c>
      <c r="K1171" t="s">
        <v>24</v>
      </c>
      <c r="L1171">
        <v>1</v>
      </c>
      <c r="M1171">
        <v>53380</v>
      </c>
      <c r="N1171">
        <v>0</v>
      </c>
      <c r="O1171">
        <v>39810</v>
      </c>
    </row>
    <row r="1172" spans="1:15" x14ac:dyDescent="0.25">
      <c r="A1172" t="s">
        <v>1321</v>
      </c>
      <c r="B1172">
        <v>45890</v>
      </c>
      <c r="C1172" t="s">
        <v>16</v>
      </c>
      <c r="D1172" t="s">
        <v>17</v>
      </c>
      <c r="E1172" t="s">
        <v>26</v>
      </c>
      <c r="F1172" t="s">
        <v>19</v>
      </c>
      <c r="G1172" t="s">
        <v>46</v>
      </c>
      <c r="H1172" t="s">
        <v>100</v>
      </c>
      <c r="I1172" t="s">
        <v>101</v>
      </c>
      <c r="J1172" t="s">
        <v>23</v>
      </c>
      <c r="K1172" t="s">
        <v>24</v>
      </c>
      <c r="L1172">
        <v>3</v>
      </c>
      <c r="M1172">
        <v>1970</v>
      </c>
      <c r="N1172">
        <v>0.05</v>
      </c>
      <c r="O1172">
        <v>1470</v>
      </c>
    </row>
    <row r="1173" spans="1:15" x14ac:dyDescent="0.25">
      <c r="A1173" t="s">
        <v>1322</v>
      </c>
      <c r="B1173">
        <v>45890</v>
      </c>
      <c r="C1173" t="s">
        <v>56</v>
      </c>
      <c r="D1173" t="s">
        <v>127</v>
      </c>
      <c r="E1173" t="s">
        <v>91</v>
      </c>
      <c r="F1173" t="s">
        <v>19</v>
      </c>
      <c r="G1173" t="s">
        <v>46</v>
      </c>
      <c r="H1173" t="s">
        <v>47</v>
      </c>
      <c r="I1173" t="s">
        <v>259</v>
      </c>
      <c r="J1173" t="s">
        <v>23</v>
      </c>
      <c r="K1173" t="s">
        <v>119</v>
      </c>
      <c r="L1173">
        <v>27</v>
      </c>
      <c r="M1173">
        <v>2710</v>
      </c>
      <c r="N1173">
        <v>0.12</v>
      </c>
      <c r="O1173">
        <v>2080</v>
      </c>
    </row>
    <row r="1174" spans="1:15" x14ac:dyDescent="0.25">
      <c r="A1174" t="s">
        <v>1323</v>
      </c>
      <c r="B1174">
        <v>45890</v>
      </c>
      <c r="C1174" t="s">
        <v>37</v>
      </c>
      <c r="D1174" t="s">
        <v>67</v>
      </c>
      <c r="E1174" t="s">
        <v>39</v>
      </c>
      <c r="F1174" t="s">
        <v>19</v>
      </c>
      <c r="G1174" t="s">
        <v>20</v>
      </c>
      <c r="H1174" t="s">
        <v>33</v>
      </c>
      <c r="I1174" t="s">
        <v>34</v>
      </c>
      <c r="J1174" t="s">
        <v>23</v>
      </c>
      <c r="K1174" t="s">
        <v>24</v>
      </c>
      <c r="L1174">
        <v>4</v>
      </c>
      <c r="M1174">
        <v>55840</v>
      </c>
      <c r="N1174">
        <v>0.12</v>
      </c>
      <c r="O1174">
        <v>37230</v>
      </c>
    </row>
    <row r="1175" spans="1:15" x14ac:dyDescent="0.25">
      <c r="A1175" t="s">
        <v>1324</v>
      </c>
      <c r="B1175">
        <v>45891</v>
      </c>
      <c r="C1175" t="s">
        <v>76</v>
      </c>
      <c r="D1175" t="s">
        <v>217</v>
      </c>
      <c r="E1175" t="s">
        <v>170</v>
      </c>
      <c r="F1175" t="s">
        <v>52</v>
      </c>
      <c r="G1175" t="s">
        <v>27</v>
      </c>
      <c r="H1175" t="s">
        <v>28</v>
      </c>
      <c r="I1175" t="s">
        <v>29</v>
      </c>
      <c r="J1175" t="s">
        <v>23</v>
      </c>
      <c r="K1175" t="s">
        <v>24</v>
      </c>
      <c r="L1175">
        <v>8</v>
      </c>
      <c r="M1175">
        <v>27890</v>
      </c>
      <c r="N1175">
        <v>0.2</v>
      </c>
      <c r="O1175">
        <v>16670</v>
      </c>
    </row>
    <row r="1176" spans="1:15" x14ac:dyDescent="0.25">
      <c r="A1176" t="s">
        <v>1325</v>
      </c>
      <c r="B1176">
        <v>45891</v>
      </c>
      <c r="C1176" t="s">
        <v>16</v>
      </c>
      <c r="D1176" t="s">
        <v>31</v>
      </c>
      <c r="E1176" t="s">
        <v>32</v>
      </c>
      <c r="F1176" t="s">
        <v>19</v>
      </c>
      <c r="G1176" t="s">
        <v>27</v>
      </c>
      <c r="H1176" t="s">
        <v>214</v>
      </c>
      <c r="I1176" t="s">
        <v>215</v>
      </c>
      <c r="J1176" t="s">
        <v>40</v>
      </c>
      <c r="K1176" t="s">
        <v>24</v>
      </c>
      <c r="L1176">
        <v>2</v>
      </c>
      <c r="M1176">
        <v>32530</v>
      </c>
      <c r="N1176">
        <v>0.05</v>
      </c>
      <c r="O1176">
        <v>22410</v>
      </c>
    </row>
    <row r="1177" spans="1:15" x14ac:dyDescent="0.25">
      <c r="A1177" t="s">
        <v>1326</v>
      </c>
      <c r="B1177">
        <v>45891</v>
      </c>
      <c r="C1177" t="s">
        <v>42</v>
      </c>
      <c r="D1177" t="s">
        <v>146</v>
      </c>
      <c r="E1177" t="s">
        <v>64</v>
      </c>
      <c r="F1177" t="s">
        <v>19</v>
      </c>
      <c r="G1177" t="s">
        <v>20</v>
      </c>
      <c r="H1177" t="s">
        <v>87</v>
      </c>
      <c r="I1177" t="s">
        <v>88</v>
      </c>
      <c r="J1177" t="s">
        <v>23</v>
      </c>
      <c r="K1177" t="s">
        <v>24</v>
      </c>
      <c r="L1177">
        <v>3</v>
      </c>
      <c r="M1177">
        <v>31170</v>
      </c>
      <c r="N1177">
        <v>0.15</v>
      </c>
      <c r="O1177">
        <v>20020</v>
      </c>
    </row>
    <row r="1178" spans="1:15" x14ac:dyDescent="0.25">
      <c r="A1178" t="s">
        <v>1327</v>
      </c>
      <c r="B1178">
        <v>45891</v>
      </c>
      <c r="C1178" t="s">
        <v>42</v>
      </c>
      <c r="D1178" t="s">
        <v>96</v>
      </c>
      <c r="E1178" t="s">
        <v>44</v>
      </c>
      <c r="F1178" t="s">
        <v>45</v>
      </c>
      <c r="G1178" t="s">
        <v>59</v>
      </c>
      <c r="H1178" t="s">
        <v>69</v>
      </c>
      <c r="I1178" t="s">
        <v>70</v>
      </c>
      <c r="J1178" t="s">
        <v>23</v>
      </c>
      <c r="K1178" t="s">
        <v>35</v>
      </c>
      <c r="L1178">
        <v>10</v>
      </c>
      <c r="M1178">
        <v>28050</v>
      </c>
      <c r="N1178">
        <v>0.05</v>
      </c>
      <c r="O1178">
        <v>16990</v>
      </c>
    </row>
    <row r="1179" spans="1:15" x14ac:dyDescent="0.25">
      <c r="A1179" t="s">
        <v>1328</v>
      </c>
      <c r="B1179">
        <v>45891</v>
      </c>
      <c r="C1179" t="s">
        <v>56</v>
      </c>
      <c r="D1179" t="s">
        <v>143</v>
      </c>
      <c r="E1179" t="s">
        <v>91</v>
      </c>
      <c r="F1179" t="s">
        <v>45</v>
      </c>
      <c r="G1179" t="s">
        <v>27</v>
      </c>
      <c r="H1179" t="s">
        <v>28</v>
      </c>
      <c r="I1179" t="s">
        <v>141</v>
      </c>
      <c r="J1179" t="s">
        <v>23</v>
      </c>
      <c r="K1179" t="s">
        <v>24</v>
      </c>
      <c r="L1179">
        <v>15</v>
      </c>
      <c r="M1179">
        <v>15900</v>
      </c>
      <c r="N1179">
        <v>0.18</v>
      </c>
      <c r="O1179">
        <v>11070</v>
      </c>
    </row>
    <row r="1180" spans="1:15" x14ac:dyDescent="0.25">
      <c r="A1180" t="s">
        <v>1329</v>
      </c>
      <c r="B1180">
        <v>45892</v>
      </c>
      <c r="C1180" t="s">
        <v>56</v>
      </c>
      <c r="D1180" t="s">
        <v>143</v>
      </c>
      <c r="E1180" t="s">
        <v>134</v>
      </c>
      <c r="F1180" t="s">
        <v>19</v>
      </c>
      <c r="G1180" t="s">
        <v>20</v>
      </c>
      <c r="H1180" t="s">
        <v>21</v>
      </c>
      <c r="I1180" t="s">
        <v>22</v>
      </c>
      <c r="J1180" t="s">
        <v>40</v>
      </c>
      <c r="K1180" t="s">
        <v>24</v>
      </c>
      <c r="L1180">
        <v>15</v>
      </c>
      <c r="M1180">
        <v>1930</v>
      </c>
      <c r="N1180">
        <v>0</v>
      </c>
      <c r="O1180">
        <v>1150</v>
      </c>
    </row>
    <row r="1181" spans="1:15" x14ac:dyDescent="0.25">
      <c r="A1181" t="s">
        <v>1330</v>
      </c>
      <c r="B1181">
        <v>45892</v>
      </c>
      <c r="C1181" t="s">
        <v>37</v>
      </c>
      <c r="D1181" t="s">
        <v>213</v>
      </c>
      <c r="E1181" t="s">
        <v>39</v>
      </c>
      <c r="F1181" t="s">
        <v>45</v>
      </c>
      <c r="G1181" t="s">
        <v>59</v>
      </c>
      <c r="H1181" t="s">
        <v>73</v>
      </c>
      <c r="I1181" t="s">
        <v>113</v>
      </c>
      <c r="J1181" t="s">
        <v>23</v>
      </c>
      <c r="K1181" t="s">
        <v>24</v>
      </c>
      <c r="L1181">
        <v>6</v>
      </c>
      <c r="M1181">
        <v>33020</v>
      </c>
      <c r="N1181">
        <v>0</v>
      </c>
      <c r="O1181">
        <v>21790</v>
      </c>
    </row>
    <row r="1182" spans="1:15" x14ac:dyDescent="0.25">
      <c r="A1182" t="s">
        <v>1331</v>
      </c>
      <c r="B1182">
        <v>45892</v>
      </c>
      <c r="C1182" t="s">
        <v>16</v>
      </c>
      <c r="D1182" t="s">
        <v>82</v>
      </c>
      <c r="E1182" t="s">
        <v>18</v>
      </c>
      <c r="F1182" t="s">
        <v>19</v>
      </c>
      <c r="G1182" t="s">
        <v>20</v>
      </c>
      <c r="H1182" t="s">
        <v>87</v>
      </c>
      <c r="I1182" t="s">
        <v>88</v>
      </c>
      <c r="J1182" t="s">
        <v>23</v>
      </c>
      <c r="K1182" t="s">
        <v>24</v>
      </c>
      <c r="L1182">
        <v>4</v>
      </c>
      <c r="M1182">
        <v>31020</v>
      </c>
      <c r="N1182">
        <v>0.15</v>
      </c>
      <c r="O1182">
        <v>19180</v>
      </c>
    </row>
    <row r="1183" spans="1:15" x14ac:dyDescent="0.25">
      <c r="A1183" t="s">
        <v>1332</v>
      </c>
      <c r="B1183">
        <v>45893</v>
      </c>
      <c r="C1183" t="s">
        <v>37</v>
      </c>
      <c r="D1183" t="s">
        <v>213</v>
      </c>
      <c r="E1183" t="s">
        <v>39</v>
      </c>
      <c r="F1183" t="s">
        <v>45</v>
      </c>
      <c r="G1183" t="s">
        <v>46</v>
      </c>
      <c r="H1183" t="s">
        <v>47</v>
      </c>
      <c r="I1183" t="s">
        <v>48</v>
      </c>
      <c r="J1183" t="s">
        <v>23</v>
      </c>
      <c r="K1183" t="s">
        <v>24</v>
      </c>
      <c r="L1183">
        <v>53</v>
      </c>
      <c r="M1183">
        <v>1920</v>
      </c>
      <c r="N1183">
        <v>0.2</v>
      </c>
      <c r="O1183">
        <v>1280</v>
      </c>
    </row>
    <row r="1184" spans="1:15" x14ac:dyDescent="0.25">
      <c r="A1184" t="s">
        <v>1333</v>
      </c>
      <c r="B1184">
        <v>45895</v>
      </c>
      <c r="C1184" t="s">
        <v>16</v>
      </c>
      <c r="D1184" t="s">
        <v>82</v>
      </c>
      <c r="E1184" t="s">
        <v>26</v>
      </c>
      <c r="F1184" t="s">
        <v>19</v>
      </c>
      <c r="G1184" t="s">
        <v>20</v>
      </c>
      <c r="H1184" t="s">
        <v>87</v>
      </c>
      <c r="I1184" t="s">
        <v>88</v>
      </c>
      <c r="J1184" t="s">
        <v>49</v>
      </c>
      <c r="K1184" t="s">
        <v>24</v>
      </c>
      <c r="L1184">
        <v>2</v>
      </c>
      <c r="M1184">
        <v>32200</v>
      </c>
      <c r="N1184">
        <v>0.08</v>
      </c>
      <c r="O1184">
        <v>21050</v>
      </c>
    </row>
    <row r="1185" spans="1:15" x14ac:dyDescent="0.25">
      <c r="A1185" t="s">
        <v>1334</v>
      </c>
      <c r="B1185">
        <v>45895</v>
      </c>
      <c r="C1185" t="s">
        <v>56</v>
      </c>
      <c r="D1185" t="s">
        <v>103</v>
      </c>
      <c r="E1185" t="s">
        <v>58</v>
      </c>
      <c r="F1185" t="s">
        <v>19</v>
      </c>
      <c r="G1185" t="s">
        <v>27</v>
      </c>
      <c r="H1185" t="s">
        <v>53</v>
      </c>
      <c r="I1185" t="s">
        <v>131</v>
      </c>
      <c r="J1185" t="s">
        <v>23</v>
      </c>
      <c r="K1185" t="s">
        <v>119</v>
      </c>
      <c r="L1185">
        <v>3</v>
      </c>
      <c r="M1185">
        <v>36510</v>
      </c>
      <c r="N1185">
        <v>0.18</v>
      </c>
      <c r="O1185">
        <v>28790</v>
      </c>
    </row>
    <row r="1186" spans="1:15" x14ac:dyDescent="0.25">
      <c r="A1186" t="s">
        <v>1335</v>
      </c>
      <c r="B1186">
        <v>45895</v>
      </c>
      <c r="C1186" t="s">
        <v>42</v>
      </c>
      <c r="D1186" t="s">
        <v>96</v>
      </c>
      <c r="E1186" t="s">
        <v>44</v>
      </c>
      <c r="F1186" t="s">
        <v>19</v>
      </c>
      <c r="G1186" t="s">
        <v>59</v>
      </c>
      <c r="H1186" t="s">
        <v>154</v>
      </c>
      <c r="I1186" t="s">
        <v>249</v>
      </c>
      <c r="J1186" t="s">
        <v>40</v>
      </c>
      <c r="K1186" t="s">
        <v>119</v>
      </c>
      <c r="L1186">
        <v>6</v>
      </c>
      <c r="M1186">
        <v>6230</v>
      </c>
      <c r="N1186">
        <v>0.15</v>
      </c>
      <c r="O1186">
        <v>3540</v>
      </c>
    </row>
    <row r="1187" spans="1:15" x14ac:dyDescent="0.25">
      <c r="A1187" t="s">
        <v>1336</v>
      </c>
      <c r="B1187">
        <v>45895</v>
      </c>
      <c r="C1187" t="s">
        <v>16</v>
      </c>
      <c r="D1187" t="s">
        <v>51</v>
      </c>
      <c r="E1187" t="s">
        <v>32</v>
      </c>
      <c r="F1187" t="s">
        <v>19</v>
      </c>
      <c r="G1187" t="s">
        <v>59</v>
      </c>
      <c r="H1187" t="s">
        <v>73</v>
      </c>
      <c r="I1187" t="s">
        <v>74</v>
      </c>
      <c r="J1187" t="s">
        <v>40</v>
      </c>
      <c r="K1187" t="s">
        <v>119</v>
      </c>
      <c r="L1187">
        <v>4</v>
      </c>
      <c r="M1187">
        <v>43710</v>
      </c>
      <c r="N1187">
        <v>0.1</v>
      </c>
      <c r="O1187">
        <v>30310</v>
      </c>
    </row>
    <row r="1188" spans="1:15" x14ac:dyDescent="0.25">
      <c r="A1188" t="s">
        <v>1337</v>
      </c>
      <c r="B1188">
        <v>45896</v>
      </c>
      <c r="C1188" t="s">
        <v>56</v>
      </c>
      <c r="D1188" t="s">
        <v>133</v>
      </c>
      <c r="E1188" t="s">
        <v>91</v>
      </c>
      <c r="F1188" t="s">
        <v>19</v>
      </c>
      <c r="G1188" t="s">
        <v>46</v>
      </c>
      <c r="H1188" t="s">
        <v>179</v>
      </c>
      <c r="I1188" t="s">
        <v>180</v>
      </c>
      <c r="J1188" t="s">
        <v>23</v>
      </c>
      <c r="K1188" t="s">
        <v>24</v>
      </c>
      <c r="L1188">
        <v>8</v>
      </c>
      <c r="M1188">
        <v>3730</v>
      </c>
      <c r="N1188">
        <v>0.18</v>
      </c>
      <c r="O1188">
        <v>2150</v>
      </c>
    </row>
    <row r="1189" spans="1:15" x14ac:dyDescent="0.25">
      <c r="A1189" t="s">
        <v>1338</v>
      </c>
      <c r="B1189">
        <v>45896</v>
      </c>
      <c r="C1189" t="s">
        <v>56</v>
      </c>
      <c r="D1189" t="s">
        <v>72</v>
      </c>
      <c r="E1189" t="s">
        <v>134</v>
      </c>
      <c r="F1189" t="s">
        <v>92</v>
      </c>
      <c r="G1189" t="s">
        <v>59</v>
      </c>
      <c r="H1189" t="s">
        <v>60</v>
      </c>
      <c r="I1189" t="s">
        <v>61</v>
      </c>
      <c r="J1189" t="s">
        <v>23</v>
      </c>
      <c r="K1189" t="s">
        <v>94</v>
      </c>
      <c r="L1189">
        <v>9</v>
      </c>
      <c r="M1189">
        <v>23640</v>
      </c>
      <c r="N1189">
        <v>0.1</v>
      </c>
      <c r="O1189">
        <v>13740</v>
      </c>
    </row>
    <row r="1190" spans="1:15" x14ac:dyDescent="0.25">
      <c r="A1190" t="s">
        <v>1339</v>
      </c>
      <c r="B1190">
        <v>45897</v>
      </c>
      <c r="C1190" t="s">
        <v>56</v>
      </c>
      <c r="D1190" t="s">
        <v>57</v>
      </c>
      <c r="E1190" t="s">
        <v>91</v>
      </c>
      <c r="F1190" t="s">
        <v>52</v>
      </c>
      <c r="G1190" t="s">
        <v>83</v>
      </c>
      <c r="H1190" t="s">
        <v>136</v>
      </c>
      <c r="I1190" t="s">
        <v>137</v>
      </c>
      <c r="J1190" t="s">
        <v>40</v>
      </c>
      <c r="K1190" t="s">
        <v>24</v>
      </c>
      <c r="L1190">
        <v>33</v>
      </c>
      <c r="M1190">
        <v>1660</v>
      </c>
      <c r="N1190">
        <v>0.25</v>
      </c>
      <c r="O1190">
        <v>1060</v>
      </c>
    </row>
    <row r="1191" spans="1:15" x14ac:dyDescent="0.25">
      <c r="A1191" t="s">
        <v>1340</v>
      </c>
      <c r="B1191">
        <v>45897</v>
      </c>
      <c r="C1191" t="s">
        <v>56</v>
      </c>
      <c r="D1191" t="s">
        <v>127</v>
      </c>
      <c r="E1191" t="s">
        <v>134</v>
      </c>
      <c r="F1191" t="s">
        <v>92</v>
      </c>
      <c r="G1191" t="s">
        <v>59</v>
      </c>
      <c r="H1191" t="s">
        <v>60</v>
      </c>
      <c r="I1191" t="s">
        <v>200</v>
      </c>
      <c r="J1191" t="s">
        <v>49</v>
      </c>
      <c r="K1191" t="s">
        <v>24</v>
      </c>
      <c r="L1191">
        <v>24</v>
      </c>
      <c r="M1191">
        <v>8720</v>
      </c>
      <c r="N1191">
        <v>0.08</v>
      </c>
      <c r="O1191">
        <v>6720</v>
      </c>
    </row>
    <row r="1192" spans="1:15" x14ac:dyDescent="0.25">
      <c r="A1192" t="s">
        <v>1341</v>
      </c>
      <c r="B1192">
        <v>45897</v>
      </c>
      <c r="C1192" t="s">
        <v>76</v>
      </c>
      <c r="D1192" t="s">
        <v>77</v>
      </c>
      <c r="E1192" t="s">
        <v>170</v>
      </c>
      <c r="F1192" t="s">
        <v>92</v>
      </c>
      <c r="G1192" t="s">
        <v>20</v>
      </c>
      <c r="H1192" t="s">
        <v>87</v>
      </c>
      <c r="I1192" t="s">
        <v>88</v>
      </c>
      <c r="J1192" t="s">
        <v>40</v>
      </c>
      <c r="K1192" t="s">
        <v>24</v>
      </c>
      <c r="L1192">
        <v>1</v>
      </c>
      <c r="M1192">
        <v>33020</v>
      </c>
      <c r="N1192">
        <v>0.05</v>
      </c>
      <c r="O1192">
        <v>21650</v>
      </c>
    </row>
    <row r="1193" spans="1:15" x14ac:dyDescent="0.25">
      <c r="A1193" t="s">
        <v>1342</v>
      </c>
      <c r="B1193">
        <v>45898</v>
      </c>
      <c r="C1193" t="s">
        <v>76</v>
      </c>
      <c r="D1193" t="s">
        <v>112</v>
      </c>
      <c r="E1193" t="s">
        <v>170</v>
      </c>
      <c r="F1193" t="s">
        <v>92</v>
      </c>
      <c r="G1193" t="s">
        <v>27</v>
      </c>
      <c r="H1193" t="s">
        <v>28</v>
      </c>
      <c r="I1193" t="s">
        <v>29</v>
      </c>
      <c r="J1193" t="s">
        <v>40</v>
      </c>
      <c r="K1193" t="s">
        <v>24</v>
      </c>
      <c r="L1193">
        <v>4</v>
      </c>
      <c r="M1193">
        <v>27320</v>
      </c>
      <c r="N1193">
        <v>0.18</v>
      </c>
      <c r="O1193">
        <v>15440</v>
      </c>
    </row>
    <row r="1194" spans="1:15" x14ac:dyDescent="0.25">
      <c r="A1194" t="s">
        <v>1343</v>
      </c>
      <c r="B1194">
        <v>45898</v>
      </c>
      <c r="C1194" t="s">
        <v>42</v>
      </c>
      <c r="D1194" t="s">
        <v>130</v>
      </c>
      <c r="E1194" t="s">
        <v>44</v>
      </c>
      <c r="F1194" t="s">
        <v>45</v>
      </c>
      <c r="G1194" t="s">
        <v>59</v>
      </c>
      <c r="H1194" t="s">
        <v>60</v>
      </c>
      <c r="I1194" t="s">
        <v>61</v>
      </c>
      <c r="J1194" t="s">
        <v>40</v>
      </c>
      <c r="K1194" t="s">
        <v>24</v>
      </c>
      <c r="L1194">
        <v>13</v>
      </c>
      <c r="M1194">
        <v>23310</v>
      </c>
      <c r="N1194">
        <v>0.18</v>
      </c>
      <c r="O1194">
        <v>13310</v>
      </c>
    </row>
    <row r="1195" spans="1:15" x14ac:dyDescent="0.25">
      <c r="A1195" t="s">
        <v>1344</v>
      </c>
      <c r="B1195">
        <v>45900</v>
      </c>
      <c r="C1195" t="s">
        <v>16</v>
      </c>
      <c r="D1195" t="s">
        <v>153</v>
      </c>
      <c r="E1195" t="s">
        <v>26</v>
      </c>
      <c r="F1195" t="s">
        <v>19</v>
      </c>
      <c r="G1195" t="s">
        <v>46</v>
      </c>
      <c r="H1195" t="s">
        <v>47</v>
      </c>
      <c r="I1195" t="s">
        <v>259</v>
      </c>
      <c r="J1195" t="s">
        <v>49</v>
      </c>
      <c r="K1195" t="s">
        <v>35</v>
      </c>
      <c r="L1195">
        <v>35</v>
      </c>
      <c r="M1195">
        <v>2920</v>
      </c>
      <c r="N1195">
        <v>0.15</v>
      </c>
      <c r="O1195">
        <v>1830</v>
      </c>
    </row>
    <row r="1196" spans="1:15" x14ac:dyDescent="0.25">
      <c r="A1196" t="s">
        <v>1345</v>
      </c>
      <c r="B1196">
        <v>45902</v>
      </c>
      <c r="C1196" t="s">
        <v>56</v>
      </c>
      <c r="D1196" t="s">
        <v>143</v>
      </c>
      <c r="E1196" t="s">
        <v>58</v>
      </c>
      <c r="F1196" t="s">
        <v>52</v>
      </c>
      <c r="G1196" t="s">
        <v>20</v>
      </c>
      <c r="H1196" t="s">
        <v>21</v>
      </c>
      <c r="I1196" t="s">
        <v>22</v>
      </c>
      <c r="J1196" t="s">
        <v>49</v>
      </c>
      <c r="K1196" t="s">
        <v>24</v>
      </c>
      <c r="L1196">
        <v>25</v>
      </c>
      <c r="M1196">
        <v>1740</v>
      </c>
      <c r="N1196">
        <v>0.08</v>
      </c>
      <c r="O1196">
        <v>1190</v>
      </c>
    </row>
    <row r="1197" spans="1:15" x14ac:dyDescent="0.25">
      <c r="A1197" t="s">
        <v>1346</v>
      </c>
      <c r="B1197">
        <v>45902</v>
      </c>
      <c r="C1197" t="s">
        <v>42</v>
      </c>
      <c r="D1197" t="s">
        <v>265</v>
      </c>
      <c r="E1197" t="s">
        <v>97</v>
      </c>
      <c r="F1197" t="s">
        <v>52</v>
      </c>
      <c r="G1197" t="s">
        <v>83</v>
      </c>
      <c r="H1197" t="s">
        <v>184</v>
      </c>
      <c r="I1197" t="s">
        <v>185</v>
      </c>
      <c r="J1197" t="s">
        <v>40</v>
      </c>
      <c r="K1197" t="s">
        <v>24</v>
      </c>
      <c r="L1197">
        <v>11</v>
      </c>
      <c r="M1197">
        <v>4860</v>
      </c>
      <c r="N1197">
        <v>0.05</v>
      </c>
      <c r="O1197">
        <v>3240</v>
      </c>
    </row>
    <row r="1198" spans="1:15" x14ac:dyDescent="0.25">
      <c r="A1198" t="s">
        <v>1347</v>
      </c>
      <c r="B1198">
        <v>45903</v>
      </c>
      <c r="C1198" t="s">
        <v>16</v>
      </c>
      <c r="D1198" t="s">
        <v>51</v>
      </c>
      <c r="E1198" t="s">
        <v>18</v>
      </c>
      <c r="F1198" t="s">
        <v>19</v>
      </c>
      <c r="G1198" t="s">
        <v>59</v>
      </c>
      <c r="H1198" t="s">
        <v>73</v>
      </c>
      <c r="I1198" t="s">
        <v>74</v>
      </c>
      <c r="J1198" t="s">
        <v>49</v>
      </c>
      <c r="K1198" t="s">
        <v>24</v>
      </c>
      <c r="L1198">
        <v>2</v>
      </c>
      <c r="M1198">
        <v>45950</v>
      </c>
      <c r="N1198">
        <v>0.08</v>
      </c>
      <c r="O1198">
        <v>26530</v>
      </c>
    </row>
    <row r="1199" spans="1:15" x14ac:dyDescent="0.25">
      <c r="A1199" t="s">
        <v>1348</v>
      </c>
      <c r="B1199">
        <v>45904</v>
      </c>
      <c r="C1199" t="s">
        <v>42</v>
      </c>
      <c r="D1199" t="s">
        <v>43</v>
      </c>
      <c r="E1199" t="s">
        <v>44</v>
      </c>
      <c r="F1199" t="s">
        <v>19</v>
      </c>
      <c r="G1199" t="s">
        <v>83</v>
      </c>
      <c r="H1199" t="s">
        <v>184</v>
      </c>
      <c r="I1199" t="s">
        <v>196</v>
      </c>
      <c r="J1199" t="s">
        <v>49</v>
      </c>
      <c r="K1199" t="s">
        <v>24</v>
      </c>
      <c r="L1199">
        <v>9</v>
      </c>
      <c r="M1199">
        <v>3410</v>
      </c>
      <c r="N1199">
        <v>0</v>
      </c>
      <c r="O1199">
        <v>1970</v>
      </c>
    </row>
    <row r="1200" spans="1:15" x14ac:dyDescent="0.25">
      <c r="A1200" t="s">
        <v>1349</v>
      </c>
      <c r="B1200">
        <v>45904</v>
      </c>
      <c r="C1200" t="s">
        <v>37</v>
      </c>
      <c r="D1200" t="s">
        <v>115</v>
      </c>
      <c r="E1200" t="s">
        <v>39</v>
      </c>
      <c r="F1200" t="s">
        <v>19</v>
      </c>
      <c r="G1200" t="s">
        <v>46</v>
      </c>
      <c r="H1200" t="s">
        <v>179</v>
      </c>
      <c r="I1200" t="s">
        <v>221</v>
      </c>
      <c r="J1200" t="s">
        <v>40</v>
      </c>
      <c r="K1200" t="s">
        <v>119</v>
      </c>
      <c r="L1200">
        <v>3</v>
      </c>
      <c r="M1200">
        <v>1610</v>
      </c>
      <c r="N1200">
        <v>0.15</v>
      </c>
      <c r="O1200">
        <v>1080</v>
      </c>
    </row>
    <row r="1201" spans="1:15" x14ac:dyDescent="0.25">
      <c r="A1201" t="s">
        <v>1350</v>
      </c>
      <c r="B1201">
        <v>45904</v>
      </c>
      <c r="C1201" t="s">
        <v>42</v>
      </c>
      <c r="D1201" t="s">
        <v>43</v>
      </c>
      <c r="E1201" t="s">
        <v>64</v>
      </c>
      <c r="F1201" t="s">
        <v>19</v>
      </c>
      <c r="G1201" t="s">
        <v>20</v>
      </c>
      <c r="H1201" t="s">
        <v>21</v>
      </c>
      <c r="I1201" t="s">
        <v>362</v>
      </c>
      <c r="J1201" t="s">
        <v>23</v>
      </c>
      <c r="K1201" t="s">
        <v>24</v>
      </c>
      <c r="L1201">
        <v>8</v>
      </c>
      <c r="M1201">
        <v>9780</v>
      </c>
      <c r="N1201">
        <v>0</v>
      </c>
      <c r="O1201">
        <v>7170</v>
      </c>
    </row>
    <row r="1202" spans="1:15" x14ac:dyDescent="0.25">
      <c r="A1202" t="s">
        <v>1351</v>
      </c>
      <c r="B1202">
        <v>45905</v>
      </c>
      <c r="C1202" t="s">
        <v>42</v>
      </c>
      <c r="D1202" t="s">
        <v>43</v>
      </c>
      <c r="E1202" t="s">
        <v>44</v>
      </c>
      <c r="F1202" t="s">
        <v>45</v>
      </c>
      <c r="G1202" t="s">
        <v>83</v>
      </c>
      <c r="H1202" t="s">
        <v>84</v>
      </c>
      <c r="I1202" t="s">
        <v>85</v>
      </c>
      <c r="J1202" t="s">
        <v>40</v>
      </c>
      <c r="K1202" t="s">
        <v>119</v>
      </c>
      <c r="L1202">
        <v>9</v>
      </c>
      <c r="M1202">
        <v>2420</v>
      </c>
      <c r="N1202">
        <v>0.15</v>
      </c>
      <c r="O1202">
        <v>1570</v>
      </c>
    </row>
    <row r="1203" spans="1:15" x14ac:dyDescent="0.25">
      <c r="A1203" t="s">
        <v>1352</v>
      </c>
      <c r="B1203">
        <v>45905</v>
      </c>
      <c r="C1203" t="s">
        <v>56</v>
      </c>
      <c r="D1203" t="s">
        <v>127</v>
      </c>
      <c r="E1203" t="s">
        <v>91</v>
      </c>
      <c r="F1203" t="s">
        <v>19</v>
      </c>
      <c r="G1203" t="s">
        <v>20</v>
      </c>
      <c r="H1203" t="s">
        <v>87</v>
      </c>
      <c r="I1203" t="s">
        <v>105</v>
      </c>
      <c r="J1203" t="s">
        <v>23</v>
      </c>
      <c r="K1203" t="s">
        <v>119</v>
      </c>
      <c r="L1203">
        <v>4</v>
      </c>
      <c r="M1203">
        <v>51500</v>
      </c>
      <c r="N1203">
        <v>0.1</v>
      </c>
      <c r="O1203">
        <v>35830</v>
      </c>
    </row>
    <row r="1204" spans="1:15" x14ac:dyDescent="0.25">
      <c r="A1204" t="s">
        <v>1353</v>
      </c>
      <c r="B1204">
        <v>45906</v>
      </c>
      <c r="C1204" t="s">
        <v>42</v>
      </c>
      <c r="D1204" t="s">
        <v>123</v>
      </c>
      <c r="E1204" t="s">
        <v>44</v>
      </c>
      <c r="F1204" t="s">
        <v>52</v>
      </c>
      <c r="G1204" t="s">
        <v>20</v>
      </c>
      <c r="H1204" t="s">
        <v>109</v>
      </c>
      <c r="I1204" t="s">
        <v>110</v>
      </c>
      <c r="J1204" t="s">
        <v>40</v>
      </c>
      <c r="K1204" t="s">
        <v>24</v>
      </c>
      <c r="L1204">
        <v>3</v>
      </c>
      <c r="M1204">
        <v>70190</v>
      </c>
      <c r="N1204">
        <v>0.18</v>
      </c>
      <c r="O1204">
        <v>54090</v>
      </c>
    </row>
    <row r="1205" spans="1:15" x14ac:dyDescent="0.25">
      <c r="A1205" t="s">
        <v>1354</v>
      </c>
      <c r="B1205">
        <v>45906</v>
      </c>
      <c r="C1205" t="s">
        <v>76</v>
      </c>
      <c r="D1205" t="s">
        <v>99</v>
      </c>
      <c r="E1205" t="s">
        <v>170</v>
      </c>
      <c r="F1205" t="s">
        <v>19</v>
      </c>
      <c r="G1205" t="s">
        <v>59</v>
      </c>
      <c r="H1205" t="s">
        <v>154</v>
      </c>
      <c r="I1205" t="s">
        <v>155</v>
      </c>
      <c r="J1205" t="s">
        <v>40</v>
      </c>
      <c r="K1205" t="s">
        <v>24</v>
      </c>
      <c r="L1205">
        <v>2</v>
      </c>
      <c r="M1205">
        <v>12510</v>
      </c>
      <c r="N1205">
        <v>0.15</v>
      </c>
      <c r="O1205">
        <v>8020</v>
      </c>
    </row>
    <row r="1206" spans="1:15" x14ac:dyDescent="0.25">
      <c r="A1206" t="s">
        <v>1355</v>
      </c>
      <c r="B1206">
        <v>45906</v>
      </c>
      <c r="C1206" t="s">
        <v>16</v>
      </c>
      <c r="D1206" t="s">
        <v>17</v>
      </c>
      <c r="E1206" t="s">
        <v>26</v>
      </c>
      <c r="F1206" t="s">
        <v>19</v>
      </c>
      <c r="G1206" t="s">
        <v>20</v>
      </c>
      <c r="H1206" t="s">
        <v>87</v>
      </c>
      <c r="I1206" t="s">
        <v>88</v>
      </c>
      <c r="J1206" t="s">
        <v>40</v>
      </c>
      <c r="K1206" t="s">
        <v>24</v>
      </c>
      <c r="L1206">
        <v>1</v>
      </c>
      <c r="M1206">
        <v>32130</v>
      </c>
      <c r="N1206">
        <v>0.05</v>
      </c>
      <c r="O1206">
        <v>24100</v>
      </c>
    </row>
    <row r="1207" spans="1:15" x14ac:dyDescent="0.25">
      <c r="A1207" t="s">
        <v>1356</v>
      </c>
      <c r="B1207">
        <v>45908</v>
      </c>
      <c r="C1207" t="s">
        <v>56</v>
      </c>
      <c r="D1207" t="s">
        <v>143</v>
      </c>
      <c r="E1207" t="s">
        <v>134</v>
      </c>
      <c r="F1207" t="s">
        <v>52</v>
      </c>
      <c r="G1207" t="s">
        <v>46</v>
      </c>
      <c r="H1207" t="s">
        <v>47</v>
      </c>
      <c r="I1207" t="s">
        <v>259</v>
      </c>
      <c r="J1207" t="s">
        <v>23</v>
      </c>
      <c r="K1207" t="s">
        <v>24</v>
      </c>
      <c r="L1207">
        <v>16</v>
      </c>
      <c r="M1207">
        <v>2890</v>
      </c>
      <c r="N1207">
        <v>0.08</v>
      </c>
      <c r="O1207">
        <v>1810</v>
      </c>
    </row>
    <row r="1208" spans="1:15" x14ac:dyDescent="0.25">
      <c r="A1208" t="s">
        <v>1357</v>
      </c>
      <c r="B1208">
        <v>45908</v>
      </c>
      <c r="C1208" t="s">
        <v>16</v>
      </c>
      <c r="D1208" t="s">
        <v>82</v>
      </c>
      <c r="E1208" t="s">
        <v>32</v>
      </c>
      <c r="F1208" t="s">
        <v>19</v>
      </c>
      <c r="G1208" t="s">
        <v>46</v>
      </c>
      <c r="H1208" t="s">
        <v>100</v>
      </c>
      <c r="I1208" t="s">
        <v>177</v>
      </c>
      <c r="J1208" t="s">
        <v>23</v>
      </c>
      <c r="K1208" t="s">
        <v>24</v>
      </c>
      <c r="L1208">
        <v>36</v>
      </c>
      <c r="M1208">
        <v>2530</v>
      </c>
      <c r="N1208">
        <v>0.08</v>
      </c>
      <c r="O1208">
        <v>1650</v>
      </c>
    </row>
    <row r="1209" spans="1:15" x14ac:dyDescent="0.25">
      <c r="A1209" t="s">
        <v>1358</v>
      </c>
      <c r="B1209">
        <v>45908</v>
      </c>
      <c r="C1209" t="s">
        <v>76</v>
      </c>
      <c r="D1209" t="s">
        <v>150</v>
      </c>
      <c r="E1209" t="s">
        <v>170</v>
      </c>
      <c r="F1209" t="s">
        <v>52</v>
      </c>
      <c r="G1209" t="s">
        <v>83</v>
      </c>
      <c r="H1209" t="s">
        <v>136</v>
      </c>
      <c r="I1209" t="s">
        <v>137</v>
      </c>
      <c r="J1209" t="s">
        <v>40</v>
      </c>
      <c r="K1209" t="s">
        <v>94</v>
      </c>
      <c r="L1209">
        <v>28</v>
      </c>
      <c r="M1209">
        <v>1670</v>
      </c>
      <c r="N1209">
        <v>0.1</v>
      </c>
      <c r="O1209">
        <v>1130</v>
      </c>
    </row>
    <row r="1210" spans="1:15" x14ac:dyDescent="0.25">
      <c r="A1210" t="s">
        <v>1359</v>
      </c>
      <c r="B1210">
        <v>45908</v>
      </c>
      <c r="C1210" t="s">
        <v>37</v>
      </c>
      <c r="D1210" t="s">
        <v>115</v>
      </c>
      <c r="E1210" t="s">
        <v>39</v>
      </c>
      <c r="F1210" t="s">
        <v>19</v>
      </c>
      <c r="G1210" t="s">
        <v>20</v>
      </c>
      <c r="H1210" t="s">
        <v>21</v>
      </c>
      <c r="I1210" t="s">
        <v>22</v>
      </c>
      <c r="J1210" t="s">
        <v>23</v>
      </c>
      <c r="K1210" t="s">
        <v>24</v>
      </c>
      <c r="L1210">
        <v>3</v>
      </c>
      <c r="M1210">
        <v>1840</v>
      </c>
      <c r="N1210">
        <v>0.25</v>
      </c>
      <c r="O1210">
        <v>1320</v>
      </c>
    </row>
    <row r="1211" spans="1:15" x14ac:dyDescent="0.25">
      <c r="A1211" t="s">
        <v>1360</v>
      </c>
      <c r="B1211">
        <v>45909</v>
      </c>
      <c r="C1211" t="s">
        <v>16</v>
      </c>
      <c r="D1211" t="s">
        <v>17</v>
      </c>
      <c r="E1211" t="s">
        <v>18</v>
      </c>
      <c r="F1211" t="s">
        <v>19</v>
      </c>
      <c r="G1211" t="s">
        <v>59</v>
      </c>
      <c r="H1211" t="s">
        <v>73</v>
      </c>
      <c r="I1211" t="s">
        <v>74</v>
      </c>
      <c r="J1211" t="s">
        <v>40</v>
      </c>
      <c r="K1211" t="s">
        <v>119</v>
      </c>
      <c r="L1211">
        <v>2</v>
      </c>
      <c r="M1211">
        <v>46690</v>
      </c>
      <c r="N1211">
        <v>0.1</v>
      </c>
      <c r="O1211">
        <v>28600</v>
      </c>
    </row>
    <row r="1212" spans="1:15" x14ac:dyDescent="0.25">
      <c r="A1212" t="s">
        <v>1361</v>
      </c>
      <c r="B1212">
        <v>45909</v>
      </c>
      <c r="C1212" t="s">
        <v>16</v>
      </c>
      <c r="D1212" t="s">
        <v>191</v>
      </c>
      <c r="E1212" t="s">
        <v>18</v>
      </c>
      <c r="F1212" t="s">
        <v>45</v>
      </c>
      <c r="G1212" t="s">
        <v>46</v>
      </c>
      <c r="H1212" t="s">
        <v>100</v>
      </c>
      <c r="I1212" t="s">
        <v>177</v>
      </c>
      <c r="J1212" t="s">
        <v>23</v>
      </c>
      <c r="K1212" t="s">
        <v>24</v>
      </c>
      <c r="L1212">
        <v>22</v>
      </c>
      <c r="M1212">
        <v>2520</v>
      </c>
      <c r="N1212">
        <v>0.2</v>
      </c>
      <c r="O1212">
        <v>1580</v>
      </c>
    </row>
    <row r="1213" spans="1:15" x14ac:dyDescent="0.25">
      <c r="A1213" t="s">
        <v>1362</v>
      </c>
      <c r="B1213">
        <v>45909</v>
      </c>
      <c r="C1213" t="s">
        <v>42</v>
      </c>
      <c r="D1213" t="s">
        <v>123</v>
      </c>
      <c r="E1213" t="s">
        <v>97</v>
      </c>
      <c r="F1213" t="s">
        <v>52</v>
      </c>
      <c r="G1213" t="s">
        <v>46</v>
      </c>
      <c r="H1213" t="s">
        <v>47</v>
      </c>
      <c r="I1213" t="s">
        <v>48</v>
      </c>
      <c r="J1213" t="s">
        <v>23</v>
      </c>
      <c r="K1213" t="s">
        <v>24</v>
      </c>
      <c r="L1213">
        <v>29</v>
      </c>
      <c r="M1213">
        <v>1740</v>
      </c>
      <c r="N1213">
        <v>0</v>
      </c>
      <c r="O1213">
        <v>1330</v>
      </c>
    </row>
    <row r="1214" spans="1:15" x14ac:dyDescent="0.25">
      <c r="A1214" t="s">
        <v>1363</v>
      </c>
      <c r="B1214">
        <v>45909</v>
      </c>
      <c r="C1214" t="s">
        <v>16</v>
      </c>
      <c r="D1214" t="s">
        <v>153</v>
      </c>
      <c r="E1214" t="s">
        <v>26</v>
      </c>
      <c r="F1214" t="s">
        <v>19</v>
      </c>
      <c r="G1214" t="s">
        <v>20</v>
      </c>
      <c r="H1214" t="s">
        <v>87</v>
      </c>
      <c r="I1214" t="s">
        <v>88</v>
      </c>
      <c r="J1214" t="s">
        <v>23</v>
      </c>
      <c r="K1214" t="s">
        <v>24</v>
      </c>
      <c r="L1214">
        <v>2</v>
      </c>
      <c r="M1214">
        <v>33520</v>
      </c>
      <c r="N1214">
        <v>0.08</v>
      </c>
      <c r="O1214">
        <v>24140</v>
      </c>
    </row>
    <row r="1215" spans="1:15" x14ac:dyDescent="0.25">
      <c r="A1215" t="s">
        <v>1364</v>
      </c>
      <c r="B1215">
        <v>45910</v>
      </c>
      <c r="C1215" t="s">
        <v>42</v>
      </c>
      <c r="D1215" t="s">
        <v>130</v>
      </c>
      <c r="E1215" t="s">
        <v>97</v>
      </c>
      <c r="F1215" t="s">
        <v>19</v>
      </c>
      <c r="G1215" t="s">
        <v>59</v>
      </c>
      <c r="H1215" t="s">
        <v>60</v>
      </c>
      <c r="I1215" t="s">
        <v>200</v>
      </c>
      <c r="J1215" t="s">
        <v>23</v>
      </c>
      <c r="K1215" t="s">
        <v>24</v>
      </c>
      <c r="L1215">
        <v>4</v>
      </c>
      <c r="M1215">
        <v>8170</v>
      </c>
      <c r="N1215">
        <v>0.1</v>
      </c>
      <c r="O1215">
        <v>5670</v>
      </c>
    </row>
    <row r="1216" spans="1:15" x14ac:dyDescent="0.25">
      <c r="A1216" t="s">
        <v>1365</v>
      </c>
      <c r="B1216">
        <v>45910</v>
      </c>
      <c r="C1216" t="s">
        <v>76</v>
      </c>
      <c r="D1216" t="s">
        <v>125</v>
      </c>
      <c r="E1216" t="s">
        <v>170</v>
      </c>
      <c r="F1216" t="s">
        <v>52</v>
      </c>
      <c r="G1216" t="s">
        <v>20</v>
      </c>
      <c r="H1216" t="s">
        <v>21</v>
      </c>
      <c r="I1216" t="s">
        <v>65</v>
      </c>
      <c r="J1216" t="s">
        <v>40</v>
      </c>
      <c r="K1216" t="s">
        <v>24</v>
      </c>
      <c r="L1216">
        <v>8</v>
      </c>
      <c r="M1216">
        <v>8270</v>
      </c>
      <c r="N1216">
        <v>0</v>
      </c>
      <c r="O1216">
        <v>5510</v>
      </c>
    </row>
    <row r="1217" spans="1:15" x14ac:dyDescent="0.25">
      <c r="A1217" t="s">
        <v>1366</v>
      </c>
      <c r="B1217">
        <v>45910</v>
      </c>
      <c r="C1217" t="s">
        <v>42</v>
      </c>
      <c r="D1217" t="s">
        <v>146</v>
      </c>
      <c r="E1217" t="s">
        <v>44</v>
      </c>
      <c r="F1217" t="s">
        <v>92</v>
      </c>
      <c r="G1217" t="s">
        <v>46</v>
      </c>
      <c r="H1217" t="s">
        <v>179</v>
      </c>
      <c r="I1217" t="s">
        <v>221</v>
      </c>
      <c r="J1217" t="s">
        <v>40</v>
      </c>
      <c r="K1217" t="s">
        <v>119</v>
      </c>
      <c r="L1217">
        <v>37</v>
      </c>
      <c r="M1217">
        <v>1610</v>
      </c>
      <c r="N1217">
        <v>0.08</v>
      </c>
      <c r="O1217">
        <v>960</v>
      </c>
    </row>
    <row r="1218" spans="1:15" x14ac:dyDescent="0.25">
      <c r="A1218" t="s">
        <v>1367</v>
      </c>
      <c r="B1218">
        <v>45911</v>
      </c>
      <c r="C1218" t="s">
        <v>42</v>
      </c>
      <c r="D1218" t="s">
        <v>265</v>
      </c>
      <c r="E1218" t="s">
        <v>97</v>
      </c>
      <c r="F1218" t="s">
        <v>19</v>
      </c>
      <c r="G1218" t="s">
        <v>20</v>
      </c>
      <c r="H1218" t="s">
        <v>21</v>
      </c>
      <c r="I1218" t="s">
        <v>65</v>
      </c>
      <c r="J1218" t="s">
        <v>49</v>
      </c>
      <c r="K1218" t="s">
        <v>24</v>
      </c>
      <c r="L1218">
        <v>4</v>
      </c>
      <c r="M1218">
        <v>8350</v>
      </c>
      <c r="N1218">
        <v>0.05</v>
      </c>
      <c r="O1218">
        <v>6360</v>
      </c>
    </row>
    <row r="1219" spans="1:15" x14ac:dyDescent="0.25">
      <c r="A1219" t="s">
        <v>1368</v>
      </c>
      <c r="B1219">
        <v>45911</v>
      </c>
      <c r="C1219" t="s">
        <v>42</v>
      </c>
      <c r="D1219" t="s">
        <v>43</v>
      </c>
      <c r="E1219" t="s">
        <v>64</v>
      </c>
      <c r="F1219" t="s">
        <v>92</v>
      </c>
      <c r="G1219" t="s">
        <v>83</v>
      </c>
      <c r="H1219" t="s">
        <v>84</v>
      </c>
      <c r="I1219" t="s">
        <v>292</v>
      </c>
      <c r="J1219" t="s">
        <v>49</v>
      </c>
      <c r="K1219" t="s">
        <v>24</v>
      </c>
      <c r="L1219">
        <v>3</v>
      </c>
      <c r="M1219">
        <v>41810</v>
      </c>
      <c r="N1219">
        <v>0</v>
      </c>
      <c r="O1219">
        <v>30330</v>
      </c>
    </row>
    <row r="1220" spans="1:15" x14ac:dyDescent="0.25">
      <c r="A1220" t="s">
        <v>1369</v>
      </c>
      <c r="B1220">
        <v>45911</v>
      </c>
      <c r="C1220" t="s">
        <v>42</v>
      </c>
      <c r="D1220" t="s">
        <v>130</v>
      </c>
      <c r="E1220" t="s">
        <v>64</v>
      </c>
      <c r="F1220" t="s">
        <v>52</v>
      </c>
      <c r="G1220" t="s">
        <v>20</v>
      </c>
      <c r="H1220" t="s">
        <v>21</v>
      </c>
      <c r="I1220" t="s">
        <v>65</v>
      </c>
      <c r="J1220" t="s">
        <v>23</v>
      </c>
      <c r="K1220" t="s">
        <v>24</v>
      </c>
      <c r="L1220">
        <v>14</v>
      </c>
      <c r="M1220">
        <v>8350</v>
      </c>
      <c r="N1220">
        <v>0</v>
      </c>
      <c r="O1220">
        <v>5470</v>
      </c>
    </row>
    <row r="1221" spans="1:15" x14ac:dyDescent="0.25">
      <c r="A1221" t="s">
        <v>1370</v>
      </c>
      <c r="B1221">
        <v>45911</v>
      </c>
      <c r="C1221" t="s">
        <v>76</v>
      </c>
      <c r="D1221" t="s">
        <v>125</v>
      </c>
      <c r="E1221" t="s">
        <v>170</v>
      </c>
      <c r="F1221" t="s">
        <v>45</v>
      </c>
      <c r="G1221" t="s">
        <v>46</v>
      </c>
      <c r="H1221" t="s">
        <v>100</v>
      </c>
      <c r="I1221" t="s">
        <v>101</v>
      </c>
      <c r="J1221" t="s">
        <v>23</v>
      </c>
      <c r="K1221" t="s">
        <v>24</v>
      </c>
      <c r="L1221">
        <v>44</v>
      </c>
      <c r="M1221">
        <v>2010</v>
      </c>
      <c r="N1221">
        <v>0.1</v>
      </c>
      <c r="O1221">
        <v>1450</v>
      </c>
    </row>
    <row r="1222" spans="1:15" x14ac:dyDescent="0.25">
      <c r="A1222" t="s">
        <v>1371</v>
      </c>
      <c r="B1222">
        <v>45912</v>
      </c>
      <c r="C1222" t="s">
        <v>56</v>
      </c>
      <c r="D1222" t="s">
        <v>127</v>
      </c>
      <c r="E1222" t="s">
        <v>134</v>
      </c>
      <c r="F1222" t="s">
        <v>52</v>
      </c>
      <c r="G1222" t="s">
        <v>46</v>
      </c>
      <c r="H1222" t="s">
        <v>47</v>
      </c>
      <c r="I1222" t="s">
        <v>259</v>
      </c>
      <c r="J1222" t="s">
        <v>40</v>
      </c>
      <c r="K1222" t="s">
        <v>24</v>
      </c>
      <c r="L1222">
        <v>36</v>
      </c>
      <c r="M1222">
        <v>2720</v>
      </c>
      <c r="N1222">
        <v>0.25</v>
      </c>
      <c r="O1222">
        <v>1950</v>
      </c>
    </row>
    <row r="1223" spans="1:15" x14ac:dyDescent="0.25">
      <c r="A1223" t="s">
        <v>1372</v>
      </c>
      <c r="B1223">
        <v>45914</v>
      </c>
      <c r="C1223" t="s">
        <v>56</v>
      </c>
      <c r="D1223" t="s">
        <v>127</v>
      </c>
      <c r="E1223" t="s">
        <v>58</v>
      </c>
      <c r="F1223" t="s">
        <v>19</v>
      </c>
      <c r="G1223" t="s">
        <v>59</v>
      </c>
      <c r="H1223" t="s">
        <v>69</v>
      </c>
      <c r="I1223" t="s">
        <v>70</v>
      </c>
      <c r="J1223" t="s">
        <v>40</v>
      </c>
      <c r="K1223" t="s">
        <v>119</v>
      </c>
      <c r="L1223">
        <v>5</v>
      </c>
      <c r="M1223">
        <v>26610</v>
      </c>
      <c r="N1223">
        <v>0.1</v>
      </c>
      <c r="O1223">
        <v>17530</v>
      </c>
    </row>
    <row r="1224" spans="1:15" x14ac:dyDescent="0.25">
      <c r="A1224" t="s">
        <v>1373</v>
      </c>
      <c r="B1224">
        <v>45915</v>
      </c>
      <c r="C1224" t="s">
        <v>76</v>
      </c>
      <c r="D1224" t="s">
        <v>217</v>
      </c>
      <c r="E1224" t="s">
        <v>78</v>
      </c>
      <c r="F1224" t="s">
        <v>45</v>
      </c>
      <c r="G1224" t="s">
        <v>20</v>
      </c>
      <c r="H1224" t="s">
        <v>33</v>
      </c>
      <c r="I1224" t="s">
        <v>139</v>
      </c>
      <c r="J1224" t="s">
        <v>23</v>
      </c>
      <c r="K1224" t="s">
        <v>24</v>
      </c>
      <c r="L1224">
        <v>4</v>
      </c>
      <c r="M1224">
        <v>66900</v>
      </c>
      <c r="N1224">
        <v>0.15</v>
      </c>
      <c r="O1224">
        <v>39210</v>
      </c>
    </row>
    <row r="1225" spans="1:15" x14ac:dyDescent="0.25">
      <c r="A1225" t="s">
        <v>1374</v>
      </c>
      <c r="B1225">
        <v>45915</v>
      </c>
      <c r="C1225" t="s">
        <v>16</v>
      </c>
      <c r="D1225" t="s">
        <v>51</v>
      </c>
      <c r="E1225" t="s">
        <v>26</v>
      </c>
      <c r="F1225" t="s">
        <v>45</v>
      </c>
      <c r="G1225" t="s">
        <v>46</v>
      </c>
      <c r="H1225" t="s">
        <v>179</v>
      </c>
      <c r="I1225" t="s">
        <v>236</v>
      </c>
      <c r="J1225" t="s">
        <v>23</v>
      </c>
      <c r="K1225" t="s">
        <v>24</v>
      </c>
      <c r="L1225">
        <v>45</v>
      </c>
      <c r="M1225">
        <v>2340</v>
      </c>
      <c r="N1225">
        <v>0.18</v>
      </c>
      <c r="O1225">
        <v>1620</v>
      </c>
    </row>
    <row r="1226" spans="1:15" x14ac:dyDescent="0.25">
      <c r="A1226" t="s">
        <v>1375</v>
      </c>
      <c r="B1226">
        <v>45915</v>
      </c>
      <c r="C1226" t="s">
        <v>16</v>
      </c>
      <c r="D1226" t="s">
        <v>153</v>
      </c>
      <c r="E1226" t="s">
        <v>18</v>
      </c>
      <c r="F1226" t="s">
        <v>45</v>
      </c>
      <c r="G1226" t="s">
        <v>27</v>
      </c>
      <c r="H1226" t="s">
        <v>214</v>
      </c>
      <c r="I1226" t="s">
        <v>252</v>
      </c>
      <c r="J1226" t="s">
        <v>40</v>
      </c>
      <c r="K1226" t="s">
        <v>35</v>
      </c>
      <c r="L1226">
        <v>5</v>
      </c>
      <c r="M1226">
        <v>14970</v>
      </c>
      <c r="N1226">
        <v>0.08</v>
      </c>
      <c r="O1226">
        <v>10200</v>
      </c>
    </row>
    <row r="1227" spans="1:15" x14ac:dyDescent="0.25">
      <c r="A1227" t="s">
        <v>1376</v>
      </c>
      <c r="B1227">
        <v>45916</v>
      </c>
      <c r="C1227" t="s">
        <v>56</v>
      </c>
      <c r="D1227" t="s">
        <v>103</v>
      </c>
      <c r="E1227" t="s">
        <v>91</v>
      </c>
      <c r="F1227" t="s">
        <v>52</v>
      </c>
      <c r="G1227" t="s">
        <v>46</v>
      </c>
      <c r="H1227" t="s">
        <v>179</v>
      </c>
      <c r="I1227" t="s">
        <v>236</v>
      </c>
      <c r="J1227" t="s">
        <v>49</v>
      </c>
      <c r="K1227" t="s">
        <v>24</v>
      </c>
      <c r="L1227">
        <v>40</v>
      </c>
      <c r="M1227">
        <v>2130</v>
      </c>
      <c r="N1227">
        <v>0.25</v>
      </c>
      <c r="O1227">
        <v>1350</v>
      </c>
    </row>
    <row r="1228" spans="1:15" x14ac:dyDescent="0.25">
      <c r="A1228" t="s">
        <v>1377</v>
      </c>
      <c r="B1228">
        <v>45916</v>
      </c>
      <c r="C1228" t="s">
        <v>42</v>
      </c>
      <c r="D1228" t="s">
        <v>146</v>
      </c>
      <c r="E1228" t="s">
        <v>44</v>
      </c>
      <c r="F1228" t="s">
        <v>19</v>
      </c>
      <c r="G1228" t="s">
        <v>83</v>
      </c>
      <c r="H1228" t="s">
        <v>136</v>
      </c>
      <c r="I1228" t="s">
        <v>307</v>
      </c>
      <c r="J1228" t="s">
        <v>40</v>
      </c>
      <c r="K1228" t="s">
        <v>24</v>
      </c>
      <c r="L1228">
        <v>37</v>
      </c>
      <c r="M1228">
        <v>960</v>
      </c>
      <c r="N1228">
        <v>0.08</v>
      </c>
      <c r="O1228">
        <v>590</v>
      </c>
    </row>
    <row r="1229" spans="1:15" x14ac:dyDescent="0.25">
      <c r="A1229" t="s">
        <v>1378</v>
      </c>
      <c r="B1229">
        <v>45916</v>
      </c>
      <c r="C1229" t="s">
        <v>42</v>
      </c>
      <c r="D1229" t="s">
        <v>96</v>
      </c>
      <c r="E1229" t="s">
        <v>64</v>
      </c>
      <c r="F1229" t="s">
        <v>19</v>
      </c>
      <c r="G1229" t="s">
        <v>83</v>
      </c>
      <c r="H1229" t="s">
        <v>184</v>
      </c>
      <c r="I1229" t="s">
        <v>196</v>
      </c>
      <c r="J1229" t="s">
        <v>23</v>
      </c>
      <c r="K1229" t="s">
        <v>24</v>
      </c>
      <c r="L1229">
        <v>2</v>
      </c>
      <c r="M1229">
        <v>3130</v>
      </c>
      <c r="N1229">
        <v>0</v>
      </c>
      <c r="O1229">
        <v>2120</v>
      </c>
    </row>
    <row r="1230" spans="1:15" x14ac:dyDescent="0.25">
      <c r="A1230" t="s">
        <v>1379</v>
      </c>
      <c r="B1230">
        <v>45917</v>
      </c>
      <c r="C1230" t="s">
        <v>56</v>
      </c>
      <c r="D1230" t="s">
        <v>103</v>
      </c>
      <c r="E1230" t="s">
        <v>134</v>
      </c>
      <c r="F1230" t="s">
        <v>19</v>
      </c>
      <c r="G1230" t="s">
        <v>83</v>
      </c>
      <c r="H1230" t="s">
        <v>184</v>
      </c>
      <c r="I1230" t="s">
        <v>196</v>
      </c>
      <c r="J1230" t="s">
        <v>23</v>
      </c>
      <c r="K1230" t="s">
        <v>119</v>
      </c>
      <c r="L1230">
        <v>15</v>
      </c>
      <c r="M1230">
        <v>3400</v>
      </c>
      <c r="N1230">
        <v>0.05</v>
      </c>
      <c r="O1230">
        <v>2590</v>
      </c>
    </row>
    <row r="1231" spans="1:15" x14ac:dyDescent="0.25">
      <c r="A1231" t="s">
        <v>1380</v>
      </c>
      <c r="B1231">
        <v>45917</v>
      </c>
      <c r="C1231" t="s">
        <v>37</v>
      </c>
      <c r="D1231" t="s">
        <v>166</v>
      </c>
      <c r="E1231" t="s">
        <v>68</v>
      </c>
      <c r="F1231" t="s">
        <v>19</v>
      </c>
      <c r="G1231" t="s">
        <v>27</v>
      </c>
      <c r="H1231" t="s">
        <v>53</v>
      </c>
      <c r="I1231" t="s">
        <v>54</v>
      </c>
      <c r="J1231" t="s">
        <v>23</v>
      </c>
      <c r="K1231" t="s">
        <v>24</v>
      </c>
      <c r="L1231">
        <v>4</v>
      </c>
      <c r="M1231">
        <v>45030</v>
      </c>
      <c r="N1231">
        <v>0.25</v>
      </c>
      <c r="O1231">
        <v>33520</v>
      </c>
    </row>
    <row r="1232" spans="1:15" x14ac:dyDescent="0.25">
      <c r="A1232" t="s">
        <v>1381</v>
      </c>
      <c r="B1232">
        <v>45918</v>
      </c>
      <c r="C1232" t="s">
        <v>16</v>
      </c>
      <c r="D1232" t="s">
        <v>31</v>
      </c>
      <c r="E1232" t="s">
        <v>18</v>
      </c>
      <c r="F1232" t="s">
        <v>92</v>
      </c>
      <c r="G1232" t="s">
        <v>59</v>
      </c>
      <c r="H1232" t="s">
        <v>73</v>
      </c>
      <c r="I1232" t="s">
        <v>74</v>
      </c>
      <c r="J1232" t="s">
        <v>40</v>
      </c>
      <c r="K1232" t="s">
        <v>24</v>
      </c>
      <c r="L1232">
        <v>6</v>
      </c>
      <c r="M1232">
        <v>46880</v>
      </c>
      <c r="N1232">
        <v>0.1</v>
      </c>
      <c r="O1232">
        <v>29110</v>
      </c>
    </row>
    <row r="1233" spans="1:15" x14ac:dyDescent="0.25">
      <c r="A1233" t="s">
        <v>1382</v>
      </c>
      <c r="B1233">
        <v>45918</v>
      </c>
      <c r="C1233" t="s">
        <v>37</v>
      </c>
      <c r="D1233" t="s">
        <v>213</v>
      </c>
      <c r="E1233" t="s">
        <v>39</v>
      </c>
      <c r="F1233" t="s">
        <v>52</v>
      </c>
      <c r="G1233" t="s">
        <v>20</v>
      </c>
      <c r="H1233" t="s">
        <v>21</v>
      </c>
      <c r="I1233" t="s">
        <v>65</v>
      </c>
      <c r="J1233" t="s">
        <v>23</v>
      </c>
      <c r="K1233" t="s">
        <v>24</v>
      </c>
      <c r="L1233">
        <v>2</v>
      </c>
      <c r="M1233">
        <v>8860</v>
      </c>
      <c r="N1233">
        <v>0.2</v>
      </c>
      <c r="O1233">
        <v>6960</v>
      </c>
    </row>
    <row r="1234" spans="1:15" x14ac:dyDescent="0.25">
      <c r="A1234" t="s">
        <v>1383</v>
      </c>
      <c r="B1234">
        <v>45918</v>
      </c>
      <c r="C1234" t="s">
        <v>76</v>
      </c>
      <c r="D1234" t="s">
        <v>112</v>
      </c>
      <c r="E1234" t="s">
        <v>170</v>
      </c>
      <c r="F1234" t="s">
        <v>19</v>
      </c>
      <c r="G1234" t="s">
        <v>27</v>
      </c>
      <c r="H1234" t="s">
        <v>53</v>
      </c>
      <c r="I1234" t="s">
        <v>54</v>
      </c>
      <c r="J1234" t="s">
        <v>40</v>
      </c>
      <c r="K1234" t="s">
        <v>24</v>
      </c>
      <c r="L1234">
        <v>2</v>
      </c>
      <c r="M1234">
        <v>42360</v>
      </c>
      <c r="N1234">
        <v>0.08</v>
      </c>
      <c r="O1234">
        <v>31140</v>
      </c>
    </row>
    <row r="1235" spans="1:15" x14ac:dyDescent="0.25">
      <c r="A1235" t="s">
        <v>1384</v>
      </c>
      <c r="B1235">
        <v>45919</v>
      </c>
      <c r="C1235" t="s">
        <v>56</v>
      </c>
      <c r="D1235" t="s">
        <v>143</v>
      </c>
      <c r="E1235" t="s">
        <v>134</v>
      </c>
      <c r="F1235" t="s">
        <v>45</v>
      </c>
      <c r="G1235" t="s">
        <v>27</v>
      </c>
      <c r="H1235" t="s">
        <v>53</v>
      </c>
      <c r="I1235" t="s">
        <v>54</v>
      </c>
      <c r="J1235" t="s">
        <v>40</v>
      </c>
      <c r="K1235" t="s">
        <v>24</v>
      </c>
      <c r="L1235">
        <v>2</v>
      </c>
      <c r="M1235">
        <v>43080</v>
      </c>
      <c r="N1235">
        <v>0.1</v>
      </c>
      <c r="O1235">
        <v>31470</v>
      </c>
    </row>
    <row r="1236" spans="1:15" x14ac:dyDescent="0.25">
      <c r="A1236" t="s">
        <v>1385</v>
      </c>
      <c r="B1236">
        <v>45919</v>
      </c>
      <c r="C1236" t="s">
        <v>42</v>
      </c>
      <c r="D1236" t="s">
        <v>265</v>
      </c>
      <c r="E1236" t="s">
        <v>44</v>
      </c>
      <c r="F1236" t="s">
        <v>52</v>
      </c>
      <c r="G1236" t="s">
        <v>83</v>
      </c>
      <c r="H1236" t="s">
        <v>184</v>
      </c>
      <c r="I1236" t="s">
        <v>196</v>
      </c>
      <c r="J1236" t="s">
        <v>49</v>
      </c>
      <c r="K1236" t="s">
        <v>24</v>
      </c>
      <c r="L1236">
        <v>13</v>
      </c>
      <c r="M1236">
        <v>3170</v>
      </c>
      <c r="N1236">
        <v>0.25</v>
      </c>
      <c r="O1236">
        <v>2250</v>
      </c>
    </row>
    <row r="1237" spans="1:15" x14ac:dyDescent="0.25">
      <c r="A1237" t="s">
        <v>1386</v>
      </c>
      <c r="B1237">
        <v>45919</v>
      </c>
      <c r="C1237" t="s">
        <v>56</v>
      </c>
      <c r="D1237" t="s">
        <v>133</v>
      </c>
      <c r="E1237" t="s">
        <v>91</v>
      </c>
      <c r="F1237" t="s">
        <v>19</v>
      </c>
      <c r="G1237" t="s">
        <v>27</v>
      </c>
      <c r="H1237" t="s">
        <v>53</v>
      </c>
      <c r="I1237" t="s">
        <v>54</v>
      </c>
      <c r="J1237" t="s">
        <v>49</v>
      </c>
      <c r="K1237" t="s">
        <v>119</v>
      </c>
      <c r="L1237">
        <v>1</v>
      </c>
      <c r="M1237">
        <v>42320</v>
      </c>
      <c r="N1237">
        <v>0</v>
      </c>
      <c r="O1237">
        <v>27890</v>
      </c>
    </row>
    <row r="1238" spans="1:15" x14ac:dyDescent="0.25">
      <c r="A1238" t="s">
        <v>1387</v>
      </c>
      <c r="B1238">
        <v>45920</v>
      </c>
      <c r="C1238" t="s">
        <v>76</v>
      </c>
      <c r="D1238" t="s">
        <v>99</v>
      </c>
      <c r="E1238" t="s">
        <v>170</v>
      </c>
      <c r="F1238" t="s">
        <v>19</v>
      </c>
      <c r="G1238" t="s">
        <v>46</v>
      </c>
      <c r="H1238" t="s">
        <v>100</v>
      </c>
      <c r="I1238" t="s">
        <v>177</v>
      </c>
      <c r="J1238" t="s">
        <v>40</v>
      </c>
      <c r="K1238" t="s">
        <v>24</v>
      </c>
      <c r="L1238">
        <v>9</v>
      </c>
      <c r="M1238">
        <v>2650</v>
      </c>
      <c r="N1238">
        <v>0.08</v>
      </c>
      <c r="O1238">
        <v>2020</v>
      </c>
    </row>
    <row r="1239" spans="1:15" x14ac:dyDescent="0.25">
      <c r="A1239" t="s">
        <v>1388</v>
      </c>
      <c r="B1239">
        <v>45920</v>
      </c>
      <c r="C1239" t="s">
        <v>37</v>
      </c>
      <c r="D1239" t="s">
        <v>67</v>
      </c>
      <c r="E1239" t="s">
        <v>39</v>
      </c>
      <c r="F1239" t="s">
        <v>19</v>
      </c>
      <c r="G1239" t="s">
        <v>46</v>
      </c>
      <c r="H1239" t="s">
        <v>179</v>
      </c>
      <c r="I1239" t="s">
        <v>236</v>
      </c>
      <c r="J1239" t="s">
        <v>40</v>
      </c>
      <c r="K1239" t="s">
        <v>24</v>
      </c>
      <c r="L1239">
        <v>37</v>
      </c>
      <c r="M1239">
        <v>2140</v>
      </c>
      <c r="N1239">
        <v>0.2</v>
      </c>
      <c r="O1239">
        <v>1430</v>
      </c>
    </row>
    <row r="1240" spans="1:15" x14ac:dyDescent="0.25">
      <c r="A1240" t="s">
        <v>1389</v>
      </c>
      <c r="B1240">
        <v>45920</v>
      </c>
      <c r="C1240" t="s">
        <v>42</v>
      </c>
      <c r="D1240" t="s">
        <v>130</v>
      </c>
      <c r="E1240" t="s">
        <v>44</v>
      </c>
      <c r="F1240" t="s">
        <v>52</v>
      </c>
      <c r="G1240" t="s">
        <v>27</v>
      </c>
      <c r="H1240" t="s">
        <v>53</v>
      </c>
      <c r="I1240" t="s">
        <v>54</v>
      </c>
      <c r="J1240" t="s">
        <v>40</v>
      </c>
      <c r="K1240" t="s">
        <v>94</v>
      </c>
      <c r="L1240">
        <v>3</v>
      </c>
      <c r="M1240">
        <v>42250</v>
      </c>
      <c r="N1240">
        <v>0.05</v>
      </c>
      <c r="O1240">
        <v>27190</v>
      </c>
    </row>
    <row r="1241" spans="1:15" x14ac:dyDescent="0.25">
      <c r="A1241" t="s">
        <v>1390</v>
      </c>
      <c r="B1241">
        <v>45921</v>
      </c>
      <c r="C1241" t="s">
        <v>56</v>
      </c>
      <c r="D1241" t="s">
        <v>127</v>
      </c>
      <c r="E1241" t="s">
        <v>58</v>
      </c>
      <c r="F1241" t="s">
        <v>52</v>
      </c>
      <c r="G1241" t="s">
        <v>59</v>
      </c>
      <c r="H1241" t="s">
        <v>60</v>
      </c>
      <c r="I1241" t="s">
        <v>61</v>
      </c>
      <c r="J1241" t="s">
        <v>23</v>
      </c>
      <c r="K1241" t="s">
        <v>24</v>
      </c>
      <c r="L1241">
        <v>4</v>
      </c>
      <c r="M1241">
        <v>23810</v>
      </c>
      <c r="N1241">
        <v>0.12</v>
      </c>
      <c r="O1241">
        <v>16260</v>
      </c>
    </row>
    <row r="1242" spans="1:15" x14ac:dyDescent="0.25">
      <c r="A1242" t="s">
        <v>1391</v>
      </c>
      <c r="B1242">
        <v>45921</v>
      </c>
      <c r="C1242" t="s">
        <v>56</v>
      </c>
      <c r="D1242" t="s">
        <v>133</v>
      </c>
      <c r="E1242" t="s">
        <v>134</v>
      </c>
      <c r="F1242" t="s">
        <v>45</v>
      </c>
      <c r="G1242" t="s">
        <v>83</v>
      </c>
      <c r="H1242" t="s">
        <v>136</v>
      </c>
      <c r="I1242" t="s">
        <v>307</v>
      </c>
      <c r="J1242" t="s">
        <v>23</v>
      </c>
      <c r="K1242" t="s">
        <v>24</v>
      </c>
      <c r="L1242">
        <v>34</v>
      </c>
      <c r="M1242">
        <v>950</v>
      </c>
      <c r="N1242">
        <v>0.18</v>
      </c>
      <c r="O1242">
        <v>670</v>
      </c>
    </row>
    <row r="1243" spans="1:15" x14ac:dyDescent="0.25">
      <c r="A1243" t="s">
        <v>1392</v>
      </c>
      <c r="B1243">
        <v>45921</v>
      </c>
      <c r="C1243" t="s">
        <v>56</v>
      </c>
      <c r="D1243" t="s">
        <v>103</v>
      </c>
      <c r="E1243" t="s">
        <v>91</v>
      </c>
      <c r="F1243" t="s">
        <v>52</v>
      </c>
      <c r="G1243" t="s">
        <v>83</v>
      </c>
      <c r="H1243" t="s">
        <v>184</v>
      </c>
      <c r="I1243" t="s">
        <v>185</v>
      </c>
      <c r="J1243" t="s">
        <v>40</v>
      </c>
      <c r="K1243" t="s">
        <v>24</v>
      </c>
      <c r="L1243">
        <v>5</v>
      </c>
      <c r="M1243">
        <v>4810</v>
      </c>
      <c r="N1243">
        <v>0.15</v>
      </c>
      <c r="O1243">
        <v>3580</v>
      </c>
    </row>
    <row r="1244" spans="1:15" x14ac:dyDescent="0.25">
      <c r="A1244" t="s">
        <v>1393</v>
      </c>
      <c r="B1244">
        <v>45921</v>
      </c>
      <c r="C1244" t="s">
        <v>42</v>
      </c>
      <c r="D1244" t="s">
        <v>130</v>
      </c>
      <c r="E1244" t="s">
        <v>44</v>
      </c>
      <c r="F1244" t="s">
        <v>19</v>
      </c>
      <c r="G1244" t="s">
        <v>27</v>
      </c>
      <c r="H1244" t="s">
        <v>79</v>
      </c>
      <c r="I1244" t="s">
        <v>262</v>
      </c>
      <c r="J1244" t="s">
        <v>23</v>
      </c>
      <c r="K1244" t="s">
        <v>24</v>
      </c>
      <c r="L1244">
        <v>5</v>
      </c>
      <c r="M1244">
        <v>2470</v>
      </c>
      <c r="N1244">
        <v>0.2</v>
      </c>
      <c r="O1244">
        <v>1880</v>
      </c>
    </row>
    <row r="1245" spans="1:15" x14ac:dyDescent="0.25">
      <c r="A1245" t="s">
        <v>1394</v>
      </c>
      <c r="B1245">
        <v>45921</v>
      </c>
      <c r="C1245" t="s">
        <v>16</v>
      </c>
      <c r="D1245" t="s">
        <v>51</v>
      </c>
      <c r="E1245" t="s">
        <v>18</v>
      </c>
      <c r="F1245" t="s">
        <v>19</v>
      </c>
      <c r="G1245" t="s">
        <v>20</v>
      </c>
      <c r="H1245" t="s">
        <v>87</v>
      </c>
      <c r="I1245" t="s">
        <v>105</v>
      </c>
      <c r="J1245" t="s">
        <v>23</v>
      </c>
      <c r="K1245" t="s">
        <v>35</v>
      </c>
      <c r="L1245">
        <v>4</v>
      </c>
      <c r="M1245">
        <v>50130</v>
      </c>
      <c r="N1245">
        <v>0.12</v>
      </c>
      <c r="O1245">
        <v>33510</v>
      </c>
    </row>
    <row r="1246" spans="1:15" x14ac:dyDescent="0.25">
      <c r="A1246" t="s">
        <v>1395</v>
      </c>
      <c r="B1246">
        <v>45922</v>
      </c>
      <c r="C1246" t="s">
        <v>37</v>
      </c>
      <c r="D1246" t="s">
        <v>213</v>
      </c>
      <c r="E1246" t="s">
        <v>39</v>
      </c>
      <c r="F1246" t="s">
        <v>92</v>
      </c>
      <c r="G1246" t="s">
        <v>20</v>
      </c>
      <c r="H1246" t="s">
        <v>87</v>
      </c>
      <c r="I1246" t="s">
        <v>105</v>
      </c>
      <c r="J1246" t="s">
        <v>49</v>
      </c>
      <c r="K1246" t="s">
        <v>24</v>
      </c>
      <c r="L1246">
        <v>4</v>
      </c>
      <c r="M1246">
        <v>53090</v>
      </c>
      <c r="N1246">
        <v>0</v>
      </c>
      <c r="O1246">
        <v>31100</v>
      </c>
    </row>
    <row r="1247" spans="1:15" x14ac:dyDescent="0.25">
      <c r="A1247" t="s">
        <v>1396</v>
      </c>
      <c r="B1247">
        <v>45923</v>
      </c>
      <c r="C1247" t="s">
        <v>42</v>
      </c>
      <c r="D1247" t="s">
        <v>265</v>
      </c>
      <c r="E1247" t="s">
        <v>44</v>
      </c>
      <c r="F1247" t="s">
        <v>92</v>
      </c>
      <c r="G1247" t="s">
        <v>59</v>
      </c>
      <c r="H1247" t="s">
        <v>154</v>
      </c>
      <c r="I1247" t="s">
        <v>155</v>
      </c>
      <c r="J1247" t="s">
        <v>23</v>
      </c>
      <c r="K1247" t="s">
        <v>94</v>
      </c>
      <c r="L1247">
        <v>16</v>
      </c>
      <c r="M1247">
        <v>11810</v>
      </c>
      <c r="N1247">
        <v>0.1</v>
      </c>
      <c r="O1247">
        <v>7680</v>
      </c>
    </row>
    <row r="1248" spans="1:15" x14ac:dyDescent="0.25">
      <c r="A1248" t="s">
        <v>1397</v>
      </c>
      <c r="B1248">
        <v>45924</v>
      </c>
      <c r="C1248" t="s">
        <v>37</v>
      </c>
      <c r="D1248" t="s">
        <v>115</v>
      </c>
      <c r="E1248" t="s">
        <v>68</v>
      </c>
      <c r="F1248" t="s">
        <v>19</v>
      </c>
      <c r="G1248" t="s">
        <v>46</v>
      </c>
      <c r="H1248" t="s">
        <v>47</v>
      </c>
      <c r="I1248" t="s">
        <v>259</v>
      </c>
      <c r="J1248" t="s">
        <v>40</v>
      </c>
      <c r="K1248" t="s">
        <v>24</v>
      </c>
      <c r="L1248">
        <v>23</v>
      </c>
      <c r="M1248">
        <v>2860</v>
      </c>
      <c r="N1248">
        <v>0.1</v>
      </c>
      <c r="O1248">
        <v>2190</v>
      </c>
    </row>
    <row r="1249" spans="1:15" x14ac:dyDescent="0.25">
      <c r="A1249" t="s">
        <v>1398</v>
      </c>
      <c r="B1249">
        <v>45924</v>
      </c>
      <c r="C1249" t="s">
        <v>56</v>
      </c>
      <c r="D1249" t="s">
        <v>103</v>
      </c>
      <c r="E1249" t="s">
        <v>134</v>
      </c>
      <c r="F1249" t="s">
        <v>92</v>
      </c>
      <c r="G1249" t="s">
        <v>59</v>
      </c>
      <c r="H1249" t="s">
        <v>69</v>
      </c>
      <c r="I1249" t="s">
        <v>121</v>
      </c>
      <c r="J1249" t="s">
        <v>40</v>
      </c>
      <c r="K1249" t="s">
        <v>24</v>
      </c>
      <c r="L1249">
        <v>17</v>
      </c>
      <c r="M1249">
        <v>3570</v>
      </c>
      <c r="N1249">
        <v>0</v>
      </c>
      <c r="O1249">
        <v>2800</v>
      </c>
    </row>
    <row r="1250" spans="1:15" x14ac:dyDescent="0.25">
      <c r="A1250" t="s">
        <v>1399</v>
      </c>
      <c r="B1250">
        <v>45925</v>
      </c>
      <c r="C1250" t="s">
        <v>42</v>
      </c>
      <c r="D1250" t="s">
        <v>43</v>
      </c>
      <c r="E1250" t="s">
        <v>44</v>
      </c>
      <c r="F1250" t="s">
        <v>19</v>
      </c>
      <c r="G1250" t="s">
        <v>20</v>
      </c>
      <c r="H1250" t="s">
        <v>109</v>
      </c>
      <c r="I1250" t="s">
        <v>171</v>
      </c>
      <c r="J1250" t="s">
        <v>40</v>
      </c>
      <c r="K1250" t="s">
        <v>24</v>
      </c>
      <c r="L1250">
        <v>7</v>
      </c>
      <c r="M1250">
        <v>23620</v>
      </c>
      <c r="N1250">
        <v>0.05</v>
      </c>
      <c r="O1250">
        <v>17450</v>
      </c>
    </row>
    <row r="1251" spans="1:15" x14ac:dyDescent="0.25">
      <c r="A1251" t="s">
        <v>1400</v>
      </c>
      <c r="B1251">
        <v>45925</v>
      </c>
      <c r="C1251" t="s">
        <v>42</v>
      </c>
      <c r="D1251" t="s">
        <v>130</v>
      </c>
      <c r="E1251" t="s">
        <v>97</v>
      </c>
      <c r="F1251" t="s">
        <v>19</v>
      </c>
      <c r="G1251" t="s">
        <v>83</v>
      </c>
      <c r="H1251" t="s">
        <v>84</v>
      </c>
      <c r="I1251" t="s">
        <v>292</v>
      </c>
      <c r="J1251" t="s">
        <v>23</v>
      </c>
      <c r="K1251" t="s">
        <v>119</v>
      </c>
      <c r="L1251">
        <v>2</v>
      </c>
      <c r="M1251">
        <v>44810</v>
      </c>
      <c r="N1251">
        <v>0.1</v>
      </c>
      <c r="O1251">
        <v>35090</v>
      </c>
    </row>
    <row r="1252" spans="1:15" x14ac:dyDescent="0.25">
      <c r="A1252" t="s">
        <v>1401</v>
      </c>
      <c r="B1252">
        <v>45925</v>
      </c>
      <c r="C1252" t="s">
        <v>16</v>
      </c>
      <c r="D1252" t="s">
        <v>51</v>
      </c>
      <c r="E1252" t="s">
        <v>26</v>
      </c>
      <c r="F1252" t="s">
        <v>19</v>
      </c>
      <c r="G1252" t="s">
        <v>20</v>
      </c>
      <c r="H1252" t="s">
        <v>109</v>
      </c>
      <c r="I1252" t="s">
        <v>159</v>
      </c>
      <c r="J1252" t="s">
        <v>49</v>
      </c>
      <c r="K1252" t="s">
        <v>119</v>
      </c>
      <c r="L1252">
        <v>2</v>
      </c>
      <c r="M1252">
        <v>18290</v>
      </c>
      <c r="N1252">
        <v>0.12</v>
      </c>
      <c r="O1252">
        <v>10430</v>
      </c>
    </row>
    <row r="1253" spans="1:15" x14ac:dyDescent="0.25">
      <c r="A1253" t="s">
        <v>1402</v>
      </c>
      <c r="B1253">
        <v>45926</v>
      </c>
      <c r="C1253" t="s">
        <v>42</v>
      </c>
      <c r="D1253" t="s">
        <v>43</v>
      </c>
      <c r="E1253" t="s">
        <v>64</v>
      </c>
      <c r="F1253" t="s">
        <v>92</v>
      </c>
      <c r="G1253" t="s">
        <v>59</v>
      </c>
      <c r="H1253" t="s">
        <v>154</v>
      </c>
      <c r="I1253" t="s">
        <v>155</v>
      </c>
      <c r="J1253" t="s">
        <v>23</v>
      </c>
      <c r="K1253" t="s">
        <v>24</v>
      </c>
      <c r="L1253">
        <v>6</v>
      </c>
      <c r="M1253">
        <v>11990</v>
      </c>
      <c r="N1253">
        <v>0.08</v>
      </c>
      <c r="O1253">
        <v>8640</v>
      </c>
    </row>
    <row r="1254" spans="1:15" x14ac:dyDescent="0.25">
      <c r="A1254" t="s">
        <v>1403</v>
      </c>
      <c r="B1254">
        <v>45927</v>
      </c>
      <c r="C1254" t="s">
        <v>76</v>
      </c>
      <c r="D1254" t="s">
        <v>112</v>
      </c>
      <c r="E1254" t="s">
        <v>170</v>
      </c>
      <c r="F1254" t="s">
        <v>19</v>
      </c>
      <c r="G1254" t="s">
        <v>46</v>
      </c>
      <c r="H1254" t="s">
        <v>47</v>
      </c>
      <c r="I1254" t="s">
        <v>48</v>
      </c>
      <c r="J1254" t="s">
        <v>23</v>
      </c>
      <c r="K1254" t="s">
        <v>24</v>
      </c>
      <c r="L1254">
        <v>40</v>
      </c>
      <c r="M1254">
        <v>1860</v>
      </c>
      <c r="N1254">
        <v>0.2</v>
      </c>
      <c r="O1254">
        <v>1410</v>
      </c>
    </row>
    <row r="1255" spans="1:15" x14ac:dyDescent="0.25">
      <c r="A1255" t="s">
        <v>1404</v>
      </c>
      <c r="B1255">
        <v>45927</v>
      </c>
      <c r="C1255" t="s">
        <v>56</v>
      </c>
      <c r="D1255" t="s">
        <v>103</v>
      </c>
      <c r="E1255" t="s">
        <v>91</v>
      </c>
      <c r="F1255" t="s">
        <v>19</v>
      </c>
      <c r="G1255" t="s">
        <v>46</v>
      </c>
      <c r="H1255" t="s">
        <v>100</v>
      </c>
      <c r="I1255" t="s">
        <v>101</v>
      </c>
      <c r="J1255" t="s">
        <v>23</v>
      </c>
      <c r="K1255" t="s">
        <v>24</v>
      </c>
      <c r="L1255">
        <v>21</v>
      </c>
      <c r="M1255">
        <v>1900</v>
      </c>
      <c r="N1255">
        <v>0.2</v>
      </c>
      <c r="O1255">
        <v>1120</v>
      </c>
    </row>
    <row r="1256" spans="1:15" x14ac:dyDescent="0.25">
      <c r="A1256" t="s">
        <v>1405</v>
      </c>
      <c r="B1256">
        <v>45928</v>
      </c>
      <c r="C1256" t="s">
        <v>56</v>
      </c>
      <c r="D1256" t="s">
        <v>103</v>
      </c>
      <c r="E1256" t="s">
        <v>91</v>
      </c>
      <c r="F1256" t="s">
        <v>19</v>
      </c>
      <c r="G1256" t="s">
        <v>46</v>
      </c>
      <c r="H1256" t="s">
        <v>47</v>
      </c>
      <c r="I1256" t="s">
        <v>48</v>
      </c>
      <c r="J1256" t="s">
        <v>23</v>
      </c>
      <c r="K1256" t="s">
        <v>119</v>
      </c>
      <c r="L1256">
        <v>32</v>
      </c>
      <c r="M1256">
        <v>1830</v>
      </c>
      <c r="N1256">
        <v>0</v>
      </c>
      <c r="O1256">
        <v>1190</v>
      </c>
    </row>
    <row r="1257" spans="1:15" x14ac:dyDescent="0.25">
      <c r="A1257" t="s">
        <v>1406</v>
      </c>
      <c r="B1257">
        <v>45929</v>
      </c>
      <c r="C1257" t="s">
        <v>37</v>
      </c>
      <c r="D1257" t="s">
        <v>213</v>
      </c>
      <c r="E1257" t="s">
        <v>68</v>
      </c>
      <c r="F1257" t="s">
        <v>19</v>
      </c>
      <c r="G1257" t="s">
        <v>20</v>
      </c>
      <c r="H1257" t="s">
        <v>21</v>
      </c>
      <c r="I1257" t="s">
        <v>65</v>
      </c>
      <c r="J1257" t="s">
        <v>40</v>
      </c>
      <c r="K1257" t="s">
        <v>35</v>
      </c>
      <c r="L1257">
        <v>14</v>
      </c>
      <c r="M1257">
        <v>8830</v>
      </c>
      <c r="N1257">
        <v>0.05</v>
      </c>
      <c r="O1257">
        <v>5310</v>
      </c>
    </row>
    <row r="1258" spans="1:15" x14ac:dyDescent="0.25">
      <c r="A1258" t="s">
        <v>1407</v>
      </c>
      <c r="B1258">
        <v>45929</v>
      </c>
      <c r="C1258" t="s">
        <v>37</v>
      </c>
      <c r="D1258" t="s">
        <v>161</v>
      </c>
      <c r="E1258" t="s">
        <v>68</v>
      </c>
      <c r="F1258" t="s">
        <v>92</v>
      </c>
      <c r="G1258" t="s">
        <v>20</v>
      </c>
      <c r="H1258" t="s">
        <v>21</v>
      </c>
      <c r="I1258" t="s">
        <v>362</v>
      </c>
      <c r="J1258" t="s">
        <v>40</v>
      </c>
      <c r="K1258" t="s">
        <v>24</v>
      </c>
      <c r="L1258">
        <v>23</v>
      </c>
      <c r="M1258">
        <v>9870</v>
      </c>
      <c r="N1258">
        <v>0.1</v>
      </c>
      <c r="O1258">
        <v>6700</v>
      </c>
    </row>
    <row r="1259" spans="1:15" x14ac:dyDescent="0.25">
      <c r="A1259" t="s">
        <v>1408</v>
      </c>
      <c r="B1259">
        <v>45929</v>
      </c>
      <c r="C1259" t="s">
        <v>76</v>
      </c>
      <c r="D1259" t="s">
        <v>125</v>
      </c>
      <c r="E1259" t="s">
        <v>170</v>
      </c>
      <c r="F1259" t="s">
        <v>45</v>
      </c>
      <c r="G1259" t="s">
        <v>27</v>
      </c>
      <c r="H1259" t="s">
        <v>28</v>
      </c>
      <c r="I1259" t="s">
        <v>141</v>
      </c>
      <c r="J1259" t="s">
        <v>23</v>
      </c>
      <c r="K1259" t="s">
        <v>24</v>
      </c>
      <c r="L1259">
        <v>2</v>
      </c>
      <c r="M1259">
        <v>16140</v>
      </c>
      <c r="N1259">
        <v>0.08</v>
      </c>
      <c r="O1259">
        <v>10600</v>
      </c>
    </row>
    <row r="1260" spans="1:15" x14ac:dyDescent="0.25">
      <c r="A1260" t="s">
        <v>1409</v>
      </c>
      <c r="B1260">
        <v>45929</v>
      </c>
      <c r="C1260" t="s">
        <v>37</v>
      </c>
      <c r="D1260" t="s">
        <v>115</v>
      </c>
      <c r="E1260" t="s">
        <v>68</v>
      </c>
      <c r="F1260" t="s">
        <v>19</v>
      </c>
      <c r="G1260" t="s">
        <v>46</v>
      </c>
      <c r="H1260" t="s">
        <v>179</v>
      </c>
      <c r="I1260" t="s">
        <v>236</v>
      </c>
      <c r="J1260" t="s">
        <v>23</v>
      </c>
      <c r="K1260" t="s">
        <v>94</v>
      </c>
      <c r="L1260">
        <v>38</v>
      </c>
      <c r="M1260">
        <v>2260</v>
      </c>
      <c r="N1260">
        <v>0.12</v>
      </c>
      <c r="O1260">
        <v>1390</v>
      </c>
    </row>
    <row r="1261" spans="1:15" x14ac:dyDescent="0.25">
      <c r="A1261" t="s">
        <v>1410</v>
      </c>
      <c r="B1261">
        <v>45930</v>
      </c>
      <c r="C1261" t="s">
        <v>16</v>
      </c>
      <c r="D1261" t="s">
        <v>51</v>
      </c>
      <c r="E1261" t="s">
        <v>26</v>
      </c>
      <c r="F1261" t="s">
        <v>19</v>
      </c>
      <c r="G1261" t="s">
        <v>27</v>
      </c>
      <c r="H1261" t="s">
        <v>53</v>
      </c>
      <c r="I1261" t="s">
        <v>131</v>
      </c>
      <c r="J1261" t="s">
        <v>23</v>
      </c>
      <c r="K1261" t="s">
        <v>24</v>
      </c>
      <c r="L1261">
        <v>3</v>
      </c>
      <c r="M1261">
        <v>36090</v>
      </c>
      <c r="N1261">
        <v>0.08</v>
      </c>
      <c r="O1261">
        <v>24540</v>
      </c>
    </row>
    <row r="1262" spans="1:15" x14ac:dyDescent="0.25">
      <c r="A1262" t="s">
        <v>1411</v>
      </c>
      <c r="B1262">
        <v>45930</v>
      </c>
      <c r="C1262" t="s">
        <v>76</v>
      </c>
      <c r="D1262" t="s">
        <v>77</v>
      </c>
      <c r="E1262" t="s">
        <v>78</v>
      </c>
      <c r="F1262" t="s">
        <v>19</v>
      </c>
      <c r="G1262" t="s">
        <v>83</v>
      </c>
      <c r="H1262" t="s">
        <v>184</v>
      </c>
      <c r="I1262" t="s">
        <v>196</v>
      </c>
      <c r="J1262" t="s">
        <v>49</v>
      </c>
      <c r="K1262" t="s">
        <v>24</v>
      </c>
      <c r="L1262">
        <v>11</v>
      </c>
      <c r="M1262">
        <v>3310</v>
      </c>
      <c r="N1262">
        <v>0.25</v>
      </c>
      <c r="O1262">
        <v>1980</v>
      </c>
    </row>
    <row r="1263" spans="1:15" x14ac:dyDescent="0.25">
      <c r="A1263" t="s">
        <v>1412</v>
      </c>
      <c r="B1263">
        <v>45930</v>
      </c>
      <c r="C1263" t="s">
        <v>42</v>
      </c>
      <c r="D1263" t="s">
        <v>265</v>
      </c>
      <c r="E1263" t="s">
        <v>97</v>
      </c>
      <c r="F1263" t="s">
        <v>52</v>
      </c>
      <c r="G1263" t="s">
        <v>46</v>
      </c>
      <c r="H1263" t="s">
        <v>179</v>
      </c>
      <c r="I1263" t="s">
        <v>180</v>
      </c>
      <c r="J1263" t="s">
        <v>23</v>
      </c>
      <c r="K1263" t="s">
        <v>24</v>
      </c>
      <c r="L1263">
        <v>13</v>
      </c>
      <c r="M1263">
        <v>3670</v>
      </c>
      <c r="N1263">
        <v>0.12</v>
      </c>
      <c r="O1263">
        <v>2810</v>
      </c>
    </row>
    <row r="1264" spans="1:15" x14ac:dyDescent="0.25">
      <c r="A1264" t="s">
        <v>1413</v>
      </c>
      <c r="B1264">
        <v>45931</v>
      </c>
      <c r="C1264" t="s">
        <v>76</v>
      </c>
      <c r="D1264" t="s">
        <v>77</v>
      </c>
      <c r="E1264" t="s">
        <v>78</v>
      </c>
      <c r="F1264" t="s">
        <v>92</v>
      </c>
      <c r="G1264" t="s">
        <v>27</v>
      </c>
      <c r="H1264" t="s">
        <v>214</v>
      </c>
      <c r="I1264" t="s">
        <v>215</v>
      </c>
      <c r="J1264" t="s">
        <v>40</v>
      </c>
      <c r="K1264" t="s">
        <v>24</v>
      </c>
      <c r="L1264">
        <v>6</v>
      </c>
      <c r="M1264">
        <v>34680</v>
      </c>
      <c r="N1264">
        <v>0.05</v>
      </c>
      <c r="O1264">
        <v>25010</v>
      </c>
    </row>
    <row r="1265" spans="1:15" x14ac:dyDescent="0.25">
      <c r="A1265" t="s">
        <v>1414</v>
      </c>
      <c r="B1265">
        <v>45931</v>
      </c>
      <c r="C1265" t="s">
        <v>16</v>
      </c>
      <c r="D1265" t="s">
        <v>31</v>
      </c>
      <c r="E1265" t="s">
        <v>18</v>
      </c>
      <c r="F1265" t="s">
        <v>19</v>
      </c>
      <c r="G1265" t="s">
        <v>20</v>
      </c>
      <c r="H1265" t="s">
        <v>87</v>
      </c>
      <c r="I1265" t="s">
        <v>88</v>
      </c>
      <c r="J1265" t="s">
        <v>23</v>
      </c>
      <c r="K1265" t="s">
        <v>94</v>
      </c>
      <c r="L1265">
        <v>1</v>
      </c>
      <c r="M1265">
        <v>30850</v>
      </c>
      <c r="N1265">
        <v>0.08</v>
      </c>
      <c r="O1265">
        <v>19480</v>
      </c>
    </row>
    <row r="1266" spans="1:15" x14ac:dyDescent="0.25">
      <c r="A1266" t="s">
        <v>1415</v>
      </c>
      <c r="B1266">
        <v>45931</v>
      </c>
      <c r="C1266" t="s">
        <v>42</v>
      </c>
      <c r="D1266" t="s">
        <v>123</v>
      </c>
      <c r="E1266" t="s">
        <v>64</v>
      </c>
      <c r="F1266" t="s">
        <v>19</v>
      </c>
      <c r="G1266" t="s">
        <v>20</v>
      </c>
      <c r="H1266" t="s">
        <v>21</v>
      </c>
      <c r="I1266" t="s">
        <v>22</v>
      </c>
      <c r="J1266" t="s">
        <v>23</v>
      </c>
      <c r="K1266" t="s">
        <v>24</v>
      </c>
      <c r="L1266">
        <v>36</v>
      </c>
      <c r="M1266">
        <v>1740</v>
      </c>
      <c r="N1266">
        <v>0.15</v>
      </c>
      <c r="O1266">
        <v>1270</v>
      </c>
    </row>
    <row r="1267" spans="1:15" x14ac:dyDescent="0.25">
      <c r="A1267" t="s">
        <v>1416</v>
      </c>
      <c r="B1267">
        <v>45931</v>
      </c>
      <c r="C1267" t="s">
        <v>42</v>
      </c>
      <c r="D1267" t="s">
        <v>265</v>
      </c>
      <c r="E1267" t="s">
        <v>97</v>
      </c>
      <c r="F1267" t="s">
        <v>45</v>
      </c>
      <c r="G1267" t="s">
        <v>20</v>
      </c>
      <c r="H1267" t="s">
        <v>109</v>
      </c>
      <c r="I1267" t="s">
        <v>171</v>
      </c>
      <c r="J1267" t="s">
        <v>49</v>
      </c>
      <c r="K1267" t="s">
        <v>35</v>
      </c>
      <c r="L1267">
        <v>2</v>
      </c>
      <c r="M1267">
        <v>21970</v>
      </c>
      <c r="N1267">
        <v>0.18</v>
      </c>
      <c r="O1267">
        <v>12380</v>
      </c>
    </row>
    <row r="1268" spans="1:15" x14ac:dyDescent="0.25">
      <c r="A1268" t="s">
        <v>1417</v>
      </c>
      <c r="B1268">
        <v>45931</v>
      </c>
      <c r="C1268" t="s">
        <v>42</v>
      </c>
      <c r="D1268" t="s">
        <v>43</v>
      </c>
      <c r="E1268" t="s">
        <v>44</v>
      </c>
      <c r="F1268" t="s">
        <v>52</v>
      </c>
      <c r="G1268" t="s">
        <v>27</v>
      </c>
      <c r="H1268" t="s">
        <v>214</v>
      </c>
      <c r="I1268" t="s">
        <v>252</v>
      </c>
      <c r="J1268" t="s">
        <v>23</v>
      </c>
      <c r="K1268" t="s">
        <v>24</v>
      </c>
      <c r="L1268">
        <v>8</v>
      </c>
      <c r="M1268">
        <v>14050</v>
      </c>
      <c r="N1268">
        <v>0.12</v>
      </c>
      <c r="O1268">
        <v>8220</v>
      </c>
    </row>
    <row r="1269" spans="1:15" x14ac:dyDescent="0.25">
      <c r="A1269" t="s">
        <v>1418</v>
      </c>
      <c r="B1269">
        <v>45931</v>
      </c>
      <c r="C1269" t="s">
        <v>76</v>
      </c>
      <c r="D1269" t="s">
        <v>112</v>
      </c>
      <c r="E1269" t="s">
        <v>78</v>
      </c>
      <c r="F1269" t="s">
        <v>52</v>
      </c>
      <c r="G1269" t="s">
        <v>46</v>
      </c>
      <c r="H1269" t="s">
        <v>179</v>
      </c>
      <c r="I1269" t="s">
        <v>180</v>
      </c>
      <c r="J1269" t="s">
        <v>23</v>
      </c>
      <c r="K1269" t="s">
        <v>94</v>
      </c>
      <c r="L1269">
        <v>12</v>
      </c>
      <c r="M1269">
        <v>3980</v>
      </c>
      <c r="N1269">
        <v>0.2</v>
      </c>
      <c r="O1269">
        <v>2320</v>
      </c>
    </row>
    <row r="1270" spans="1:15" x14ac:dyDescent="0.25">
      <c r="A1270" t="s">
        <v>1419</v>
      </c>
      <c r="B1270">
        <v>45932</v>
      </c>
      <c r="C1270" t="s">
        <v>56</v>
      </c>
      <c r="D1270" t="s">
        <v>127</v>
      </c>
      <c r="E1270" t="s">
        <v>58</v>
      </c>
      <c r="F1270" t="s">
        <v>52</v>
      </c>
      <c r="G1270" t="s">
        <v>27</v>
      </c>
      <c r="H1270" t="s">
        <v>53</v>
      </c>
      <c r="I1270" t="s">
        <v>54</v>
      </c>
      <c r="J1270" t="s">
        <v>49</v>
      </c>
      <c r="K1270" t="s">
        <v>24</v>
      </c>
      <c r="L1270">
        <v>3</v>
      </c>
      <c r="M1270">
        <v>42450</v>
      </c>
      <c r="N1270">
        <v>0.05</v>
      </c>
      <c r="O1270">
        <v>26890</v>
      </c>
    </row>
    <row r="1271" spans="1:15" x14ac:dyDescent="0.25">
      <c r="A1271" t="s">
        <v>1420</v>
      </c>
      <c r="B1271">
        <v>45932</v>
      </c>
      <c r="C1271" t="s">
        <v>56</v>
      </c>
      <c r="D1271" t="s">
        <v>57</v>
      </c>
      <c r="E1271" t="s">
        <v>134</v>
      </c>
      <c r="F1271" t="s">
        <v>19</v>
      </c>
      <c r="G1271" t="s">
        <v>20</v>
      </c>
      <c r="H1271" t="s">
        <v>87</v>
      </c>
      <c r="I1271" t="s">
        <v>105</v>
      </c>
      <c r="J1271" t="s">
        <v>49</v>
      </c>
      <c r="K1271" t="s">
        <v>119</v>
      </c>
      <c r="L1271">
        <v>4</v>
      </c>
      <c r="M1271">
        <v>52950</v>
      </c>
      <c r="N1271">
        <v>0.08</v>
      </c>
      <c r="O1271">
        <v>40350</v>
      </c>
    </row>
    <row r="1272" spans="1:15" x14ac:dyDescent="0.25">
      <c r="A1272" t="s">
        <v>1421</v>
      </c>
      <c r="B1272">
        <v>45932</v>
      </c>
      <c r="C1272" t="s">
        <v>42</v>
      </c>
      <c r="D1272" t="s">
        <v>123</v>
      </c>
      <c r="E1272" t="s">
        <v>44</v>
      </c>
      <c r="F1272" t="s">
        <v>52</v>
      </c>
      <c r="G1272" t="s">
        <v>27</v>
      </c>
      <c r="H1272" t="s">
        <v>79</v>
      </c>
      <c r="I1272" t="s">
        <v>80</v>
      </c>
      <c r="J1272" t="s">
        <v>23</v>
      </c>
      <c r="K1272" t="s">
        <v>24</v>
      </c>
      <c r="L1272">
        <v>15</v>
      </c>
      <c r="M1272">
        <v>4730</v>
      </c>
      <c r="N1272">
        <v>0.12</v>
      </c>
      <c r="O1272">
        <v>3560</v>
      </c>
    </row>
    <row r="1273" spans="1:15" x14ac:dyDescent="0.25">
      <c r="A1273" t="s">
        <v>1422</v>
      </c>
      <c r="B1273">
        <v>45932</v>
      </c>
      <c r="C1273" t="s">
        <v>16</v>
      </c>
      <c r="D1273" t="s">
        <v>51</v>
      </c>
      <c r="E1273" t="s">
        <v>32</v>
      </c>
      <c r="F1273" t="s">
        <v>19</v>
      </c>
      <c r="G1273" t="s">
        <v>83</v>
      </c>
      <c r="H1273" t="s">
        <v>84</v>
      </c>
      <c r="I1273" t="s">
        <v>85</v>
      </c>
      <c r="J1273" t="s">
        <v>23</v>
      </c>
      <c r="K1273" t="s">
        <v>24</v>
      </c>
      <c r="L1273">
        <v>37</v>
      </c>
      <c r="M1273">
        <v>2520</v>
      </c>
      <c r="N1273">
        <v>0.05</v>
      </c>
      <c r="O1273">
        <v>1670</v>
      </c>
    </row>
    <row r="1274" spans="1:15" x14ac:dyDescent="0.25">
      <c r="A1274" t="s">
        <v>1423</v>
      </c>
      <c r="B1274">
        <v>45932</v>
      </c>
      <c r="C1274" t="s">
        <v>42</v>
      </c>
      <c r="D1274" t="s">
        <v>96</v>
      </c>
      <c r="E1274" t="s">
        <v>44</v>
      </c>
      <c r="F1274" t="s">
        <v>52</v>
      </c>
      <c r="G1274" t="s">
        <v>27</v>
      </c>
      <c r="H1274" t="s">
        <v>28</v>
      </c>
      <c r="I1274" t="s">
        <v>141</v>
      </c>
      <c r="J1274" t="s">
        <v>40</v>
      </c>
      <c r="K1274" t="s">
        <v>94</v>
      </c>
      <c r="L1274">
        <v>7</v>
      </c>
      <c r="M1274">
        <v>16570</v>
      </c>
      <c r="N1274">
        <v>0.05</v>
      </c>
      <c r="O1274">
        <v>12660</v>
      </c>
    </row>
    <row r="1275" spans="1:15" x14ac:dyDescent="0.25">
      <c r="A1275" t="s">
        <v>1424</v>
      </c>
      <c r="B1275">
        <v>45933</v>
      </c>
      <c r="C1275" t="s">
        <v>16</v>
      </c>
      <c r="D1275" t="s">
        <v>153</v>
      </c>
      <c r="E1275" t="s">
        <v>18</v>
      </c>
      <c r="F1275" t="s">
        <v>52</v>
      </c>
      <c r="G1275" t="s">
        <v>20</v>
      </c>
      <c r="H1275" t="s">
        <v>87</v>
      </c>
      <c r="I1275" t="s">
        <v>105</v>
      </c>
      <c r="J1275" t="s">
        <v>40</v>
      </c>
      <c r="K1275" t="s">
        <v>24</v>
      </c>
      <c r="L1275">
        <v>4</v>
      </c>
      <c r="M1275">
        <v>52840</v>
      </c>
      <c r="N1275">
        <v>0.15</v>
      </c>
      <c r="O1275">
        <v>41340</v>
      </c>
    </row>
    <row r="1276" spans="1:15" x14ac:dyDescent="0.25">
      <c r="A1276" t="s">
        <v>1425</v>
      </c>
      <c r="B1276">
        <v>45933</v>
      </c>
      <c r="C1276" t="s">
        <v>42</v>
      </c>
      <c r="D1276" t="s">
        <v>43</v>
      </c>
      <c r="E1276" t="s">
        <v>97</v>
      </c>
      <c r="F1276" t="s">
        <v>52</v>
      </c>
      <c r="G1276" t="s">
        <v>27</v>
      </c>
      <c r="H1276" t="s">
        <v>214</v>
      </c>
      <c r="I1276" t="s">
        <v>215</v>
      </c>
      <c r="J1276" t="s">
        <v>23</v>
      </c>
      <c r="K1276" t="s">
        <v>24</v>
      </c>
      <c r="L1276">
        <v>2</v>
      </c>
      <c r="M1276">
        <v>33120</v>
      </c>
      <c r="N1276">
        <v>0</v>
      </c>
      <c r="O1276">
        <v>21200</v>
      </c>
    </row>
    <row r="1277" spans="1:15" x14ac:dyDescent="0.25">
      <c r="A1277" t="s">
        <v>1426</v>
      </c>
      <c r="B1277">
        <v>45934</v>
      </c>
      <c r="C1277" t="s">
        <v>16</v>
      </c>
      <c r="D1277" t="s">
        <v>191</v>
      </c>
      <c r="E1277" t="s">
        <v>26</v>
      </c>
      <c r="F1277" t="s">
        <v>19</v>
      </c>
      <c r="G1277" t="s">
        <v>46</v>
      </c>
      <c r="H1277" t="s">
        <v>179</v>
      </c>
      <c r="I1277" t="s">
        <v>221</v>
      </c>
      <c r="J1277" t="s">
        <v>49</v>
      </c>
      <c r="K1277" t="s">
        <v>24</v>
      </c>
      <c r="L1277">
        <v>10</v>
      </c>
      <c r="M1277">
        <v>1630</v>
      </c>
      <c r="N1277">
        <v>0.08</v>
      </c>
      <c r="O1277">
        <v>1130</v>
      </c>
    </row>
    <row r="1278" spans="1:15" x14ac:dyDescent="0.25">
      <c r="A1278" t="s">
        <v>1427</v>
      </c>
      <c r="B1278">
        <v>45934</v>
      </c>
      <c r="C1278" t="s">
        <v>42</v>
      </c>
      <c r="D1278" t="s">
        <v>146</v>
      </c>
      <c r="E1278" t="s">
        <v>64</v>
      </c>
      <c r="F1278" t="s">
        <v>19</v>
      </c>
      <c r="G1278" t="s">
        <v>46</v>
      </c>
      <c r="H1278" t="s">
        <v>47</v>
      </c>
      <c r="I1278" t="s">
        <v>259</v>
      </c>
      <c r="J1278" t="s">
        <v>23</v>
      </c>
      <c r="K1278" t="s">
        <v>24</v>
      </c>
      <c r="L1278">
        <v>32</v>
      </c>
      <c r="M1278">
        <v>2920</v>
      </c>
      <c r="N1278">
        <v>0.18</v>
      </c>
      <c r="O1278">
        <v>2040</v>
      </c>
    </row>
    <row r="1279" spans="1:15" x14ac:dyDescent="0.25">
      <c r="A1279" t="s">
        <v>1428</v>
      </c>
      <c r="B1279">
        <v>45934</v>
      </c>
      <c r="C1279" t="s">
        <v>42</v>
      </c>
      <c r="D1279" t="s">
        <v>123</v>
      </c>
      <c r="E1279" t="s">
        <v>44</v>
      </c>
      <c r="F1279" t="s">
        <v>92</v>
      </c>
      <c r="G1279" t="s">
        <v>20</v>
      </c>
      <c r="H1279" t="s">
        <v>33</v>
      </c>
      <c r="I1279" t="s">
        <v>34</v>
      </c>
      <c r="J1279" t="s">
        <v>40</v>
      </c>
      <c r="K1279" t="s">
        <v>24</v>
      </c>
      <c r="L1279">
        <v>7</v>
      </c>
      <c r="M1279">
        <v>54360</v>
      </c>
      <c r="N1279">
        <v>0.08</v>
      </c>
      <c r="O1279">
        <v>35640</v>
      </c>
    </row>
    <row r="1280" spans="1:15" x14ac:dyDescent="0.25">
      <c r="A1280" t="s">
        <v>1429</v>
      </c>
      <c r="B1280">
        <v>45934</v>
      </c>
      <c r="C1280" t="s">
        <v>42</v>
      </c>
      <c r="D1280" t="s">
        <v>123</v>
      </c>
      <c r="E1280" t="s">
        <v>64</v>
      </c>
      <c r="F1280" t="s">
        <v>19</v>
      </c>
      <c r="G1280" t="s">
        <v>20</v>
      </c>
      <c r="H1280" t="s">
        <v>21</v>
      </c>
      <c r="I1280" t="s">
        <v>22</v>
      </c>
      <c r="J1280" t="s">
        <v>40</v>
      </c>
      <c r="K1280" t="s">
        <v>24</v>
      </c>
      <c r="L1280">
        <v>40</v>
      </c>
      <c r="M1280">
        <v>1830</v>
      </c>
      <c r="N1280">
        <v>0.05</v>
      </c>
      <c r="O1280">
        <v>1030</v>
      </c>
    </row>
    <row r="1281" spans="1:15" x14ac:dyDescent="0.25">
      <c r="A1281" t="s">
        <v>1430</v>
      </c>
      <c r="B1281">
        <v>45935</v>
      </c>
      <c r="C1281" t="s">
        <v>42</v>
      </c>
      <c r="D1281" t="s">
        <v>96</v>
      </c>
      <c r="E1281" t="s">
        <v>64</v>
      </c>
      <c r="F1281" t="s">
        <v>52</v>
      </c>
      <c r="G1281" t="s">
        <v>20</v>
      </c>
      <c r="H1281" t="s">
        <v>21</v>
      </c>
      <c r="I1281" t="s">
        <v>362</v>
      </c>
      <c r="J1281" t="s">
        <v>23</v>
      </c>
      <c r="K1281" t="s">
        <v>24</v>
      </c>
      <c r="L1281">
        <v>2</v>
      </c>
      <c r="M1281">
        <v>8910</v>
      </c>
      <c r="N1281">
        <v>0.1</v>
      </c>
      <c r="O1281">
        <v>5200</v>
      </c>
    </row>
    <row r="1282" spans="1:15" x14ac:dyDescent="0.25">
      <c r="A1282" t="s">
        <v>1431</v>
      </c>
      <c r="B1282">
        <v>45935</v>
      </c>
      <c r="C1282" t="s">
        <v>56</v>
      </c>
      <c r="D1282" t="s">
        <v>143</v>
      </c>
      <c r="E1282" t="s">
        <v>134</v>
      </c>
      <c r="F1282" t="s">
        <v>45</v>
      </c>
      <c r="G1282" t="s">
        <v>83</v>
      </c>
      <c r="H1282" t="s">
        <v>184</v>
      </c>
      <c r="I1282" t="s">
        <v>185</v>
      </c>
      <c r="J1282" t="s">
        <v>40</v>
      </c>
      <c r="K1282" t="s">
        <v>24</v>
      </c>
      <c r="L1282">
        <v>11</v>
      </c>
      <c r="M1282">
        <v>4810</v>
      </c>
      <c r="N1282">
        <v>0</v>
      </c>
      <c r="O1282">
        <v>2950</v>
      </c>
    </row>
    <row r="1283" spans="1:15" x14ac:dyDescent="0.25">
      <c r="A1283" t="s">
        <v>1432</v>
      </c>
      <c r="B1283">
        <v>45936</v>
      </c>
      <c r="C1283" t="s">
        <v>42</v>
      </c>
      <c r="D1283" t="s">
        <v>43</v>
      </c>
      <c r="E1283" t="s">
        <v>44</v>
      </c>
      <c r="F1283" t="s">
        <v>92</v>
      </c>
      <c r="G1283" t="s">
        <v>46</v>
      </c>
      <c r="H1283" t="s">
        <v>100</v>
      </c>
      <c r="I1283" t="s">
        <v>101</v>
      </c>
      <c r="J1283" t="s">
        <v>49</v>
      </c>
      <c r="K1283" t="s">
        <v>119</v>
      </c>
      <c r="L1283">
        <v>51</v>
      </c>
      <c r="M1283">
        <v>1890</v>
      </c>
      <c r="N1283">
        <v>0.08</v>
      </c>
      <c r="O1283">
        <v>1410</v>
      </c>
    </row>
    <row r="1284" spans="1:15" x14ac:dyDescent="0.25">
      <c r="A1284" t="s">
        <v>1433</v>
      </c>
      <c r="B1284">
        <v>45936</v>
      </c>
      <c r="C1284" t="s">
        <v>56</v>
      </c>
      <c r="D1284" t="s">
        <v>57</v>
      </c>
      <c r="E1284" t="s">
        <v>91</v>
      </c>
      <c r="F1284" t="s">
        <v>92</v>
      </c>
      <c r="G1284" t="s">
        <v>27</v>
      </c>
      <c r="H1284" t="s">
        <v>28</v>
      </c>
      <c r="I1284" t="s">
        <v>141</v>
      </c>
      <c r="J1284" t="s">
        <v>23</v>
      </c>
      <c r="K1284" t="s">
        <v>24</v>
      </c>
      <c r="L1284">
        <v>7</v>
      </c>
      <c r="M1284">
        <v>15860</v>
      </c>
      <c r="N1284">
        <v>0</v>
      </c>
      <c r="O1284">
        <v>11750</v>
      </c>
    </row>
    <row r="1285" spans="1:15" x14ac:dyDescent="0.25">
      <c r="A1285" t="s">
        <v>1434</v>
      </c>
      <c r="B1285">
        <v>45936</v>
      </c>
      <c r="C1285" t="s">
        <v>56</v>
      </c>
      <c r="D1285" t="s">
        <v>57</v>
      </c>
      <c r="E1285" t="s">
        <v>134</v>
      </c>
      <c r="F1285" t="s">
        <v>45</v>
      </c>
      <c r="G1285" t="s">
        <v>59</v>
      </c>
      <c r="H1285" t="s">
        <v>60</v>
      </c>
      <c r="I1285" t="s">
        <v>200</v>
      </c>
      <c r="J1285" t="s">
        <v>40</v>
      </c>
      <c r="K1285" t="s">
        <v>24</v>
      </c>
      <c r="L1285">
        <v>25</v>
      </c>
      <c r="M1285">
        <v>8400</v>
      </c>
      <c r="N1285">
        <v>0</v>
      </c>
      <c r="O1285">
        <v>5900</v>
      </c>
    </row>
    <row r="1286" spans="1:15" x14ac:dyDescent="0.25">
      <c r="A1286" t="s">
        <v>1435</v>
      </c>
      <c r="B1286">
        <v>45936</v>
      </c>
      <c r="C1286" t="s">
        <v>16</v>
      </c>
      <c r="D1286" t="s">
        <v>51</v>
      </c>
      <c r="E1286" t="s">
        <v>32</v>
      </c>
      <c r="F1286" t="s">
        <v>19</v>
      </c>
      <c r="G1286" t="s">
        <v>20</v>
      </c>
      <c r="H1286" t="s">
        <v>33</v>
      </c>
      <c r="I1286" t="s">
        <v>34</v>
      </c>
      <c r="J1286" t="s">
        <v>23</v>
      </c>
      <c r="K1286" t="s">
        <v>24</v>
      </c>
      <c r="L1286">
        <v>3</v>
      </c>
      <c r="M1286">
        <v>56820</v>
      </c>
      <c r="N1286">
        <v>0.15</v>
      </c>
      <c r="O1286">
        <v>38940</v>
      </c>
    </row>
    <row r="1287" spans="1:15" x14ac:dyDescent="0.25">
      <c r="A1287" t="s">
        <v>1436</v>
      </c>
      <c r="B1287">
        <v>45937</v>
      </c>
      <c r="C1287" t="s">
        <v>42</v>
      </c>
      <c r="D1287" t="s">
        <v>130</v>
      </c>
      <c r="E1287" t="s">
        <v>64</v>
      </c>
      <c r="F1287" t="s">
        <v>92</v>
      </c>
      <c r="G1287" t="s">
        <v>27</v>
      </c>
      <c r="H1287" t="s">
        <v>53</v>
      </c>
      <c r="I1287" t="s">
        <v>54</v>
      </c>
      <c r="J1287" t="s">
        <v>40</v>
      </c>
      <c r="K1287" t="s">
        <v>24</v>
      </c>
      <c r="L1287">
        <v>2</v>
      </c>
      <c r="M1287">
        <v>42960</v>
      </c>
      <c r="N1287">
        <v>0.05</v>
      </c>
      <c r="O1287">
        <v>30790</v>
      </c>
    </row>
    <row r="1288" spans="1:15" x14ac:dyDescent="0.25">
      <c r="A1288" t="s">
        <v>1437</v>
      </c>
      <c r="B1288">
        <v>45937</v>
      </c>
      <c r="C1288" t="s">
        <v>56</v>
      </c>
      <c r="D1288" t="s">
        <v>133</v>
      </c>
      <c r="E1288" t="s">
        <v>91</v>
      </c>
      <c r="F1288" t="s">
        <v>19</v>
      </c>
      <c r="G1288" t="s">
        <v>27</v>
      </c>
      <c r="H1288" t="s">
        <v>28</v>
      </c>
      <c r="I1288" t="s">
        <v>29</v>
      </c>
      <c r="J1288" t="s">
        <v>23</v>
      </c>
      <c r="K1288" t="s">
        <v>119</v>
      </c>
      <c r="L1288">
        <v>5</v>
      </c>
      <c r="M1288">
        <v>27850</v>
      </c>
      <c r="N1288">
        <v>0.05</v>
      </c>
      <c r="O1288">
        <v>19020</v>
      </c>
    </row>
    <row r="1289" spans="1:15" x14ac:dyDescent="0.25">
      <c r="A1289" t="s">
        <v>1438</v>
      </c>
      <c r="B1289">
        <v>45937</v>
      </c>
      <c r="C1289" t="s">
        <v>42</v>
      </c>
      <c r="D1289" t="s">
        <v>146</v>
      </c>
      <c r="E1289" t="s">
        <v>97</v>
      </c>
      <c r="F1289" t="s">
        <v>19</v>
      </c>
      <c r="G1289" t="s">
        <v>20</v>
      </c>
      <c r="H1289" t="s">
        <v>21</v>
      </c>
      <c r="I1289" t="s">
        <v>362</v>
      </c>
      <c r="J1289" t="s">
        <v>23</v>
      </c>
      <c r="K1289" t="s">
        <v>24</v>
      </c>
      <c r="L1289">
        <v>12</v>
      </c>
      <c r="M1289">
        <v>8740</v>
      </c>
      <c r="N1289">
        <v>0.12</v>
      </c>
      <c r="O1289">
        <v>5360</v>
      </c>
    </row>
    <row r="1290" spans="1:15" x14ac:dyDescent="0.25">
      <c r="A1290" t="s">
        <v>1439</v>
      </c>
      <c r="B1290">
        <v>45937</v>
      </c>
      <c r="C1290" t="s">
        <v>16</v>
      </c>
      <c r="D1290" t="s">
        <v>31</v>
      </c>
      <c r="E1290" t="s">
        <v>32</v>
      </c>
      <c r="F1290" t="s">
        <v>52</v>
      </c>
      <c r="G1290" t="s">
        <v>20</v>
      </c>
      <c r="H1290" t="s">
        <v>87</v>
      </c>
      <c r="I1290" t="s">
        <v>88</v>
      </c>
      <c r="J1290" t="s">
        <v>49</v>
      </c>
      <c r="K1290" t="s">
        <v>24</v>
      </c>
      <c r="L1290">
        <v>2</v>
      </c>
      <c r="M1290">
        <v>33100</v>
      </c>
      <c r="N1290">
        <v>0</v>
      </c>
      <c r="O1290">
        <v>21490</v>
      </c>
    </row>
    <row r="1291" spans="1:15" x14ac:dyDescent="0.25">
      <c r="A1291" t="s">
        <v>1440</v>
      </c>
      <c r="B1291">
        <v>45938</v>
      </c>
      <c r="C1291" t="s">
        <v>56</v>
      </c>
      <c r="D1291" t="s">
        <v>57</v>
      </c>
      <c r="E1291" t="s">
        <v>58</v>
      </c>
      <c r="F1291" t="s">
        <v>19</v>
      </c>
      <c r="G1291" t="s">
        <v>20</v>
      </c>
      <c r="H1291" t="s">
        <v>87</v>
      </c>
      <c r="I1291" t="s">
        <v>88</v>
      </c>
      <c r="J1291" t="s">
        <v>23</v>
      </c>
      <c r="K1291" t="s">
        <v>24</v>
      </c>
      <c r="L1291">
        <v>4</v>
      </c>
      <c r="M1291">
        <v>31950</v>
      </c>
      <c r="N1291">
        <v>0</v>
      </c>
      <c r="O1291">
        <v>23520</v>
      </c>
    </row>
    <row r="1292" spans="1:15" x14ac:dyDescent="0.25">
      <c r="A1292" t="s">
        <v>1441</v>
      </c>
      <c r="B1292">
        <v>45939</v>
      </c>
      <c r="C1292" t="s">
        <v>37</v>
      </c>
      <c r="D1292" t="s">
        <v>213</v>
      </c>
      <c r="E1292" t="s">
        <v>68</v>
      </c>
      <c r="F1292" t="s">
        <v>92</v>
      </c>
      <c r="G1292" t="s">
        <v>59</v>
      </c>
      <c r="H1292" t="s">
        <v>69</v>
      </c>
      <c r="I1292" t="s">
        <v>121</v>
      </c>
      <c r="J1292" t="s">
        <v>23</v>
      </c>
      <c r="K1292" t="s">
        <v>24</v>
      </c>
      <c r="L1292">
        <v>8</v>
      </c>
      <c r="M1292">
        <v>3490</v>
      </c>
      <c r="N1292">
        <v>0.15</v>
      </c>
      <c r="O1292">
        <v>2230</v>
      </c>
    </row>
    <row r="1293" spans="1:15" x14ac:dyDescent="0.25">
      <c r="A1293" t="s">
        <v>1442</v>
      </c>
      <c r="B1293">
        <v>45939</v>
      </c>
      <c r="C1293" t="s">
        <v>42</v>
      </c>
      <c r="D1293" t="s">
        <v>96</v>
      </c>
      <c r="E1293" t="s">
        <v>97</v>
      </c>
      <c r="F1293" t="s">
        <v>52</v>
      </c>
      <c r="G1293" t="s">
        <v>46</v>
      </c>
      <c r="H1293" t="s">
        <v>179</v>
      </c>
      <c r="I1293" t="s">
        <v>180</v>
      </c>
      <c r="J1293" t="s">
        <v>40</v>
      </c>
      <c r="K1293" t="s">
        <v>24</v>
      </c>
      <c r="L1293">
        <v>5</v>
      </c>
      <c r="M1293">
        <v>3920</v>
      </c>
      <c r="N1293">
        <v>0</v>
      </c>
      <c r="O1293">
        <v>2690</v>
      </c>
    </row>
    <row r="1294" spans="1:15" x14ac:dyDescent="0.25">
      <c r="A1294" t="s">
        <v>1443</v>
      </c>
      <c r="B1294">
        <v>45939</v>
      </c>
      <c r="C1294" t="s">
        <v>56</v>
      </c>
      <c r="D1294" t="s">
        <v>133</v>
      </c>
      <c r="E1294" t="s">
        <v>134</v>
      </c>
      <c r="F1294" t="s">
        <v>45</v>
      </c>
      <c r="G1294" t="s">
        <v>83</v>
      </c>
      <c r="H1294" t="s">
        <v>136</v>
      </c>
      <c r="I1294" t="s">
        <v>307</v>
      </c>
      <c r="J1294" t="s">
        <v>49</v>
      </c>
      <c r="K1294" t="s">
        <v>24</v>
      </c>
      <c r="L1294">
        <v>57</v>
      </c>
      <c r="M1294">
        <v>920</v>
      </c>
      <c r="N1294">
        <v>0.18</v>
      </c>
      <c r="O1294">
        <v>580</v>
      </c>
    </row>
    <row r="1295" spans="1:15" x14ac:dyDescent="0.25">
      <c r="A1295" t="s">
        <v>1444</v>
      </c>
      <c r="B1295">
        <v>45939</v>
      </c>
      <c r="C1295" t="s">
        <v>37</v>
      </c>
      <c r="D1295" t="s">
        <v>38</v>
      </c>
      <c r="E1295" t="s">
        <v>39</v>
      </c>
      <c r="F1295" t="s">
        <v>45</v>
      </c>
      <c r="G1295" t="s">
        <v>83</v>
      </c>
      <c r="H1295" t="s">
        <v>84</v>
      </c>
      <c r="I1295" t="s">
        <v>85</v>
      </c>
      <c r="J1295" t="s">
        <v>40</v>
      </c>
      <c r="K1295" t="s">
        <v>24</v>
      </c>
      <c r="L1295">
        <v>51</v>
      </c>
      <c r="M1295">
        <v>2550</v>
      </c>
      <c r="N1295">
        <v>0.1</v>
      </c>
      <c r="O1295">
        <v>1500</v>
      </c>
    </row>
    <row r="1296" spans="1:15" x14ac:dyDescent="0.25">
      <c r="A1296" t="s">
        <v>1445</v>
      </c>
      <c r="B1296">
        <v>45939</v>
      </c>
      <c r="C1296" t="s">
        <v>42</v>
      </c>
      <c r="D1296" t="s">
        <v>146</v>
      </c>
      <c r="E1296" t="s">
        <v>44</v>
      </c>
      <c r="F1296" t="s">
        <v>19</v>
      </c>
      <c r="G1296" t="s">
        <v>83</v>
      </c>
      <c r="H1296" t="s">
        <v>84</v>
      </c>
      <c r="I1296" t="s">
        <v>85</v>
      </c>
      <c r="J1296" t="s">
        <v>49</v>
      </c>
      <c r="K1296" t="s">
        <v>24</v>
      </c>
      <c r="L1296">
        <v>6</v>
      </c>
      <c r="M1296">
        <v>2530</v>
      </c>
      <c r="N1296">
        <v>0.08</v>
      </c>
      <c r="O1296">
        <v>1620</v>
      </c>
    </row>
    <row r="1297" spans="1:15" x14ac:dyDescent="0.25">
      <c r="A1297" t="s">
        <v>1446</v>
      </c>
      <c r="B1297">
        <v>45939</v>
      </c>
      <c r="C1297" t="s">
        <v>37</v>
      </c>
      <c r="D1297" t="s">
        <v>115</v>
      </c>
      <c r="E1297" t="s">
        <v>68</v>
      </c>
      <c r="F1297" t="s">
        <v>92</v>
      </c>
      <c r="G1297" t="s">
        <v>83</v>
      </c>
      <c r="H1297" t="s">
        <v>84</v>
      </c>
      <c r="I1297" t="s">
        <v>292</v>
      </c>
      <c r="J1297" t="s">
        <v>23</v>
      </c>
      <c r="K1297" t="s">
        <v>24</v>
      </c>
      <c r="L1297">
        <v>4</v>
      </c>
      <c r="M1297">
        <v>44950</v>
      </c>
      <c r="N1297">
        <v>0</v>
      </c>
      <c r="O1297">
        <v>28230</v>
      </c>
    </row>
    <row r="1298" spans="1:15" x14ac:dyDescent="0.25">
      <c r="A1298" t="s">
        <v>1447</v>
      </c>
      <c r="B1298">
        <v>45939</v>
      </c>
      <c r="C1298" t="s">
        <v>42</v>
      </c>
      <c r="D1298" t="s">
        <v>123</v>
      </c>
      <c r="E1298" t="s">
        <v>64</v>
      </c>
      <c r="F1298" t="s">
        <v>19</v>
      </c>
      <c r="G1298" t="s">
        <v>20</v>
      </c>
      <c r="H1298" t="s">
        <v>33</v>
      </c>
      <c r="I1298" t="s">
        <v>182</v>
      </c>
      <c r="J1298" t="s">
        <v>40</v>
      </c>
      <c r="K1298" t="s">
        <v>24</v>
      </c>
      <c r="L1298">
        <v>4</v>
      </c>
      <c r="M1298">
        <v>107160</v>
      </c>
      <c r="N1298">
        <v>0.18</v>
      </c>
      <c r="O1298">
        <v>72560</v>
      </c>
    </row>
    <row r="1299" spans="1:15" x14ac:dyDescent="0.25">
      <c r="A1299" t="s">
        <v>1448</v>
      </c>
      <c r="B1299">
        <v>45940</v>
      </c>
      <c r="C1299" t="s">
        <v>16</v>
      </c>
      <c r="D1299" t="s">
        <v>51</v>
      </c>
      <c r="E1299" t="s">
        <v>18</v>
      </c>
      <c r="F1299" t="s">
        <v>92</v>
      </c>
      <c r="G1299" t="s">
        <v>59</v>
      </c>
      <c r="H1299" t="s">
        <v>154</v>
      </c>
      <c r="I1299" t="s">
        <v>155</v>
      </c>
      <c r="J1299" t="s">
        <v>23</v>
      </c>
      <c r="K1299" t="s">
        <v>24</v>
      </c>
      <c r="L1299">
        <v>12</v>
      </c>
      <c r="M1299">
        <v>12950</v>
      </c>
      <c r="N1299">
        <v>0.2</v>
      </c>
      <c r="O1299">
        <v>8680</v>
      </c>
    </row>
    <row r="1300" spans="1:15" x14ac:dyDescent="0.25">
      <c r="A1300" t="s">
        <v>1449</v>
      </c>
      <c r="B1300">
        <v>45940</v>
      </c>
      <c r="C1300" t="s">
        <v>16</v>
      </c>
      <c r="D1300" t="s">
        <v>51</v>
      </c>
      <c r="E1300" t="s">
        <v>26</v>
      </c>
      <c r="F1300" t="s">
        <v>92</v>
      </c>
      <c r="G1300" t="s">
        <v>20</v>
      </c>
      <c r="H1300" t="s">
        <v>21</v>
      </c>
      <c r="I1300" t="s">
        <v>22</v>
      </c>
      <c r="J1300" t="s">
        <v>40</v>
      </c>
      <c r="K1300" t="s">
        <v>24</v>
      </c>
      <c r="L1300">
        <v>53</v>
      </c>
      <c r="M1300">
        <v>1920</v>
      </c>
      <c r="N1300">
        <v>0.12</v>
      </c>
      <c r="O1300">
        <v>1140</v>
      </c>
    </row>
    <row r="1301" spans="1:15" x14ac:dyDescent="0.25">
      <c r="A1301" t="s">
        <v>1450</v>
      </c>
      <c r="B1301">
        <v>45941</v>
      </c>
      <c r="C1301" t="s">
        <v>56</v>
      </c>
      <c r="D1301" t="s">
        <v>143</v>
      </c>
      <c r="E1301" t="s">
        <v>91</v>
      </c>
      <c r="F1301" t="s">
        <v>52</v>
      </c>
      <c r="G1301" t="s">
        <v>27</v>
      </c>
      <c r="H1301" t="s">
        <v>28</v>
      </c>
      <c r="I1301" t="s">
        <v>141</v>
      </c>
      <c r="J1301" t="s">
        <v>23</v>
      </c>
      <c r="K1301" t="s">
        <v>24</v>
      </c>
      <c r="L1301">
        <v>4</v>
      </c>
      <c r="M1301">
        <v>15990</v>
      </c>
      <c r="N1301">
        <v>0.05</v>
      </c>
      <c r="O1301">
        <v>9850</v>
      </c>
    </row>
    <row r="1302" spans="1:15" x14ac:dyDescent="0.25">
      <c r="A1302" t="s">
        <v>1451</v>
      </c>
      <c r="B1302">
        <v>45941</v>
      </c>
      <c r="C1302" t="s">
        <v>16</v>
      </c>
      <c r="D1302" t="s">
        <v>17</v>
      </c>
      <c r="E1302" t="s">
        <v>18</v>
      </c>
      <c r="F1302" t="s">
        <v>52</v>
      </c>
      <c r="G1302" t="s">
        <v>83</v>
      </c>
      <c r="H1302" t="s">
        <v>184</v>
      </c>
      <c r="I1302" t="s">
        <v>196</v>
      </c>
      <c r="J1302" t="s">
        <v>23</v>
      </c>
      <c r="K1302" t="s">
        <v>24</v>
      </c>
      <c r="L1302">
        <v>6</v>
      </c>
      <c r="M1302">
        <v>3050</v>
      </c>
      <c r="N1302">
        <v>0.08</v>
      </c>
      <c r="O1302">
        <v>2380</v>
      </c>
    </row>
    <row r="1303" spans="1:15" x14ac:dyDescent="0.25">
      <c r="A1303" t="s">
        <v>1452</v>
      </c>
      <c r="B1303">
        <v>45941</v>
      </c>
      <c r="C1303" t="s">
        <v>76</v>
      </c>
      <c r="D1303" t="s">
        <v>125</v>
      </c>
      <c r="E1303" t="s">
        <v>78</v>
      </c>
      <c r="F1303" t="s">
        <v>19</v>
      </c>
      <c r="G1303" t="s">
        <v>20</v>
      </c>
      <c r="H1303" t="s">
        <v>21</v>
      </c>
      <c r="I1303" t="s">
        <v>65</v>
      </c>
      <c r="J1303" t="s">
        <v>40</v>
      </c>
      <c r="K1303" t="s">
        <v>24</v>
      </c>
      <c r="L1303">
        <v>13</v>
      </c>
      <c r="M1303">
        <v>9050</v>
      </c>
      <c r="N1303">
        <v>0</v>
      </c>
      <c r="O1303">
        <v>5230</v>
      </c>
    </row>
    <row r="1304" spans="1:15" x14ac:dyDescent="0.25">
      <c r="A1304" t="s">
        <v>1453</v>
      </c>
      <c r="B1304">
        <v>45941</v>
      </c>
      <c r="C1304" t="s">
        <v>42</v>
      </c>
      <c r="D1304" t="s">
        <v>265</v>
      </c>
      <c r="E1304" t="s">
        <v>44</v>
      </c>
      <c r="F1304" t="s">
        <v>92</v>
      </c>
      <c r="G1304" t="s">
        <v>59</v>
      </c>
      <c r="H1304" t="s">
        <v>60</v>
      </c>
      <c r="I1304" t="s">
        <v>61</v>
      </c>
      <c r="J1304" t="s">
        <v>23</v>
      </c>
      <c r="K1304" t="s">
        <v>24</v>
      </c>
      <c r="L1304">
        <v>3</v>
      </c>
      <c r="M1304">
        <v>25400</v>
      </c>
      <c r="N1304">
        <v>0.05</v>
      </c>
      <c r="O1304">
        <v>17470</v>
      </c>
    </row>
    <row r="1305" spans="1:15" x14ac:dyDescent="0.25">
      <c r="A1305" t="s">
        <v>1454</v>
      </c>
      <c r="B1305">
        <v>45941</v>
      </c>
      <c r="C1305" t="s">
        <v>16</v>
      </c>
      <c r="D1305" t="s">
        <v>82</v>
      </c>
      <c r="E1305" t="s">
        <v>26</v>
      </c>
      <c r="F1305" t="s">
        <v>19</v>
      </c>
      <c r="G1305" t="s">
        <v>27</v>
      </c>
      <c r="H1305" t="s">
        <v>79</v>
      </c>
      <c r="I1305" t="s">
        <v>168</v>
      </c>
      <c r="J1305" t="s">
        <v>49</v>
      </c>
      <c r="K1305" t="s">
        <v>94</v>
      </c>
      <c r="L1305">
        <v>9</v>
      </c>
      <c r="M1305">
        <v>9650</v>
      </c>
      <c r="N1305">
        <v>0.08</v>
      </c>
      <c r="O1305">
        <v>6100</v>
      </c>
    </row>
    <row r="1306" spans="1:15" x14ac:dyDescent="0.25">
      <c r="A1306" t="s">
        <v>1455</v>
      </c>
      <c r="B1306">
        <v>45942</v>
      </c>
      <c r="C1306" t="s">
        <v>42</v>
      </c>
      <c r="D1306" t="s">
        <v>96</v>
      </c>
      <c r="E1306" t="s">
        <v>44</v>
      </c>
      <c r="F1306" t="s">
        <v>45</v>
      </c>
      <c r="G1306" t="s">
        <v>46</v>
      </c>
      <c r="H1306" t="s">
        <v>47</v>
      </c>
      <c r="I1306" t="s">
        <v>48</v>
      </c>
      <c r="J1306" t="s">
        <v>49</v>
      </c>
      <c r="K1306" t="s">
        <v>24</v>
      </c>
      <c r="L1306">
        <v>67</v>
      </c>
      <c r="M1306">
        <v>1810</v>
      </c>
      <c r="N1306">
        <v>0.08</v>
      </c>
      <c r="O1306">
        <v>1400</v>
      </c>
    </row>
    <row r="1307" spans="1:15" x14ac:dyDescent="0.25">
      <c r="A1307" t="s">
        <v>1456</v>
      </c>
      <c r="B1307">
        <v>45942</v>
      </c>
      <c r="C1307" t="s">
        <v>37</v>
      </c>
      <c r="D1307" t="s">
        <v>67</v>
      </c>
      <c r="E1307" t="s">
        <v>68</v>
      </c>
      <c r="F1307" t="s">
        <v>19</v>
      </c>
      <c r="G1307" t="s">
        <v>20</v>
      </c>
      <c r="H1307" t="s">
        <v>87</v>
      </c>
      <c r="I1307" t="s">
        <v>105</v>
      </c>
      <c r="J1307" t="s">
        <v>40</v>
      </c>
      <c r="K1307" t="s">
        <v>24</v>
      </c>
      <c r="L1307">
        <v>1</v>
      </c>
      <c r="M1307">
        <v>52150</v>
      </c>
      <c r="N1307">
        <v>0</v>
      </c>
      <c r="O1307">
        <v>29730</v>
      </c>
    </row>
    <row r="1308" spans="1:15" x14ac:dyDescent="0.25">
      <c r="A1308" t="s">
        <v>1457</v>
      </c>
      <c r="B1308">
        <v>45944</v>
      </c>
      <c r="C1308" t="s">
        <v>56</v>
      </c>
      <c r="D1308" t="s">
        <v>72</v>
      </c>
      <c r="E1308" t="s">
        <v>91</v>
      </c>
      <c r="F1308" t="s">
        <v>52</v>
      </c>
      <c r="G1308" t="s">
        <v>20</v>
      </c>
      <c r="H1308" t="s">
        <v>87</v>
      </c>
      <c r="I1308" t="s">
        <v>105</v>
      </c>
      <c r="J1308" t="s">
        <v>49</v>
      </c>
      <c r="K1308" t="s">
        <v>24</v>
      </c>
      <c r="L1308">
        <v>1</v>
      </c>
      <c r="M1308">
        <v>53880</v>
      </c>
      <c r="N1308">
        <v>0.05</v>
      </c>
      <c r="O1308">
        <v>31540</v>
      </c>
    </row>
    <row r="1309" spans="1:15" x14ac:dyDescent="0.25">
      <c r="A1309" t="s">
        <v>1458</v>
      </c>
      <c r="B1309">
        <v>45945</v>
      </c>
      <c r="C1309" t="s">
        <v>37</v>
      </c>
      <c r="D1309" t="s">
        <v>161</v>
      </c>
      <c r="E1309" t="s">
        <v>68</v>
      </c>
      <c r="F1309" t="s">
        <v>19</v>
      </c>
      <c r="G1309" t="s">
        <v>59</v>
      </c>
      <c r="H1309" t="s">
        <v>154</v>
      </c>
      <c r="I1309" t="s">
        <v>249</v>
      </c>
      <c r="J1309" t="s">
        <v>49</v>
      </c>
      <c r="K1309" t="s">
        <v>24</v>
      </c>
      <c r="L1309">
        <v>4</v>
      </c>
      <c r="M1309">
        <v>6720</v>
      </c>
      <c r="N1309">
        <v>0.18</v>
      </c>
      <c r="O1309">
        <v>3920</v>
      </c>
    </row>
    <row r="1310" spans="1:15" x14ac:dyDescent="0.25">
      <c r="A1310" t="s">
        <v>1459</v>
      </c>
      <c r="B1310">
        <v>45945</v>
      </c>
      <c r="C1310" t="s">
        <v>42</v>
      </c>
      <c r="D1310" t="s">
        <v>96</v>
      </c>
      <c r="E1310" t="s">
        <v>97</v>
      </c>
      <c r="F1310" t="s">
        <v>52</v>
      </c>
      <c r="G1310" t="s">
        <v>83</v>
      </c>
      <c r="H1310" t="s">
        <v>136</v>
      </c>
      <c r="I1310" t="s">
        <v>137</v>
      </c>
      <c r="J1310" t="s">
        <v>23</v>
      </c>
      <c r="K1310" t="s">
        <v>24</v>
      </c>
      <c r="L1310">
        <v>23</v>
      </c>
      <c r="M1310">
        <v>1680</v>
      </c>
      <c r="N1310">
        <v>0.12</v>
      </c>
      <c r="O1310">
        <v>1180</v>
      </c>
    </row>
    <row r="1311" spans="1:15" x14ac:dyDescent="0.25">
      <c r="A1311" t="s">
        <v>1460</v>
      </c>
      <c r="B1311">
        <v>45945</v>
      </c>
      <c r="C1311" t="s">
        <v>16</v>
      </c>
      <c r="D1311" t="s">
        <v>191</v>
      </c>
      <c r="E1311" t="s">
        <v>18</v>
      </c>
      <c r="F1311" t="s">
        <v>45</v>
      </c>
      <c r="G1311" t="s">
        <v>59</v>
      </c>
      <c r="H1311" t="s">
        <v>69</v>
      </c>
      <c r="I1311" t="s">
        <v>70</v>
      </c>
      <c r="J1311" t="s">
        <v>49</v>
      </c>
      <c r="K1311" t="s">
        <v>24</v>
      </c>
      <c r="L1311">
        <v>8</v>
      </c>
      <c r="M1311">
        <v>28230</v>
      </c>
      <c r="N1311">
        <v>0.18</v>
      </c>
      <c r="O1311">
        <v>21480</v>
      </c>
    </row>
    <row r="1312" spans="1:15" x14ac:dyDescent="0.25">
      <c r="A1312" t="s">
        <v>1461</v>
      </c>
      <c r="B1312">
        <v>45945</v>
      </c>
      <c r="C1312" t="s">
        <v>76</v>
      </c>
      <c r="D1312" t="s">
        <v>125</v>
      </c>
      <c r="E1312" t="s">
        <v>78</v>
      </c>
      <c r="F1312" t="s">
        <v>19</v>
      </c>
      <c r="G1312" t="s">
        <v>20</v>
      </c>
      <c r="H1312" t="s">
        <v>109</v>
      </c>
      <c r="I1312" t="s">
        <v>159</v>
      </c>
      <c r="J1312" t="s">
        <v>23</v>
      </c>
      <c r="K1312" t="s">
        <v>35</v>
      </c>
      <c r="L1312">
        <v>6</v>
      </c>
      <c r="M1312">
        <v>19390</v>
      </c>
      <c r="N1312">
        <v>0.08</v>
      </c>
      <c r="O1312">
        <v>12180</v>
      </c>
    </row>
    <row r="1313" spans="1:15" x14ac:dyDescent="0.25">
      <c r="A1313" t="s">
        <v>1462</v>
      </c>
      <c r="B1313">
        <v>45945</v>
      </c>
      <c r="C1313" t="s">
        <v>42</v>
      </c>
      <c r="D1313" t="s">
        <v>43</v>
      </c>
      <c r="E1313" t="s">
        <v>97</v>
      </c>
      <c r="F1313" t="s">
        <v>19</v>
      </c>
      <c r="G1313" t="s">
        <v>83</v>
      </c>
      <c r="H1313" t="s">
        <v>136</v>
      </c>
      <c r="I1313" t="s">
        <v>307</v>
      </c>
      <c r="J1313" t="s">
        <v>40</v>
      </c>
      <c r="K1313" t="s">
        <v>24</v>
      </c>
      <c r="L1313">
        <v>15</v>
      </c>
      <c r="M1313">
        <v>860</v>
      </c>
      <c r="N1313">
        <v>0.05</v>
      </c>
      <c r="O1313">
        <v>480</v>
      </c>
    </row>
    <row r="1314" spans="1:15" x14ac:dyDescent="0.25">
      <c r="A1314" t="s">
        <v>1463</v>
      </c>
      <c r="B1314">
        <v>45945</v>
      </c>
      <c r="C1314" t="s">
        <v>76</v>
      </c>
      <c r="D1314" t="s">
        <v>217</v>
      </c>
      <c r="E1314" t="s">
        <v>78</v>
      </c>
      <c r="F1314" t="s">
        <v>52</v>
      </c>
      <c r="G1314" t="s">
        <v>46</v>
      </c>
      <c r="H1314" t="s">
        <v>179</v>
      </c>
      <c r="I1314" t="s">
        <v>236</v>
      </c>
      <c r="J1314" t="s">
        <v>49</v>
      </c>
      <c r="K1314" t="s">
        <v>24</v>
      </c>
      <c r="L1314">
        <v>5</v>
      </c>
      <c r="M1314">
        <v>2190</v>
      </c>
      <c r="N1314">
        <v>0.12</v>
      </c>
      <c r="O1314">
        <v>1570</v>
      </c>
    </row>
    <row r="1315" spans="1:15" x14ac:dyDescent="0.25">
      <c r="A1315" t="s">
        <v>1464</v>
      </c>
      <c r="B1315">
        <v>45946</v>
      </c>
      <c r="C1315" t="s">
        <v>42</v>
      </c>
      <c r="D1315" t="s">
        <v>123</v>
      </c>
      <c r="E1315" t="s">
        <v>44</v>
      </c>
      <c r="F1315" t="s">
        <v>19</v>
      </c>
      <c r="G1315" t="s">
        <v>20</v>
      </c>
      <c r="H1315" t="s">
        <v>21</v>
      </c>
      <c r="I1315" t="s">
        <v>362</v>
      </c>
      <c r="J1315" t="s">
        <v>23</v>
      </c>
      <c r="K1315" t="s">
        <v>24</v>
      </c>
      <c r="L1315">
        <v>4</v>
      </c>
      <c r="M1315">
        <v>9270</v>
      </c>
      <c r="N1315">
        <v>0</v>
      </c>
      <c r="O1315">
        <v>6150</v>
      </c>
    </row>
    <row r="1316" spans="1:15" x14ac:dyDescent="0.25">
      <c r="A1316" t="s">
        <v>1465</v>
      </c>
      <c r="B1316">
        <v>45947</v>
      </c>
      <c r="C1316" t="s">
        <v>37</v>
      </c>
      <c r="D1316" t="s">
        <v>38</v>
      </c>
      <c r="E1316" t="s">
        <v>39</v>
      </c>
      <c r="F1316" t="s">
        <v>19</v>
      </c>
      <c r="G1316" t="s">
        <v>20</v>
      </c>
      <c r="H1316" t="s">
        <v>87</v>
      </c>
      <c r="I1316" t="s">
        <v>105</v>
      </c>
      <c r="J1316" t="s">
        <v>23</v>
      </c>
      <c r="K1316" t="s">
        <v>24</v>
      </c>
      <c r="L1316">
        <v>1</v>
      </c>
      <c r="M1316">
        <v>50720</v>
      </c>
      <c r="N1316">
        <v>0</v>
      </c>
      <c r="O1316">
        <v>29620</v>
      </c>
    </row>
    <row r="1317" spans="1:15" x14ac:dyDescent="0.25">
      <c r="A1317" t="s">
        <v>1466</v>
      </c>
      <c r="B1317">
        <v>45947</v>
      </c>
      <c r="C1317" t="s">
        <v>37</v>
      </c>
      <c r="D1317" t="s">
        <v>115</v>
      </c>
      <c r="E1317" t="s">
        <v>39</v>
      </c>
      <c r="F1317" t="s">
        <v>45</v>
      </c>
      <c r="G1317" t="s">
        <v>83</v>
      </c>
      <c r="H1317" t="s">
        <v>136</v>
      </c>
      <c r="I1317" t="s">
        <v>307</v>
      </c>
      <c r="J1317" t="s">
        <v>23</v>
      </c>
      <c r="K1317" t="s">
        <v>24</v>
      </c>
      <c r="L1317">
        <v>47</v>
      </c>
      <c r="M1317">
        <v>930</v>
      </c>
      <c r="N1317">
        <v>0</v>
      </c>
      <c r="O1317">
        <v>680</v>
      </c>
    </row>
    <row r="1318" spans="1:15" x14ac:dyDescent="0.25">
      <c r="A1318" t="s">
        <v>1467</v>
      </c>
      <c r="B1318">
        <v>45947</v>
      </c>
      <c r="C1318" t="s">
        <v>42</v>
      </c>
      <c r="D1318" t="s">
        <v>146</v>
      </c>
      <c r="E1318" t="s">
        <v>97</v>
      </c>
      <c r="F1318" t="s">
        <v>92</v>
      </c>
      <c r="G1318" t="s">
        <v>27</v>
      </c>
      <c r="H1318" t="s">
        <v>28</v>
      </c>
      <c r="I1318" t="s">
        <v>29</v>
      </c>
      <c r="J1318" t="s">
        <v>40</v>
      </c>
      <c r="K1318" t="s">
        <v>94</v>
      </c>
      <c r="L1318">
        <v>10</v>
      </c>
      <c r="M1318">
        <v>29230</v>
      </c>
      <c r="N1318">
        <v>0</v>
      </c>
      <c r="O1318">
        <v>17160</v>
      </c>
    </row>
    <row r="1319" spans="1:15" x14ac:dyDescent="0.25">
      <c r="A1319" t="s">
        <v>1468</v>
      </c>
      <c r="B1319">
        <v>45948</v>
      </c>
      <c r="C1319" t="s">
        <v>56</v>
      </c>
      <c r="D1319" t="s">
        <v>143</v>
      </c>
      <c r="E1319" t="s">
        <v>58</v>
      </c>
      <c r="F1319" t="s">
        <v>92</v>
      </c>
      <c r="G1319" t="s">
        <v>20</v>
      </c>
      <c r="H1319" t="s">
        <v>33</v>
      </c>
      <c r="I1319" t="s">
        <v>139</v>
      </c>
      <c r="J1319" t="s">
        <v>40</v>
      </c>
      <c r="K1319" t="s">
        <v>24</v>
      </c>
      <c r="L1319">
        <v>6</v>
      </c>
      <c r="M1319">
        <v>65270</v>
      </c>
      <c r="N1319">
        <v>0.12</v>
      </c>
      <c r="O1319">
        <v>39810</v>
      </c>
    </row>
    <row r="1320" spans="1:15" x14ac:dyDescent="0.25">
      <c r="A1320" t="s">
        <v>1469</v>
      </c>
      <c r="B1320">
        <v>45948</v>
      </c>
      <c r="C1320" t="s">
        <v>76</v>
      </c>
      <c r="D1320" t="s">
        <v>217</v>
      </c>
      <c r="E1320" t="s">
        <v>78</v>
      </c>
      <c r="F1320" t="s">
        <v>92</v>
      </c>
      <c r="G1320" t="s">
        <v>46</v>
      </c>
      <c r="H1320" t="s">
        <v>179</v>
      </c>
      <c r="I1320" t="s">
        <v>221</v>
      </c>
      <c r="J1320" t="s">
        <v>49</v>
      </c>
      <c r="K1320" t="s">
        <v>24</v>
      </c>
      <c r="L1320">
        <v>38</v>
      </c>
      <c r="M1320">
        <v>1710</v>
      </c>
      <c r="N1320">
        <v>0.18</v>
      </c>
      <c r="O1320">
        <v>990</v>
      </c>
    </row>
    <row r="1321" spans="1:15" x14ac:dyDescent="0.25">
      <c r="A1321" t="s">
        <v>1470</v>
      </c>
      <c r="B1321">
        <v>45949</v>
      </c>
      <c r="C1321" t="s">
        <v>42</v>
      </c>
      <c r="D1321" t="s">
        <v>96</v>
      </c>
      <c r="E1321" t="s">
        <v>97</v>
      </c>
      <c r="F1321" t="s">
        <v>19</v>
      </c>
      <c r="G1321" t="s">
        <v>27</v>
      </c>
      <c r="H1321" t="s">
        <v>214</v>
      </c>
      <c r="I1321" t="s">
        <v>215</v>
      </c>
      <c r="J1321" t="s">
        <v>23</v>
      </c>
      <c r="K1321" t="s">
        <v>24</v>
      </c>
      <c r="L1321">
        <v>4</v>
      </c>
      <c r="M1321">
        <v>32560</v>
      </c>
      <c r="N1321">
        <v>0.15</v>
      </c>
      <c r="O1321">
        <v>18530</v>
      </c>
    </row>
    <row r="1322" spans="1:15" x14ac:dyDescent="0.25">
      <c r="A1322" t="s">
        <v>1471</v>
      </c>
      <c r="B1322">
        <v>45949</v>
      </c>
      <c r="C1322" t="s">
        <v>56</v>
      </c>
      <c r="D1322" t="s">
        <v>103</v>
      </c>
      <c r="E1322" t="s">
        <v>134</v>
      </c>
      <c r="F1322" t="s">
        <v>52</v>
      </c>
      <c r="G1322" t="s">
        <v>46</v>
      </c>
      <c r="H1322" t="s">
        <v>179</v>
      </c>
      <c r="I1322" t="s">
        <v>236</v>
      </c>
      <c r="J1322" t="s">
        <v>23</v>
      </c>
      <c r="K1322" t="s">
        <v>94</v>
      </c>
      <c r="L1322">
        <v>6</v>
      </c>
      <c r="M1322">
        <v>2320</v>
      </c>
      <c r="N1322">
        <v>0.05</v>
      </c>
      <c r="O1322">
        <v>1330</v>
      </c>
    </row>
    <row r="1323" spans="1:15" x14ac:dyDescent="0.25">
      <c r="A1323" t="s">
        <v>1472</v>
      </c>
      <c r="B1323">
        <v>45950</v>
      </c>
      <c r="C1323" t="s">
        <v>16</v>
      </c>
      <c r="D1323" t="s">
        <v>191</v>
      </c>
      <c r="E1323" t="s">
        <v>18</v>
      </c>
      <c r="F1323" t="s">
        <v>19</v>
      </c>
      <c r="G1323" t="s">
        <v>27</v>
      </c>
      <c r="H1323" t="s">
        <v>214</v>
      </c>
      <c r="I1323" t="s">
        <v>252</v>
      </c>
      <c r="J1323" t="s">
        <v>23</v>
      </c>
      <c r="K1323" t="s">
        <v>24</v>
      </c>
      <c r="L1323">
        <v>8</v>
      </c>
      <c r="M1323">
        <v>14480</v>
      </c>
      <c r="N1323">
        <v>0.08</v>
      </c>
      <c r="O1323">
        <v>9010</v>
      </c>
    </row>
    <row r="1324" spans="1:15" x14ac:dyDescent="0.25">
      <c r="A1324" t="s">
        <v>1473</v>
      </c>
      <c r="B1324">
        <v>45950</v>
      </c>
      <c r="C1324" t="s">
        <v>37</v>
      </c>
      <c r="D1324" t="s">
        <v>38</v>
      </c>
      <c r="E1324" t="s">
        <v>39</v>
      </c>
      <c r="F1324" t="s">
        <v>19</v>
      </c>
      <c r="G1324" t="s">
        <v>27</v>
      </c>
      <c r="H1324" t="s">
        <v>214</v>
      </c>
      <c r="I1324" t="s">
        <v>215</v>
      </c>
      <c r="J1324" t="s">
        <v>23</v>
      </c>
      <c r="K1324" t="s">
        <v>119</v>
      </c>
      <c r="L1324">
        <v>1</v>
      </c>
      <c r="M1324">
        <v>34450</v>
      </c>
      <c r="N1324">
        <v>0.15</v>
      </c>
      <c r="O1324">
        <v>25480</v>
      </c>
    </row>
    <row r="1325" spans="1:15" x14ac:dyDescent="0.25">
      <c r="A1325" t="s">
        <v>1474</v>
      </c>
      <c r="B1325">
        <v>45950</v>
      </c>
      <c r="C1325" t="s">
        <v>56</v>
      </c>
      <c r="D1325" t="s">
        <v>133</v>
      </c>
      <c r="E1325" t="s">
        <v>134</v>
      </c>
      <c r="F1325" t="s">
        <v>52</v>
      </c>
      <c r="G1325" t="s">
        <v>83</v>
      </c>
      <c r="H1325" t="s">
        <v>84</v>
      </c>
      <c r="I1325" t="s">
        <v>292</v>
      </c>
      <c r="J1325" t="s">
        <v>40</v>
      </c>
      <c r="K1325" t="s">
        <v>24</v>
      </c>
      <c r="L1325">
        <v>1</v>
      </c>
      <c r="M1325">
        <v>42240</v>
      </c>
      <c r="N1325">
        <v>0.08</v>
      </c>
      <c r="O1325">
        <v>31810</v>
      </c>
    </row>
    <row r="1326" spans="1:15" x14ac:dyDescent="0.25">
      <c r="A1326" t="s">
        <v>1475</v>
      </c>
      <c r="B1326">
        <v>45950</v>
      </c>
      <c r="C1326" t="s">
        <v>37</v>
      </c>
      <c r="D1326" t="s">
        <v>161</v>
      </c>
      <c r="E1326" t="s">
        <v>39</v>
      </c>
      <c r="F1326" t="s">
        <v>19</v>
      </c>
      <c r="G1326" t="s">
        <v>27</v>
      </c>
      <c r="H1326" t="s">
        <v>28</v>
      </c>
      <c r="I1326" t="s">
        <v>29</v>
      </c>
      <c r="J1326" t="s">
        <v>23</v>
      </c>
      <c r="K1326" t="s">
        <v>24</v>
      </c>
      <c r="L1326">
        <v>3</v>
      </c>
      <c r="M1326">
        <v>27690</v>
      </c>
      <c r="N1326">
        <v>0.1</v>
      </c>
      <c r="O1326">
        <v>16320</v>
      </c>
    </row>
    <row r="1327" spans="1:15" x14ac:dyDescent="0.25">
      <c r="A1327" t="s">
        <v>1476</v>
      </c>
      <c r="B1327">
        <v>45950</v>
      </c>
      <c r="C1327" t="s">
        <v>42</v>
      </c>
      <c r="D1327" t="s">
        <v>265</v>
      </c>
      <c r="E1327" t="s">
        <v>44</v>
      </c>
      <c r="F1327" t="s">
        <v>19</v>
      </c>
      <c r="G1327" t="s">
        <v>20</v>
      </c>
      <c r="H1327" t="s">
        <v>87</v>
      </c>
      <c r="I1327" t="s">
        <v>105</v>
      </c>
      <c r="J1327" t="s">
        <v>40</v>
      </c>
      <c r="K1327" t="s">
        <v>24</v>
      </c>
      <c r="L1327">
        <v>1</v>
      </c>
      <c r="M1327">
        <v>50960</v>
      </c>
      <c r="N1327">
        <v>0.1</v>
      </c>
      <c r="O1327">
        <v>34720</v>
      </c>
    </row>
    <row r="1328" spans="1:15" x14ac:dyDescent="0.25">
      <c r="A1328" t="s">
        <v>1477</v>
      </c>
      <c r="B1328">
        <v>45951</v>
      </c>
      <c r="C1328" t="s">
        <v>76</v>
      </c>
      <c r="D1328" t="s">
        <v>150</v>
      </c>
      <c r="E1328" t="s">
        <v>170</v>
      </c>
      <c r="F1328" t="s">
        <v>19</v>
      </c>
      <c r="G1328" t="s">
        <v>20</v>
      </c>
      <c r="H1328" t="s">
        <v>109</v>
      </c>
      <c r="I1328" t="s">
        <v>171</v>
      </c>
      <c r="J1328" t="s">
        <v>49</v>
      </c>
      <c r="K1328" t="s">
        <v>24</v>
      </c>
      <c r="L1328">
        <v>5</v>
      </c>
      <c r="M1328">
        <v>22730</v>
      </c>
      <c r="N1328">
        <v>0.15</v>
      </c>
      <c r="O1328">
        <v>14230</v>
      </c>
    </row>
    <row r="1329" spans="1:15" x14ac:dyDescent="0.25">
      <c r="A1329" t="s">
        <v>1478</v>
      </c>
      <c r="B1329">
        <v>45951</v>
      </c>
      <c r="C1329" t="s">
        <v>42</v>
      </c>
      <c r="D1329" t="s">
        <v>123</v>
      </c>
      <c r="E1329" t="s">
        <v>44</v>
      </c>
      <c r="F1329" t="s">
        <v>19</v>
      </c>
      <c r="G1329" t="s">
        <v>27</v>
      </c>
      <c r="H1329" t="s">
        <v>214</v>
      </c>
      <c r="I1329" t="s">
        <v>215</v>
      </c>
      <c r="J1329" t="s">
        <v>40</v>
      </c>
      <c r="K1329" t="s">
        <v>24</v>
      </c>
      <c r="L1329">
        <v>4</v>
      </c>
      <c r="M1329">
        <v>33620</v>
      </c>
      <c r="N1329">
        <v>0.15</v>
      </c>
      <c r="O1329">
        <v>23700</v>
      </c>
    </row>
    <row r="1330" spans="1:15" x14ac:dyDescent="0.25">
      <c r="A1330" t="s">
        <v>1479</v>
      </c>
      <c r="B1330">
        <v>45951</v>
      </c>
      <c r="C1330" t="s">
        <v>76</v>
      </c>
      <c r="D1330" t="s">
        <v>125</v>
      </c>
      <c r="E1330" t="s">
        <v>170</v>
      </c>
      <c r="F1330" t="s">
        <v>19</v>
      </c>
      <c r="G1330" t="s">
        <v>20</v>
      </c>
      <c r="H1330" t="s">
        <v>87</v>
      </c>
      <c r="I1330" t="s">
        <v>105</v>
      </c>
      <c r="J1330" t="s">
        <v>49</v>
      </c>
      <c r="K1330" t="s">
        <v>24</v>
      </c>
      <c r="L1330">
        <v>1</v>
      </c>
      <c r="M1330">
        <v>53610</v>
      </c>
      <c r="N1330">
        <v>0.2</v>
      </c>
      <c r="O1330">
        <v>30500</v>
      </c>
    </row>
    <row r="1331" spans="1:15" x14ac:dyDescent="0.25">
      <c r="A1331" t="s">
        <v>1480</v>
      </c>
      <c r="B1331">
        <v>45951</v>
      </c>
      <c r="C1331" t="s">
        <v>76</v>
      </c>
      <c r="D1331" t="s">
        <v>77</v>
      </c>
      <c r="E1331" t="s">
        <v>170</v>
      </c>
      <c r="F1331" t="s">
        <v>19</v>
      </c>
      <c r="G1331" t="s">
        <v>20</v>
      </c>
      <c r="H1331" t="s">
        <v>21</v>
      </c>
      <c r="I1331" t="s">
        <v>65</v>
      </c>
      <c r="J1331" t="s">
        <v>40</v>
      </c>
      <c r="K1331" t="s">
        <v>94</v>
      </c>
      <c r="L1331">
        <v>10</v>
      </c>
      <c r="M1331">
        <v>8300</v>
      </c>
      <c r="N1331">
        <v>0.18</v>
      </c>
      <c r="O1331">
        <v>5670</v>
      </c>
    </row>
    <row r="1332" spans="1:15" x14ac:dyDescent="0.25">
      <c r="A1332" t="s">
        <v>1481</v>
      </c>
      <c r="B1332">
        <v>45951</v>
      </c>
      <c r="C1332" t="s">
        <v>56</v>
      </c>
      <c r="D1332" t="s">
        <v>57</v>
      </c>
      <c r="E1332" t="s">
        <v>58</v>
      </c>
      <c r="F1332" t="s">
        <v>45</v>
      </c>
      <c r="G1332" t="s">
        <v>83</v>
      </c>
      <c r="H1332" t="s">
        <v>184</v>
      </c>
      <c r="I1332" t="s">
        <v>185</v>
      </c>
      <c r="J1332" t="s">
        <v>40</v>
      </c>
      <c r="K1332" t="s">
        <v>24</v>
      </c>
      <c r="L1332">
        <v>15</v>
      </c>
      <c r="M1332">
        <v>4740</v>
      </c>
      <c r="N1332">
        <v>0.15</v>
      </c>
      <c r="O1332">
        <v>3140</v>
      </c>
    </row>
    <row r="1333" spans="1:15" x14ac:dyDescent="0.25">
      <c r="A1333" t="s">
        <v>1482</v>
      </c>
      <c r="B1333">
        <v>45952</v>
      </c>
      <c r="C1333" t="s">
        <v>56</v>
      </c>
      <c r="D1333" t="s">
        <v>103</v>
      </c>
      <c r="E1333" t="s">
        <v>58</v>
      </c>
      <c r="F1333" t="s">
        <v>92</v>
      </c>
      <c r="G1333" t="s">
        <v>59</v>
      </c>
      <c r="H1333" t="s">
        <v>154</v>
      </c>
      <c r="I1333" t="s">
        <v>249</v>
      </c>
      <c r="J1333" t="s">
        <v>40</v>
      </c>
      <c r="K1333" t="s">
        <v>35</v>
      </c>
      <c r="L1333">
        <v>17</v>
      </c>
      <c r="M1333">
        <v>6710</v>
      </c>
      <c r="N1333">
        <v>0</v>
      </c>
      <c r="O1333">
        <v>4890</v>
      </c>
    </row>
    <row r="1334" spans="1:15" x14ac:dyDescent="0.25">
      <c r="A1334" t="s">
        <v>1483</v>
      </c>
      <c r="B1334">
        <v>45952</v>
      </c>
      <c r="C1334" t="s">
        <v>16</v>
      </c>
      <c r="D1334" t="s">
        <v>17</v>
      </c>
      <c r="E1334" t="s">
        <v>32</v>
      </c>
      <c r="F1334" t="s">
        <v>52</v>
      </c>
      <c r="G1334" t="s">
        <v>59</v>
      </c>
      <c r="H1334" t="s">
        <v>60</v>
      </c>
      <c r="I1334" t="s">
        <v>61</v>
      </c>
      <c r="J1334" t="s">
        <v>40</v>
      </c>
      <c r="K1334" t="s">
        <v>94</v>
      </c>
      <c r="L1334">
        <v>1</v>
      </c>
      <c r="M1334">
        <v>24550</v>
      </c>
      <c r="N1334">
        <v>0.2</v>
      </c>
      <c r="O1334">
        <v>15180</v>
      </c>
    </row>
    <row r="1335" spans="1:15" x14ac:dyDescent="0.25">
      <c r="A1335" t="s">
        <v>1484</v>
      </c>
      <c r="B1335">
        <v>45952</v>
      </c>
      <c r="C1335" t="s">
        <v>37</v>
      </c>
      <c r="D1335" t="s">
        <v>213</v>
      </c>
      <c r="E1335" t="s">
        <v>39</v>
      </c>
      <c r="F1335" t="s">
        <v>52</v>
      </c>
      <c r="G1335" t="s">
        <v>20</v>
      </c>
      <c r="H1335" t="s">
        <v>109</v>
      </c>
      <c r="I1335" t="s">
        <v>110</v>
      </c>
      <c r="J1335" t="s">
        <v>49</v>
      </c>
      <c r="K1335" t="s">
        <v>119</v>
      </c>
      <c r="L1335">
        <v>1</v>
      </c>
      <c r="M1335">
        <v>64990</v>
      </c>
      <c r="N1335">
        <v>0.1</v>
      </c>
      <c r="O1335">
        <v>44390</v>
      </c>
    </row>
    <row r="1336" spans="1:15" x14ac:dyDescent="0.25">
      <c r="A1336" t="s">
        <v>1485</v>
      </c>
      <c r="B1336">
        <v>45953</v>
      </c>
      <c r="C1336" t="s">
        <v>42</v>
      </c>
      <c r="D1336" t="s">
        <v>130</v>
      </c>
      <c r="E1336" t="s">
        <v>44</v>
      </c>
      <c r="F1336" t="s">
        <v>19</v>
      </c>
      <c r="G1336" t="s">
        <v>59</v>
      </c>
      <c r="H1336" t="s">
        <v>60</v>
      </c>
      <c r="I1336" t="s">
        <v>61</v>
      </c>
      <c r="J1336" t="s">
        <v>23</v>
      </c>
      <c r="K1336" t="s">
        <v>24</v>
      </c>
      <c r="L1336">
        <v>1</v>
      </c>
      <c r="M1336">
        <v>24520</v>
      </c>
      <c r="N1336">
        <v>0.1</v>
      </c>
      <c r="O1336">
        <v>16440</v>
      </c>
    </row>
    <row r="1337" spans="1:15" x14ac:dyDescent="0.25">
      <c r="A1337" t="s">
        <v>1486</v>
      </c>
      <c r="B1337">
        <v>45953</v>
      </c>
      <c r="C1337" t="s">
        <v>56</v>
      </c>
      <c r="D1337" t="s">
        <v>57</v>
      </c>
      <c r="E1337" t="s">
        <v>91</v>
      </c>
      <c r="F1337" t="s">
        <v>19</v>
      </c>
      <c r="G1337" t="s">
        <v>20</v>
      </c>
      <c r="H1337" t="s">
        <v>109</v>
      </c>
      <c r="I1337" t="s">
        <v>171</v>
      </c>
      <c r="J1337" t="s">
        <v>23</v>
      </c>
      <c r="K1337" t="s">
        <v>24</v>
      </c>
      <c r="L1337">
        <v>8</v>
      </c>
      <c r="M1337">
        <v>21460</v>
      </c>
      <c r="N1337">
        <v>0.1</v>
      </c>
      <c r="O1337">
        <v>14060</v>
      </c>
    </row>
    <row r="1338" spans="1:15" x14ac:dyDescent="0.25">
      <c r="A1338" t="s">
        <v>1487</v>
      </c>
      <c r="B1338">
        <v>45954</v>
      </c>
      <c r="C1338" t="s">
        <v>56</v>
      </c>
      <c r="D1338" t="s">
        <v>72</v>
      </c>
      <c r="E1338" t="s">
        <v>134</v>
      </c>
      <c r="F1338" t="s">
        <v>19</v>
      </c>
      <c r="G1338" t="s">
        <v>20</v>
      </c>
      <c r="H1338" t="s">
        <v>21</v>
      </c>
      <c r="I1338" t="s">
        <v>65</v>
      </c>
      <c r="J1338" t="s">
        <v>40</v>
      </c>
      <c r="K1338" t="s">
        <v>24</v>
      </c>
      <c r="L1338">
        <v>13</v>
      </c>
      <c r="M1338">
        <v>8760</v>
      </c>
      <c r="N1338">
        <v>0.15</v>
      </c>
      <c r="O1338">
        <v>5960</v>
      </c>
    </row>
    <row r="1339" spans="1:15" x14ac:dyDescent="0.25">
      <c r="A1339" t="s">
        <v>1488</v>
      </c>
      <c r="B1339">
        <v>45955</v>
      </c>
      <c r="C1339" t="s">
        <v>37</v>
      </c>
      <c r="D1339" t="s">
        <v>166</v>
      </c>
      <c r="E1339" t="s">
        <v>39</v>
      </c>
      <c r="F1339" t="s">
        <v>45</v>
      </c>
      <c r="G1339" t="s">
        <v>20</v>
      </c>
      <c r="H1339" t="s">
        <v>109</v>
      </c>
      <c r="I1339" t="s">
        <v>171</v>
      </c>
      <c r="J1339" t="s">
        <v>23</v>
      </c>
      <c r="K1339" t="s">
        <v>24</v>
      </c>
      <c r="L1339">
        <v>2</v>
      </c>
      <c r="M1339">
        <v>22500</v>
      </c>
      <c r="N1339">
        <v>0.1</v>
      </c>
      <c r="O1339">
        <v>15400</v>
      </c>
    </row>
    <row r="1340" spans="1:15" x14ac:dyDescent="0.25">
      <c r="A1340" t="s">
        <v>1489</v>
      </c>
      <c r="B1340">
        <v>45956</v>
      </c>
      <c r="C1340" t="s">
        <v>42</v>
      </c>
      <c r="D1340" t="s">
        <v>130</v>
      </c>
      <c r="E1340" t="s">
        <v>64</v>
      </c>
      <c r="F1340" t="s">
        <v>52</v>
      </c>
      <c r="G1340" t="s">
        <v>46</v>
      </c>
      <c r="H1340" t="s">
        <v>100</v>
      </c>
      <c r="I1340" t="s">
        <v>177</v>
      </c>
      <c r="J1340" t="s">
        <v>23</v>
      </c>
      <c r="K1340" t="s">
        <v>24</v>
      </c>
      <c r="L1340">
        <v>6</v>
      </c>
      <c r="M1340">
        <v>2450</v>
      </c>
      <c r="N1340">
        <v>0.05</v>
      </c>
      <c r="O1340">
        <v>1740</v>
      </c>
    </row>
    <row r="1341" spans="1:15" x14ac:dyDescent="0.25">
      <c r="A1341" t="s">
        <v>1490</v>
      </c>
      <c r="B1341">
        <v>45956</v>
      </c>
      <c r="C1341" t="s">
        <v>76</v>
      </c>
      <c r="D1341" t="s">
        <v>150</v>
      </c>
      <c r="E1341" t="s">
        <v>170</v>
      </c>
      <c r="F1341" t="s">
        <v>19</v>
      </c>
      <c r="G1341" t="s">
        <v>27</v>
      </c>
      <c r="H1341" t="s">
        <v>28</v>
      </c>
      <c r="I1341" t="s">
        <v>141</v>
      </c>
      <c r="J1341" t="s">
        <v>23</v>
      </c>
      <c r="K1341" t="s">
        <v>24</v>
      </c>
      <c r="L1341">
        <v>6</v>
      </c>
      <c r="M1341">
        <v>16340</v>
      </c>
      <c r="N1341">
        <v>0.25</v>
      </c>
      <c r="O1341">
        <v>12620</v>
      </c>
    </row>
    <row r="1342" spans="1:15" x14ac:dyDescent="0.25">
      <c r="A1342" t="s">
        <v>1491</v>
      </c>
      <c r="B1342">
        <v>45956</v>
      </c>
      <c r="C1342" t="s">
        <v>42</v>
      </c>
      <c r="D1342" t="s">
        <v>265</v>
      </c>
      <c r="E1342" t="s">
        <v>64</v>
      </c>
      <c r="F1342" t="s">
        <v>45</v>
      </c>
      <c r="G1342" t="s">
        <v>83</v>
      </c>
      <c r="H1342" t="s">
        <v>84</v>
      </c>
      <c r="I1342" t="s">
        <v>85</v>
      </c>
      <c r="J1342" t="s">
        <v>23</v>
      </c>
      <c r="K1342" t="s">
        <v>24</v>
      </c>
      <c r="L1342">
        <v>50</v>
      </c>
      <c r="M1342">
        <v>2320</v>
      </c>
      <c r="N1342">
        <v>0.15</v>
      </c>
      <c r="O1342">
        <v>1780</v>
      </c>
    </row>
    <row r="1343" spans="1:15" x14ac:dyDescent="0.25">
      <c r="A1343" t="s">
        <v>1492</v>
      </c>
      <c r="B1343">
        <v>45957</v>
      </c>
      <c r="C1343" t="s">
        <v>76</v>
      </c>
      <c r="D1343" t="s">
        <v>125</v>
      </c>
      <c r="E1343" t="s">
        <v>170</v>
      </c>
      <c r="F1343" t="s">
        <v>19</v>
      </c>
      <c r="G1343" t="s">
        <v>27</v>
      </c>
      <c r="H1343" t="s">
        <v>53</v>
      </c>
      <c r="I1343" t="s">
        <v>54</v>
      </c>
      <c r="J1343" t="s">
        <v>40</v>
      </c>
      <c r="K1343" t="s">
        <v>24</v>
      </c>
      <c r="L1343">
        <v>1</v>
      </c>
      <c r="M1343">
        <v>42260</v>
      </c>
      <c r="N1343">
        <v>0.12</v>
      </c>
      <c r="O1343">
        <v>30170</v>
      </c>
    </row>
    <row r="1344" spans="1:15" x14ac:dyDescent="0.25">
      <c r="A1344" t="s">
        <v>1493</v>
      </c>
      <c r="B1344">
        <v>45957</v>
      </c>
      <c r="C1344" t="s">
        <v>56</v>
      </c>
      <c r="D1344" t="s">
        <v>127</v>
      </c>
      <c r="E1344" t="s">
        <v>58</v>
      </c>
      <c r="F1344" t="s">
        <v>19</v>
      </c>
      <c r="G1344" t="s">
        <v>20</v>
      </c>
      <c r="H1344" t="s">
        <v>87</v>
      </c>
      <c r="I1344" t="s">
        <v>105</v>
      </c>
      <c r="J1344" t="s">
        <v>40</v>
      </c>
      <c r="K1344" t="s">
        <v>94</v>
      </c>
      <c r="L1344">
        <v>1</v>
      </c>
      <c r="M1344">
        <v>53950</v>
      </c>
      <c r="N1344">
        <v>0.1</v>
      </c>
      <c r="O1344">
        <v>36470</v>
      </c>
    </row>
    <row r="1345" spans="1:15" x14ac:dyDescent="0.25">
      <c r="A1345" t="s">
        <v>1494</v>
      </c>
      <c r="B1345">
        <v>45958</v>
      </c>
      <c r="C1345" t="s">
        <v>37</v>
      </c>
      <c r="D1345" t="s">
        <v>115</v>
      </c>
      <c r="E1345" t="s">
        <v>39</v>
      </c>
      <c r="F1345" t="s">
        <v>45</v>
      </c>
      <c r="G1345" t="s">
        <v>27</v>
      </c>
      <c r="H1345" t="s">
        <v>214</v>
      </c>
      <c r="I1345" t="s">
        <v>252</v>
      </c>
      <c r="J1345" t="s">
        <v>49</v>
      </c>
      <c r="K1345" t="s">
        <v>24</v>
      </c>
      <c r="L1345">
        <v>7</v>
      </c>
      <c r="M1345">
        <v>13410</v>
      </c>
      <c r="N1345">
        <v>0.05</v>
      </c>
      <c r="O1345">
        <v>8880</v>
      </c>
    </row>
    <row r="1346" spans="1:15" x14ac:dyDescent="0.25">
      <c r="A1346" t="s">
        <v>1495</v>
      </c>
      <c r="B1346">
        <v>45958</v>
      </c>
      <c r="C1346" t="s">
        <v>16</v>
      </c>
      <c r="D1346" t="s">
        <v>153</v>
      </c>
      <c r="E1346" t="s">
        <v>26</v>
      </c>
      <c r="F1346" t="s">
        <v>52</v>
      </c>
      <c r="G1346" t="s">
        <v>83</v>
      </c>
      <c r="H1346" t="s">
        <v>184</v>
      </c>
      <c r="I1346" t="s">
        <v>196</v>
      </c>
      <c r="J1346" t="s">
        <v>23</v>
      </c>
      <c r="K1346" t="s">
        <v>35</v>
      </c>
      <c r="L1346">
        <v>12</v>
      </c>
      <c r="M1346">
        <v>3390</v>
      </c>
      <c r="N1346">
        <v>0.25</v>
      </c>
      <c r="O1346">
        <v>2500</v>
      </c>
    </row>
    <row r="1347" spans="1:15" x14ac:dyDescent="0.25">
      <c r="A1347" t="s">
        <v>1496</v>
      </c>
      <c r="B1347">
        <v>45959</v>
      </c>
      <c r="C1347" t="s">
        <v>16</v>
      </c>
      <c r="D1347" t="s">
        <v>51</v>
      </c>
      <c r="E1347" t="s">
        <v>32</v>
      </c>
      <c r="F1347" t="s">
        <v>19</v>
      </c>
      <c r="G1347" t="s">
        <v>20</v>
      </c>
      <c r="H1347" t="s">
        <v>21</v>
      </c>
      <c r="I1347" t="s">
        <v>362</v>
      </c>
      <c r="J1347" t="s">
        <v>40</v>
      </c>
      <c r="K1347" t="s">
        <v>24</v>
      </c>
      <c r="L1347">
        <v>13</v>
      </c>
      <c r="M1347">
        <v>8750</v>
      </c>
      <c r="N1347">
        <v>0.08</v>
      </c>
      <c r="O1347">
        <v>5400</v>
      </c>
    </row>
    <row r="1348" spans="1:15" x14ac:dyDescent="0.25">
      <c r="A1348" t="s">
        <v>1497</v>
      </c>
      <c r="B1348">
        <v>45959</v>
      </c>
      <c r="C1348" t="s">
        <v>42</v>
      </c>
      <c r="D1348" t="s">
        <v>123</v>
      </c>
      <c r="E1348" t="s">
        <v>44</v>
      </c>
      <c r="F1348" t="s">
        <v>92</v>
      </c>
      <c r="G1348" t="s">
        <v>59</v>
      </c>
      <c r="H1348" t="s">
        <v>73</v>
      </c>
      <c r="I1348" t="s">
        <v>74</v>
      </c>
      <c r="J1348" t="s">
        <v>49</v>
      </c>
      <c r="K1348" t="s">
        <v>24</v>
      </c>
      <c r="L1348">
        <v>1</v>
      </c>
      <c r="M1348">
        <v>44550</v>
      </c>
      <c r="N1348">
        <v>0.15</v>
      </c>
      <c r="O1348">
        <v>31820</v>
      </c>
    </row>
    <row r="1349" spans="1:15" x14ac:dyDescent="0.25">
      <c r="A1349" t="s">
        <v>1498</v>
      </c>
      <c r="B1349">
        <v>45960</v>
      </c>
      <c r="C1349" t="s">
        <v>76</v>
      </c>
      <c r="D1349" t="s">
        <v>77</v>
      </c>
      <c r="E1349" t="s">
        <v>170</v>
      </c>
      <c r="F1349" t="s">
        <v>19</v>
      </c>
      <c r="G1349" t="s">
        <v>27</v>
      </c>
      <c r="H1349" t="s">
        <v>53</v>
      </c>
      <c r="I1349" t="s">
        <v>131</v>
      </c>
      <c r="J1349" t="s">
        <v>40</v>
      </c>
      <c r="K1349" t="s">
        <v>35</v>
      </c>
      <c r="L1349">
        <v>4</v>
      </c>
      <c r="M1349">
        <v>35930</v>
      </c>
      <c r="N1349">
        <v>0.08</v>
      </c>
      <c r="O1349">
        <v>22000</v>
      </c>
    </row>
    <row r="1350" spans="1:15" x14ac:dyDescent="0.25">
      <c r="A1350" t="s">
        <v>1499</v>
      </c>
      <c r="B1350">
        <v>45960</v>
      </c>
      <c r="C1350" t="s">
        <v>37</v>
      </c>
      <c r="D1350" t="s">
        <v>166</v>
      </c>
      <c r="E1350" t="s">
        <v>68</v>
      </c>
      <c r="F1350" t="s">
        <v>92</v>
      </c>
      <c r="G1350" t="s">
        <v>59</v>
      </c>
      <c r="H1350" t="s">
        <v>154</v>
      </c>
      <c r="I1350" t="s">
        <v>155</v>
      </c>
      <c r="J1350" t="s">
        <v>40</v>
      </c>
      <c r="K1350" t="s">
        <v>24</v>
      </c>
      <c r="L1350">
        <v>6</v>
      </c>
      <c r="M1350">
        <v>11510</v>
      </c>
      <c r="N1350">
        <v>0.15</v>
      </c>
      <c r="O1350">
        <v>8330</v>
      </c>
    </row>
    <row r="1351" spans="1:15" x14ac:dyDescent="0.25">
      <c r="A1351" t="s">
        <v>1500</v>
      </c>
      <c r="B1351">
        <v>45960</v>
      </c>
      <c r="C1351" t="s">
        <v>42</v>
      </c>
      <c r="D1351" t="s">
        <v>130</v>
      </c>
      <c r="E1351" t="s">
        <v>44</v>
      </c>
      <c r="F1351" t="s">
        <v>92</v>
      </c>
      <c r="G1351" t="s">
        <v>83</v>
      </c>
      <c r="H1351" t="s">
        <v>136</v>
      </c>
      <c r="I1351" t="s">
        <v>307</v>
      </c>
      <c r="J1351" t="s">
        <v>23</v>
      </c>
      <c r="K1351" t="s">
        <v>24</v>
      </c>
      <c r="L1351">
        <v>18</v>
      </c>
      <c r="M1351">
        <v>970</v>
      </c>
      <c r="N1351">
        <v>0.1</v>
      </c>
      <c r="O1351">
        <v>660</v>
      </c>
    </row>
    <row r="1352" spans="1:15" x14ac:dyDescent="0.25">
      <c r="A1352" t="s">
        <v>1501</v>
      </c>
      <c r="B1352">
        <v>45960</v>
      </c>
      <c r="C1352" t="s">
        <v>76</v>
      </c>
      <c r="D1352" t="s">
        <v>112</v>
      </c>
      <c r="E1352" t="s">
        <v>170</v>
      </c>
      <c r="F1352" t="s">
        <v>45</v>
      </c>
      <c r="G1352" t="s">
        <v>20</v>
      </c>
      <c r="H1352" t="s">
        <v>109</v>
      </c>
      <c r="I1352" t="s">
        <v>159</v>
      </c>
      <c r="J1352" t="s">
        <v>40</v>
      </c>
      <c r="K1352" t="s">
        <v>24</v>
      </c>
      <c r="L1352">
        <v>12</v>
      </c>
      <c r="M1352">
        <v>18140</v>
      </c>
      <c r="N1352">
        <v>0.05</v>
      </c>
      <c r="O1352">
        <v>13830</v>
      </c>
    </row>
    <row r="1353" spans="1:15" x14ac:dyDescent="0.25">
      <c r="A1353" t="s">
        <v>1502</v>
      </c>
      <c r="B1353">
        <v>45960</v>
      </c>
      <c r="C1353" t="s">
        <v>76</v>
      </c>
      <c r="D1353" t="s">
        <v>150</v>
      </c>
      <c r="E1353" t="s">
        <v>78</v>
      </c>
      <c r="F1353" t="s">
        <v>45</v>
      </c>
      <c r="G1353" t="s">
        <v>27</v>
      </c>
      <c r="H1353" t="s">
        <v>79</v>
      </c>
      <c r="I1353" t="s">
        <v>262</v>
      </c>
      <c r="J1353" t="s">
        <v>49</v>
      </c>
      <c r="K1353" t="s">
        <v>24</v>
      </c>
      <c r="L1353">
        <v>38</v>
      </c>
      <c r="M1353">
        <v>2580</v>
      </c>
      <c r="N1353">
        <v>0.2</v>
      </c>
      <c r="O1353">
        <v>1880</v>
      </c>
    </row>
    <row r="1354" spans="1:15" x14ac:dyDescent="0.25">
      <c r="A1354" t="s">
        <v>1503</v>
      </c>
      <c r="B1354">
        <v>45960</v>
      </c>
      <c r="C1354" t="s">
        <v>56</v>
      </c>
      <c r="D1354" t="s">
        <v>57</v>
      </c>
      <c r="E1354" t="s">
        <v>134</v>
      </c>
      <c r="F1354" t="s">
        <v>52</v>
      </c>
      <c r="G1354" t="s">
        <v>27</v>
      </c>
      <c r="H1354" t="s">
        <v>28</v>
      </c>
      <c r="I1354" t="s">
        <v>29</v>
      </c>
      <c r="J1354" t="s">
        <v>23</v>
      </c>
      <c r="K1354" t="s">
        <v>24</v>
      </c>
      <c r="L1354">
        <v>8</v>
      </c>
      <c r="M1354">
        <v>27270</v>
      </c>
      <c r="N1354">
        <v>0.18</v>
      </c>
      <c r="O1354">
        <v>17190</v>
      </c>
    </row>
    <row r="1355" spans="1:15" x14ac:dyDescent="0.25">
      <c r="A1355" t="s">
        <v>1504</v>
      </c>
      <c r="B1355">
        <v>45961</v>
      </c>
      <c r="C1355" t="s">
        <v>42</v>
      </c>
      <c r="D1355" t="s">
        <v>123</v>
      </c>
      <c r="E1355" t="s">
        <v>97</v>
      </c>
      <c r="F1355" t="s">
        <v>45</v>
      </c>
      <c r="G1355" t="s">
        <v>27</v>
      </c>
      <c r="H1355" t="s">
        <v>79</v>
      </c>
      <c r="I1355" t="s">
        <v>80</v>
      </c>
      <c r="J1355" t="s">
        <v>49</v>
      </c>
      <c r="K1355" t="s">
        <v>24</v>
      </c>
      <c r="L1355">
        <v>19</v>
      </c>
      <c r="M1355">
        <v>4810</v>
      </c>
      <c r="N1355">
        <v>0.08</v>
      </c>
      <c r="O1355">
        <v>3560</v>
      </c>
    </row>
    <row r="1356" spans="1:15" x14ac:dyDescent="0.25">
      <c r="A1356" t="s">
        <v>1505</v>
      </c>
      <c r="B1356">
        <v>45961</v>
      </c>
      <c r="C1356" t="s">
        <v>16</v>
      </c>
      <c r="D1356" t="s">
        <v>191</v>
      </c>
      <c r="E1356" t="s">
        <v>26</v>
      </c>
      <c r="F1356" t="s">
        <v>19</v>
      </c>
      <c r="G1356" t="s">
        <v>20</v>
      </c>
      <c r="H1356" t="s">
        <v>109</v>
      </c>
      <c r="I1356" t="s">
        <v>171</v>
      </c>
      <c r="J1356" t="s">
        <v>23</v>
      </c>
      <c r="K1356" t="s">
        <v>24</v>
      </c>
      <c r="L1356">
        <v>6</v>
      </c>
      <c r="M1356">
        <v>22850</v>
      </c>
      <c r="N1356">
        <v>0.15</v>
      </c>
      <c r="O1356">
        <v>15940</v>
      </c>
    </row>
    <row r="1357" spans="1:15" x14ac:dyDescent="0.25">
      <c r="A1357" t="s">
        <v>1506</v>
      </c>
      <c r="B1357">
        <v>45961</v>
      </c>
      <c r="C1357" t="s">
        <v>76</v>
      </c>
      <c r="D1357" t="s">
        <v>217</v>
      </c>
      <c r="E1357" t="s">
        <v>170</v>
      </c>
      <c r="F1357" t="s">
        <v>52</v>
      </c>
      <c r="G1357" t="s">
        <v>83</v>
      </c>
      <c r="H1357" t="s">
        <v>184</v>
      </c>
      <c r="I1357" t="s">
        <v>196</v>
      </c>
      <c r="J1357" t="s">
        <v>49</v>
      </c>
      <c r="K1357" t="s">
        <v>94</v>
      </c>
      <c r="L1357">
        <v>10</v>
      </c>
      <c r="M1357">
        <v>3380</v>
      </c>
      <c r="N1357">
        <v>0.15</v>
      </c>
      <c r="O1357">
        <v>1980</v>
      </c>
    </row>
    <row r="1358" spans="1:15" x14ac:dyDescent="0.25">
      <c r="A1358" t="s">
        <v>1507</v>
      </c>
      <c r="B1358">
        <v>45961</v>
      </c>
      <c r="C1358" t="s">
        <v>56</v>
      </c>
      <c r="D1358" t="s">
        <v>103</v>
      </c>
      <c r="E1358" t="s">
        <v>58</v>
      </c>
      <c r="F1358" t="s">
        <v>45</v>
      </c>
      <c r="G1358" t="s">
        <v>46</v>
      </c>
      <c r="H1358" t="s">
        <v>179</v>
      </c>
      <c r="I1358" t="s">
        <v>236</v>
      </c>
      <c r="J1358" t="s">
        <v>23</v>
      </c>
      <c r="K1358" t="s">
        <v>119</v>
      </c>
      <c r="L1358">
        <v>29</v>
      </c>
      <c r="M1358">
        <v>2320</v>
      </c>
      <c r="N1358">
        <v>0.1</v>
      </c>
      <c r="O1358">
        <v>1480</v>
      </c>
    </row>
    <row r="1359" spans="1:15" x14ac:dyDescent="0.25">
      <c r="A1359" t="s">
        <v>1508</v>
      </c>
      <c r="B1359">
        <v>45961</v>
      </c>
      <c r="C1359" t="s">
        <v>56</v>
      </c>
      <c r="D1359" t="s">
        <v>133</v>
      </c>
      <c r="E1359" t="s">
        <v>91</v>
      </c>
      <c r="F1359" t="s">
        <v>19</v>
      </c>
      <c r="G1359" t="s">
        <v>20</v>
      </c>
      <c r="H1359" t="s">
        <v>33</v>
      </c>
      <c r="I1359" t="s">
        <v>139</v>
      </c>
      <c r="J1359" t="s">
        <v>23</v>
      </c>
      <c r="K1359" t="s">
        <v>24</v>
      </c>
      <c r="L1359">
        <v>4</v>
      </c>
      <c r="M1359">
        <v>63320</v>
      </c>
      <c r="N1359">
        <v>0.1</v>
      </c>
      <c r="O1359">
        <v>39610</v>
      </c>
    </row>
    <row r="1360" spans="1:15" x14ac:dyDescent="0.25">
      <c r="A1360" t="s">
        <v>1509</v>
      </c>
      <c r="B1360">
        <v>45961</v>
      </c>
      <c r="C1360" t="s">
        <v>42</v>
      </c>
      <c r="D1360" t="s">
        <v>123</v>
      </c>
      <c r="E1360" t="s">
        <v>97</v>
      </c>
      <c r="F1360" t="s">
        <v>19</v>
      </c>
      <c r="G1360" t="s">
        <v>59</v>
      </c>
      <c r="H1360" t="s">
        <v>154</v>
      </c>
      <c r="I1360" t="s">
        <v>155</v>
      </c>
      <c r="J1360" t="s">
        <v>49</v>
      </c>
      <c r="K1360" t="s">
        <v>24</v>
      </c>
      <c r="L1360">
        <v>4</v>
      </c>
      <c r="M1360">
        <v>11420</v>
      </c>
      <c r="N1360">
        <v>0.12</v>
      </c>
      <c r="O1360">
        <v>7980</v>
      </c>
    </row>
    <row r="1361" spans="1:15" x14ac:dyDescent="0.25">
      <c r="A1361" t="s">
        <v>1510</v>
      </c>
      <c r="B1361">
        <v>45961</v>
      </c>
      <c r="C1361" t="s">
        <v>76</v>
      </c>
      <c r="D1361" t="s">
        <v>77</v>
      </c>
      <c r="E1361" t="s">
        <v>170</v>
      </c>
      <c r="F1361" t="s">
        <v>19</v>
      </c>
      <c r="G1361" t="s">
        <v>83</v>
      </c>
      <c r="H1361" t="s">
        <v>184</v>
      </c>
      <c r="I1361" t="s">
        <v>185</v>
      </c>
      <c r="J1361" t="s">
        <v>23</v>
      </c>
      <c r="K1361" t="s">
        <v>119</v>
      </c>
      <c r="L1361">
        <v>8</v>
      </c>
      <c r="M1361">
        <v>4380</v>
      </c>
      <c r="N1361">
        <v>0</v>
      </c>
      <c r="O1361">
        <v>3410</v>
      </c>
    </row>
    <row r="1362" spans="1:15" x14ac:dyDescent="0.25">
      <c r="A1362" t="s">
        <v>1511</v>
      </c>
      <c r="B1362">
        <v>45962</v>
      </c>
      <c r="C1362" t="s">
        <v>56</v>
      </c>
      <c r="D1362" t="s">
        <v>127</v>
      </c>
      <c r="E1362" t="s">
        <v>134</v>
      </c>
      <c r="F1362" t="s">
        <v>52</v>
      </c>
      <c r="G1362" t="s">
        <v>20</v>
      </c>
      <c r="H1362" t="s">
        <v>21</v>
      </c>
      <c r="I1362" t="s">
        <v>22</v>
      </c>
      <c r="J1362" t="s">
        <v>23</v>
      </c>
      <c r="K1362" t="s">
        <v>24</v>
      </c>
      <c r="L1362">
        <v>30</v>
      </c>
      <c r="M1362">
        <v>1790</v>
      </c>
      <c r="N1362">
        <v>0</v>
      </c>
      <c r="O1362">
        <v>1050</v>
      </c>
    </row>
    <row r="1363" spans="1:15" x14ac:dyDescent="0.25">
      <c r="A1363" t="s">
        <v>1512</v>
      </c>
      <c r="B1363">
        <v>45962</v>
      </c>
      <c r="C1363" t="s">
        <v>42</v>
      </c>
      <c r="D1363" t="s">
        <v>265</v>
      </c>
      <c r="E1363" t="s">
        <v>97</v>
      </c>
      <c r="F1363" t="s">
        <v>45</v>
      </c>
      <c r="G1363" t="s">
        <v>20</v>
      </c>
      <c r="H1363" t="s">
        <v>21</v>
      </c>
      <c r="I1363" t="s">
        <v>65</v>
      </c>
      <c r="J1363" t="s">
        <v>40</v>
      </c>
      <c r="K1363" t="s">
        <v>24</v>
      </c>
      <c r="L1363">
        <v>17</v>
      </c>
      <c r="M1363">
        <v>8880</v>
      </c>
      <c r="N1363">
        <v>0.15</v>
      </c>
      <c r="O1363">
        <v>5970</v>
      </c>
    </row>
    <row r="1364" spans="1:15" x14ac:dyDescent="0.25">
      <c r="A1364" t="s">
        <v>1513</v>
      </c>
      <c r="B1364">
        <v>45963</v>
      </c>
      <c r="C1364" t="s">
        <v>76</v>
      </c>
      <c r="D1364" t="s">
        <v>150</v>
      </c>
      <c r="E1364" t="s">
        <v>170</v>
      </c>
      <c r="F1364" t="s">
        <v>52</v>
      </c>
      <c r="G1364" t="s">
        <v>27</v>
      </c>
      <c r="H1364" t="s">
        <v>79</v>
      </c>
      <c r="I1364" t="s">
        <v>80</v>
      </c>
      <c r="J1364" t="s">
        <v>23</v>
      </c>
      <c r="K1364" t="s">
        <v>24</v>
      </c>
      <c r="L1364">
        <v>10</v>
      </c>
      <c r="M1364">
        <v>4760</v>
      </c>
      <c r="N1364">
        <v>0.1</v>
      </c>
      <c r="O1364">
        <v>3580</v>
      </c>
    </row>
    <row r="1365" spans="1:15" x14ac:dyDescent="0.25">
      <c r="A1365" t="s">
        <v>1514</v>
      </c>
      <c r="B1365">
        <v>45964</v>
      </c>
      <c r="C1365" t="s">
        <v>76</v>
      </c>
      <c r="D1365" t="s">
        <v>77</v>
      </c>
      <c r="E1365" t="s">
        <v>78</v>
      </c>
      <c r="F1365" t="s">
        <v>52</v>
      </c>
      <c r="G1365" t="s">
        <v>59</v>
      </c>
      <c r="H1365" t="s">
        <v>154</v>
      </c>
      <c r="I1365" t="s">
        <v>155</v>
      </c>
      <c r="J1365" t="s">
        <v>49</v>
      </c>
      <c r="K1365" t="s">
        <v>24</v>
      </c>
      <c r="L1365">
        <v>1</v>
      </c>
      <c r="M1365">
        <v>11580</v>
      </c>
      <c r="N1365">
        <v>0.12</v>
      </c>
      <c r="O1365">
        <v>6600</v>
      </c>
    </row>
    <row r="1366" spans="1:15" x14ac:dyDescent="0.25">
      <c r="A1366" t="s">
        <v>1515</v>
      </c>
      <c r="B1366">
        <v>45964</v>
      </c>
      <c r="C1366" t="s">
        <v>42</v>
      </c>
      <c r="D1366" t="s">
        <v>43</v>
      </c>
      <c r="E1366" t="s">
        <v>44</v>
      </c>
      <c r="F1366" t="s">
        <v>19</v>
      </c>
      <c r="G1366" t="s">
        <v>27</v>
      </c>
      <c r="H1366" t="s">
        <v>28</v>
      </c>
      <c r="I1366" t="s">
        <v>29</v>
      </c>
      <c r="J1366" t="s">
        <v>40</v>
      </c>
      <c r="K1366" t="s">
        <v>24</v>
      </c>
      <c r="L1366">
        <v>8</v>
      </c>
      <c r="M1366">
        <v>27250</v>
      </c>
      <c r="N1366">
        <v>0.05</v>
      </c>
      <c r="O1366">
        <v>19400</v>
      </c>
    </row>
    <row r="1367" spans="1:15" x14ac:dyDescent="0.25">
      <c r="A1367" t="s">
        <v>1516</v>
      </c>
      <c r="B1367">
        <v>45965</v>
      </c>
      <c r="C1367" t="s">
        <v>56</v>
      </c>
      <c r="D1367" t="s">
        <v>103</v>
      </c>
      <c r="E1367" t="s">
        <v>91</v>
      </c>
      <c r="F1367" t="s">
        <v>92</v>
      </c>
      <c r="G1367" t="s">
        <v>20</v>
      </c>
      <c r="H1367" t="s">
        <v>33</v>
      </c>
      <c r="I1367" t="s">
        <v>182</v>
      </c>
      <c r="J1367" t="s">
        <v>40</v>
      </c>
      <c r="K1367" t="s">
        <v>24</v>
      </c>
      <c r="L1367">
        <v>6</v>
      </c>
      <c r="M1367">
        <v>102380</v>
      </c>
      <c r="N1367">
        <v>0.2</v>
      </c>
      <c r="O1367">
        <v>67830</v>
      </c>
    </row>
    <row r="1368" spans="1:15" x14ac:dyDescent="0.25">
      <c r="A1368" t="s">
        <v>1517</v>
      </c>
      <c r="B1368">
        <v>45965</v>
      </c>
      <c r="C1368" t="s">
        <v>37</v>
      </c>
      <c r="D1368" t="s">
        <v>161</v>
      </c>
      <c r="E1368" t="s">
        <v>68</v>
      </c>
      <c r="F1368" t="s">
        <v>45</v>
      </c>
      <c r="G1368" t="s">
        <v>46</v>
      </c>
      <c r="H1368" t="s">
        <v>179</v>
      </c>
      <c r="I1368" t="s">
        <v>236</v>
      </c>
      <c r="J1368" t="s">
        <v>49</v>
      </c>
      <c r="K1368" t="s">
        <v>24</v>
      </c>
      <c r="L1368">
        <v>21</v>
      </c>
      <c r="M1368">
        <v>2320</v>
      </c>
      <c r="N1368">
        <v>0.08</v>
      </c>
      <c r="O1368">
        <v>1530</v>
      </c>
    </row>
    <row r="1369" spans="1:15" x14ac:dyDescent="0.25">
      <c r="A1369" t="s">
        <v>1518</v>
      </c>
      <c r="B1369">
        <v>45965</v>
      </c>
      <c r="C1369" t="s">
        <v>42</v>
      </c>
      <c r="D1369" t="s">
        <v>43</v>
      </c>
      <c r="E1369" t="s">
        <v>97</v>
      </c>
      <c r="F1369" t="s">
        <v>19</v>
      </c>
      <c r="G1369" t="s">
        <v>27</v>
      </c>
      <c r="H1369" t="s">
        <v>214</v>
      </c>
      <c r="I1369" t="s">
        <v>215</v>
      </c>
      <c r="J1369" t="s">
        <v>40</v>
      </c>
      <c r="K1369" t="s">
        <v>24</v>
      </c>
      <c r="L1369">
        <v>3</v>
      </c>
      <c r="M1369">
        <v>33200</v>
      </c>
      <c r="N1369">
        <v>0.25</v>
      </c>
      <c r="O1369">
        <v>22130</v>
      </c>
    </row>
    <row r="1370" spans="1:15" x14ac:dyDescent="0.25">
      <c r="A1370" t="s">
        <v>1519</v>
      </c>
      <c r="B1370">
        <v>45966</v>
      </c>
      <c r="C1370" t="s">
        <v>76</v>
      </c>
      <c r="D1370" t="s">
        <v>77</v>
      </c>
      <c r="E1370" t="s">
        <v>78</v>
      </c>
      <c r="F1370" t="s">
        <v>45</v>
      </c>
      <c r="G1370" t="s">
        <v>20</v>
      </c>
      <c r="H1370" t="s">
        <v>109</v>
      </c>
      <c r="I1370" t="s">
        <v>110</v>
      </c>
      <c r="J1370" t="s">
        <v>23</v>
      </c>
      <c r="K1370" t="s">
        <v>24</v>
      </c>
      <c r="L1370">
        <v>3</v>
      </c>
      <c r="M1370">
        <v>67560</v>
      </c>
      <c r="N1370">
        <v>0.12</v>
      </c>
      <c r="O1370">
        <v>49330</v>
      </c>
    </row>
    <row r="1371" spans="1:15" x14ac:dyDescent="0.25">
      <c r="A1371" t="s">
        <v>1520</v>
      </c>
      <c r="B1371">
        <v>45966</v>
      </c>
      <c r="C1371" t="s">
        <v>56</v>
      </c>
      <c r="D1371" t="s">
        <v>143</v>
      </c>
      <c r="E1371" t="s">
        <v>91</v>
      </c>
      <c r="F1371" t="s">
        <v>19</v>
      </c>
      <c r="G1371" t="s">
        <v>46</v>
      </c>
      <c r="H1371" t="s">
        <v>100</v>
      </c>
      <c r="I1371" t="s">
        <v>101</v>
      </c>
      <c r="J1371" t="s">
        <v>23</v>
      </c>
      <c r="K1371" t="s">
        <v>24</v>
      </c>
      <c r="L1371">
        <v>14</v>
      </c>
      <c r="M1371">
        <v>1890</v>
      </c>
      <c r="N1371">
        <v>0.05</v>
      </c>
      <c r="O1371">
        <v>1470</v>
      </c>
    </row>
    <row r="1372" spans="1:15" x14ac:dyDescent="0.25">
      <c r="A1372" t="s">
        <v>1521</v>
      </c>
      <c r="B1372">
        <v>45966</v>
      </c>
      <c r="C1372" t="s">
        <v>56</v>
      </c>
      <c r="D1372" t="s">
        <v>127</v>
      </c>
      <c r="E1372" t="s">
        <v>134</v>
      </c>
      <c r="F1372" t="s">
        <v>92</v>
      </c>
      <c r="G1372" t="s">
        <v>83</v>
      </c>
      <c r="H1372" t="s">
        <v>136</v>
      </c>
      <c r="I1372" t="s">
        <v>307</v>
      </c>
      <c r="J1372" t="s">
        <v>40</v>
      </c>
      <c r="K1372" t="s">
        <v>35</v>
      </c>
      <c r="L1372">
        <v>15</v>
      </c>
      <c r="M1372">
        <v>890</v>
      </c>
      <c r="N1372">
        <v>0.08</v>
      </c>
      <c r="O1372">
        <v>500</v>
      </c>
    </row>
    <row r="1373" spans="1:15" x14ac:dyDescent="0.25">
      <c r="A1373" t="s">
        <v>1522</v>
      </c>
      <c r="B1373">
        <v>45966</v>
      </c>
      <c r="C1373" t="s">
        <v>16</v>
      </c>
      <c r="D1373" t="s">
        <v>191</v>
      </c>
      <c r="E1373" t="s">
        <v>32</v>
      </c>
      <c r="F1373" t="s">
        <v>19</v>
      </c>
      <c r="G1373" t="s">
        <v>46</v>
      </c>
      <c r="H1373" t="s">
        <v>47</v>
      </c>
      <c r="I1373" t="s">
        <v>48</v>
      </c>
      <c r="J1373" t="s">
        <v>49</v>
      </c>
      <c r="K1373" t="s">
        <v>94</v>
      </c>
      <c r="L1373">
        <v>6</v>
      </c>
      <c r="M1373">
        <v>1900</v>
      </c>
      <c r="N1373">
        <v>0.18</v>
      </c>
      <c r="O1373">
        <v>1420</v>
      </c>
    </row>
    <row r="1374" spans="1:15" x14ac:dyDescent="0.25">
      <c r="A1374" t="s">
        <v>1523</v>
      </c>
      <c r="B1374">
        <v>45967</v>
      </c>
      <c r="C1374" t="s">
        <v>16</v>
      </c>
      <c r="D1374" t="s">
        <v>17</v>
      </c>
      <c r="E1374" t="s">
        <v>26</v>
      </c>
      <c r="F1374" t="s">
        <v>19</v>
      </c>
      <c r="G1374" t="s">
        <v>20</v>
      </c>
      <c r="H1374" t="s">
        <v>109</v>
      </c>
      <c r="I1374" t="s">
        <v>110</v>
      </c>
      <c r="J1374" t="s">
        <v>40</v>
      </c>
      <c r="K1374" t="s">
        <v>24</v>
      </c>
      <c r="L1374">
        <v>3</v>
      </c>
      <c r="M1374">
        <v>71440</v>
      </c>
      <c r="N1374">
        <v>0.18</v>
      </c>
      <c r="O1374">
        <v>52010</v>
      </c>
    </row>
    <row r="1375" spans="1:15" x14ac:dyDescent="0.25">
      <c r="A1375" t="s">
        <v>1524</v>
      </c>
      <c r="B1375">
        <v>45968</v>
      </c>
      <c r="C1375" t="s">
        <v>42</v>
      </c>
      <c r="D1375" t="s">
        <v>96</v>
      </c>
      <c r="E1375" t="s">
        <v>44</v>
      </c>
      <c r="F1375" t="s">
        <v>92</v>
      </c>
      <c r="G1375" t="s">
        <v>20</v>
      </c>
      <c r="H1375" t="s">
        <v>21</v>
      </c>
      <c r="I1375" t="s">
        <v>65</v>
      </c>
      <c r="J1375" t="s">
        <v>49</v>
      </c>
      <c r="K1375" t="s">
        <v>24</v>
      </c>
      <c r="L1375">
        <v>3</v>
      </c>
      <c r="M1375">
        <v>8370</v>
      </c>
      <c r="N1375">
        <v>0.05</v>
      </c>
      <c r="O1375">
        <v>5600</v>
      </c>
    </row>
    <row r="1376" spans="1:15" x14ac:dyDescent="0.25">
      <c r="A1376" t="s">
        <v>1525</v>
      </c>
      <c r="B1376">
        <v>45968</v>
      </c>
      <c r="C1376" t="s">
        <v>16</v>
      </c>
      <c r="D1376" t="s">
        <v>82</v>
      </c>
      <c r="E1376" t="s">
        <v>32</v>
      </c>
      <c r="F1376" t="s">
        <v>19</v>
      </c>
      <c r="G1376" t="s">
        <v>83</v>
      </c>
      <c r="H1376" t="s">
        <v>184</v>
      </c>
      <c r="I1376" t="s">
        <v>185</v>
      </c>
      <c r="J1376" t="s">
        <v>23</v>
      </c>
      <c r="K1376" t="s">
        <v>94</v>
      </c>
      <c r="L1376">
        <v>8</v>
      </c>
      <c r="M1376">
        <v>4600</v>
      </c>
      <c r="N1376">
        <v>0.18</v>
      </c>
      <c r="O1376">
        <v>3360</v>
      </c>
    </row>
    <row r="1377" spans="1:15" x14ac:dyDescent="0.25">
      <c r="A1377" t="s">
        <v>1526</v>
      </c>
      <c r="B1377">
        <v>45969</v>
      </c>
      <c r="C1377" t="s">
        <v>56</v>
      </c>
      <c r="D1377" t="s">
        <v>143</v>
      </c>
      <c r="E1377" t="s">
        <v>58</v>
      </c>
      <c r="F1377" t="s">
        <v>52</v>
      </c>
      <c r="G1377" t="s">
        <v>46</v>
      </c>
      <c r="H1377" t="s">
        <v>100</v>
      </c>
      <c r="I1377" t="s">
        <v>101</v>
      </c>
      <c r="J1377" t="s">
        <v>23</v>
      </c>
      <c r="K1377" t="s">
        <v>24</v>
      </c>
      <c r="L1377">
        <v>27</v>
      </c>
      <c r="M1377">
        <v>2040</v>
      </c>
      <c r="N1377">
        <v>0.1</v>
      </c>
      <c r="O1377">
        <v>1330</v>
      </c>
    </row>
    <row r="1378" spans="1:15" x14ac:dyDescent="0.25">
      <c r="A1378" t="s">
        <v>1527</v>
      </c>
      <c r="B1378">
        <v>45969</v>
      </c>
      <c r="C1378" t="s">
        <v>56</v>
      </c>
      <c r="D1378" t="s">
        <v>127</v>
      </c>
      <c r="E1378" t="s">
        <v>91</v>
      </c>
      <c r="F1378" t="s">
        <v>52</v>
      </c>
      <c r="G1378" t="s">
        <v>46</v>
      </c>
      <c r="H1378" t="s">
        <v>100</v>
      </c>
      <c r="I1378" t="s">
        <v>177</v>
      </c>
      <c r="J1378" t="s">
        <v>49</v>
      </c>
      <c r="K1378" t="s">
        <v>94</v>
      </c>
      <c r="L1378">
        <v>9</v>
      </c>
      <c r="M1378">
        <v>2630</v>
      </c>
      <c r="N1378">
        <v>0</v>
      </c>
      <c r="O1378">
        <v>1690</v>
      </c>
    </row>
    <row r="1379" spans="1:15" x14ac:dyDescent="0.25">
      <c r="A1379" t="s">
        <v>1528</v>
      </c>
      <c r="B1379">
        <v>45969</v>
      </c>
      <c r="C1379" t="s">
        <v>76</v>
      </c>
      <c r="D1379" t="s">
        <v>217</v>
      </c>
      <c r="E1379" t="s">
        <v>170</v>
      </c>
      <c r="F1379" t="s">
        <v>92</v>
      </c>
      <c r="G1379" t="s">
        <v>59</v>
      </c>
      <c r="H1379" t="s">
        <v>73</v>
      </c>
      <c r="I1379" t="s">
        <v>113</v>
      </c>
      <c r="J1379" t="s">
        <v>40</v>
      </c>
      <c r="K1379" t="s">
        <v>24</v>
      </c>
      <c r="L1379">
        <v>6</v>
      </c>
      <c r="M1379">
        <v>30500</v>
      </c>
      <c r="N1379">
        <v>0.18</v>
      </c>
      <c r="O1379">
        <v>17750</v>
      </c>
    </row>
    <row r="1380" spans="1:15" x14ac:dyDescent="0.25">
      <c r="A1380" t="s">
        <v>1529</v>
      </c>
      <c r="B1380">
        <v>45970</v>
      </c>
      <c r="C1380" t="s">
        <v>42</v>
      </c>
      <c r="D1380" t="s">
        <v>130</v>
      </c>
      <c r="E1380" t="s">
        <v>97</v>
      </c>
      <c r="F1380" t="s">
        <v>19</v>
      </c>
      <c r="G1380" t="s">
        <v>59</v>
      </c>
      <c r="H1380" t="s">
        <v>69</v>
      </c>
      <c r="I1380" t="s">
        <v>70</v>
      </c>
      <c r="J1380" t="s">
        <v>40</v>
      </c>
      <c r="K1380" t="s">
        <v>24</v>
      </c>
      <c r="L1380">
        <v>2</v>
      </c>
      <c r="M1380">
        <v>28720</v>
      </c>
      <c r="N1380">
        <v>0.08</v>
      </c>
      <c r="O1380">
        <v>20360</v>
      </c>
    </row>
    <row r="1381" spans="1:15" x14ac:dyDescent="0.25">
      <c r="A1381" t="s">
        <v>1530</v>
      </c>
      <c r="B1381">
        <v>45970</v>
      </c>
      <c r="C1381" t="s">
        <v>56</v>
      </c>
      <c r="D1381" t="s">
        <v>72</v>
      </c>
      <c r="E1381" t="s">
        <v>134</v>
      </c>
      <c r="F1381" t="s">
        <v>52</v>
      </c>
      <c r="G1381" t="s">
        <v>59</v>
      </c>
      <c r="H1381" t="s">
        <v>69</v>
      </c>
      <c r="I1381" t="s">
        <v>70</v>
      </c>
      <c r="J1381" t="s">
        <v>23</v>
      </c>
      <c r="K1381" t="s">
        <v>119</v>
      </c>
      <c r="L1381">
        <v>4</v>
      </c>
      <c r="M1381">
        <v>27820</v>
      </c>
      <c r="N1381">
        <v>0.1</v>
      </c>
      <c r="O1381">
        <v>21110</v>
      </c>
    </row>
    <row r="1382" spans="1:15" x14ac:dyDescent="0.25">
      <c r="A1382" t="s">
        <v>1531</v>
      </c>
      <c r="B1382">
        <v>45970</v>
      </c>
      <c r="C1382" t="s">
        <v>76</v>
      </c>
      <c r="D1382" t="s">
        <v>112</v>
      </c>
      <c r="E1382" t="s">
        <v>170</v>
      </c>
      <c r="F1382" t="s">
        <v>19</v>
      </c>
      <c r="G1382" t="s">
        <v>27</v>
      </c>
      <c r="H1382" t="s">
        <v>214</v>
      </c>
      <c r="I1382" t="s">
        <v>252</v>
      </c>
      <c r="J1382" t="s">
        <v>23</v>
      </c>
      <c r="K1382" t="s">
        <v>24</v>
      </c>
      <c r="L1382">
        <v>4</v>
      </c>
      <c r="M1382">
        <v>14610</v>
      </c>
      <c r="N1382">
        <v>0</v>
      </c>
      <c r="O1382">
        <v>10730</v>
      </c>
    </row>
    <row r="1383" spans="1:15" x14ac:dyDescent="0.25">
      <c r="A1383" t="s">
        <v>1532</v>
      </c>
      <c r="B1383">
        <v>45970</v>
      </c>
      <c r="C1383" t="s">
        <v>16</v>
      </c>
      <c r="D1383" t="s">
        <v>51</v>
      </c>
      <c r="E1383" t="s">
        <v>18</v>
      </c>
      <c r="F1383" t="s">
        <v>52</v>
      </c>
      <c r="G1383" t="s">
        <v>59</v>
      </c>
      <c r="H1383" t="s">
        <v>154</v>
      </c>
      <c r="I1383" t="s">
        <v>249</v>
      </c>
      <c r="J1383" t="s">
        <v>49</v>
      </c>
      <c r="K1383" t="s">
        <v>24</v>
      </c>
      <c r="L1383">
        <v>8</v>
      </c>
      <c r="M1383">
        <v>6250</v>
      </c>
      <c r="N1383">
        <v>0.15</v>
      </c>
      <c r="O1383">
        <v>4770</v>
      </c>
    </row>
    <row r="1384" spans="1:15" x14ac:dyDescent="0.25">
      <c r="A1384" t="s">
        <v>1533</v>
      </c>
      <c r="B1384">
        <v>45971</v>
      </c>
      <c r="C1384" t="s">
        <v>42</v>
      </c>
      <c r="D1384" t="s">
        <v>265</v>
      </c>
      <c r="E1384" t="s">
        <v>64</v>
      </c>
      <c r="F1384" t="s">
        <v>19</v>
      </c>
      <c r="G1384" t="s">
        <v>46</v>
      </c>
      <c r="H1384" t="s">
        <v>100</v>
      </c>
      <c r="I1384" t="s">
        <v>101</v>
      </c>
      <c r="J1384" t="s">
        <v>40</v>
      </c>
      <c r="K1384" t="s">
        <v>35</v>
      </c>
      <c r="L1384">
        <v>22</v>
      </c>
      <c r="M1384">
        <v>2040</v>
      </c>
      <c r="N1384">
        <v>0.05</v>
      </c>
      <c r="O1384">
        <v>1370</v>
      </c>
    </row>
    <row r="1385" spans="1:15" x14ac:dyDescent="0.25">
      <c r="A1385" t="s">
        <v>1534</v>
      </c>
      <c r="B1385">
        <v>45971</v>
      </c>
      <c r="C1385" t="s">
        <v>56</v>
      </c>
      <c r="D1385" t="s">
        <v>143</v>
      </c>
      <c r="E1385" t="s">
        <v>91</v>
      </c>
      <c r="F1385" t="s">
        <v>45</v>
      </c>
      <c r="G1385" t="s">
        <v>20</v>
      </c>
      <c r="H1385" t="s">
        <v>33</v>
      </c>
      <c r="I1385" t="s">
        <v>139</v>
      </c>
      <c r="J1385" t="s">
        <v>49</v>
      </c>
      <c r="K1385" t="s">
        <v>24</v>
      </c>
      <c r="L1385">
        <v>3</v>
      </c>
      <c r="M1385">
        <v>61010</v>
      </c>
      <c r="N1385">
        <v>0.1</v>
      </c>
      <c r="O1385">
        <v>37460</v>
      </c>
    </row>
    <row r="1386" spans="1:15" x14ac:dyDescent="0.25">
      <c r="A1386" t="s">
        <v>1535</v>
      </c>
      <c r="B1386">
        <v>45971</v>
      </c>
      <c r="C1386" t="s">
        <v>37</v>
      </c>
      <c r="D1386" t="s">
        <v>38</v>
      </c>
      <c r="E1386" t="s">
        <v>68</v>
      </c>
      <c r="F1386" t="s">
        <v>19</v>
      </c>
      <c r="G1386" t="s">
        <v>20</v>
      </c>
      <c r="H1386" t="s">
        <v>87</v>
      </c>
      <c r="I1386" t="s">
        <v>105</v>
      </c>
      <c r="J1386" t="s">
        <v>40</v>
      </c>
      <c r="K1386" t="s">
        <v>94</v>
      </c>
      <c r="L1386">
        <v>4</v>
      </c>
      <c r="M1386">
        <v>54010</v>
      </c>
      <c r="N1386">
        <v>0</v>
      </c>
      <c r="O1386">
        <v>38530</v>
      </c>
    </row>
    <row r="1387" spans="1:15" x14ac:dyDescent="0.25">
      <c r="A1387" t="s">
        <v>1536</v>
      </c>
      <c r="B1387">
        <v>45971</v>
      </c>
      <c r="C1387" t="s">
        <v>37</v>
      </c>
      <c r="D1387" t="s">
        <v>166</v>
      </c>
      <c r="E1387" t="s">
        <v>39</v>
      </c>
      <c r="F1387" t="s">
        <v>52</v>
      </c>
      <c r="G1387" t="s">
        <v>20</v>
      </c>
      <c r="H1387" t="s">
        <v>21</v>
      </c>
      <c r="I1387" t="s">
        <v>22</v>
      </c>
      <c r="J1387" t="s">
        <v>40</v>
      </c>
      <c r="K1387" t="s">
        <v>119</v>
      </c>
      <c r="L1387">
        <v>31</v>
      </c>
      <c r="M1387">
        <v>1890</v>
      </c>
      <c r="N1387">
        <v>0.1</v>
      </c>
      <c r="O1387">
        <v>1140</v>
      </c>
    </row>
    <row r="1388" spans="1:15" x14ac:dyDescent="0.25">
      <c r="A1388" t="s">
        <v>1537</v>
      </c>
      <c r="B1388">
        <v>45971</v>
      </c>
      <c r="C1388" t="s">
        <v>42</v>
      </c>
      <c r="D1388" t="s">
        <v>43</v>
      </c>
      <c r="E1388" t="s">
        <v>97</v>
      </c>
      <c r="F1388" t="s">
        <v>92</v>
      </c>
      <c r="G1388" t="s">
        <v>46</v>
      </c>
      <c r="H1388" t="s">
        <v>47</v>
      </c>
      <c r="I1388" t="s">
        <v>93</v>
      </c>
      <c r="J1388" t="s">
        <v>40</v>
      </c>
      <c r="K1388" t="s">
        <v>24</v>
      </c>
      <c r="L1388">
        <v>23</v>
      </c>
      <c r="M1388">
        <v>1150</v>
      </c>
      <c r="N1388">
        <v>0.05</v>
      </c>
      <c r="O1388">
        <v>820</v>
      </c>
    </row>
    <row r="1389" spans="1:15" x14ac:dyDescent="0.25">
      <c r="A1389" t="s">
        <v>1538</v>
      </c>
      <c r="B1389">
        <v>45972</v>
      </c>
      <c r="C1389" t="s">
        <v>56</v>
      </c>
      <c r="D1389" t="s">
        <v>57</v>
      </c>
      <c r="E1389" t="s">
        <v>91</v>
      </c>
      <c r="F1389" t="s">
        <v>19</v>
      </c>
      <c r="G1389" t="s">
        <v>46</v>
      </c>
      <c r="H1389" t="s">
        <v>47</v>
      </c>
      <c r="I1389" t="s">
        <v>48</v>
      </c>
      <c r="J1389" t="s">
        <v>49</v>
      </c>
      <c r="K1389" t="s">
        <v>119</v>
      </c>
      <c r="L1389">
        <v>22</v>
      </c>
      <c r="M1389">
        <v>1790</v>
      </c>
      <c r="N1389">
        <v>0.12</v>
      </c>
      <c r="O1389">
        <v>1240</v>
      </c>
    </row>
    <row r="1390" spans="1:15" x14ac:dyDescent="0.25">
      <c r="A1390" t="s">
        <v>1539</v>
      </c>
      <c r="B1390">
        <v>45972</v>
      </c>
      <c r="C1390" t="s">
        <v>16</v>
      </c>
      <c r="D1390" t="s">
        <v>17</v>
      </c>
      <c r="E1390" t="s">
        <v>32</v>
      </c>
      <c r="F1390" t="s">
        <v>19</v>
      </c>
      <c r="G1390" t="s">
        <v>83</v>
      </c>
      <c r="H1390" t="s">
        <v>136</v>
      </c>
      <c r="I1390" t="s">
        <v>137</v>
      </c>
      <c r="J1390" t="s">
        <v>23</v>
      </c>
      <c r="K1390" t="s">
        <v>24</v>
      </c>
      <c r="L1390">
        <v>9</v>
      </c>
      <c r="M1390">
        <v>1610</v>
      </c>
      <c r="N1390">
        <v>0</v>
      </c>
      <c r="O1390">
        <v>1160</v>
      </c>
    </row>
    <row r="1391" spans="1:15" x14ac:dyDescent="0.25">
      <c r="A1391" t="s">
        <v>1540</v>
      </c>
      <c r="B1391">
        <v>45972</v>
      </c>
      <c r="C1391" t="s">
        <v>76</v>
      </c>
      <c r="D1391" t="s">
        <v>99</v>
      </c>
      <c r="E1391" t="s">
        <v>78</v>
      </c>
      <c r="F1391" t="s">
        <v>19</v>
      </c>
      <c r="G1391" t="s">
        <v>27</v>
      </c>
      <c r="H1391" t="s">
        <v>214</v>
      </c>
      <c r="I1391" t="s">
        <v>252</v>
      </c>
      <c r="J1391" t="s">
        <v>40</v>
      </c>
      <c r="K1391" t="s">
        <v>24</v>
      </c>
      <c r="L1391">
        <v>1</v>
      </c>
      <c r="M1391">
        <v>13500</v>
      </c>
      <c r="N1391">
        <v>0.1</v>
      </c>
      <c r="O1391">
        <v>8350</v>
      </c>
    </row>
    <row r="1392" spans="1:15" x14ac:dyDescent="0.25">
      <c r="A1392" t="s">
        <v>1541</v>
      </c>
      <c r="B1392">
        <v>45973</v>
      </c>
      <c r="C1392" t="s">
        <v>16</v>
      </c>
      <c r="D1392" t="s">
        <v>31</v>
      </c>
      <c r="E1392" t="s">
        <v>26</v>
      </c>
      <c r="F1392" t="s">
        <v>19</v>
      </c>
      <c r="G1392" t="s">
        <v>20</v>
      </c>
      <c r="H1392" t="s">
        <v>33</v>
      </c>
      <c r="I1392" t="s">
        <v>139</v>
      </c>
      <c r="J1392" t="s">
        <v>23</v>
      </c>
      <c r="K1392" t="s">
        <v>24</v>
      </c>
      <c r="L1392">
        <v>2</v>
      </c>
      <c r="M1392">
        <v>59850</v>
      </c>
      <c r="N1392">
        <v>0</v>
      </c>
      <c r="O1392">
        <v>37890</v>
      </c>
    </row>
    <row r="1393" spans="1:15" x14ac:dyDescent="0.25">
      <c r="A1393" t="s">
        <v>1542</v>
      </c>
      <c r="B1393">
        <v>45973</v>
      </c>
      <c r="C1393" t="s">
        <v>42</v>
      </c>
      <c r="D1393" t="s">
        <v>265</v>
      </c>
      <c r="E1393" t="s">
        <v>64</v>
      </c>
      <c r="F1393" t="s">
        <v>52</v>
      </c>
      <c r="G1393" t="s">
        <v>59</v>
      </c>
      <c r="H1393" t="s">
        <v>60</v>
      </c>
      <c r="I1393" t="s">
        <v>200</v>
      </c>
      <c r="J1393" t="s">
        <v>40</v>
      </c>
      <c r="K1393" t="s">
        <v>35</v>
      </c>
      <c r="L1393">
        <v>10</v>
      </c>
      <c r="M1393">
        <v>9110</v>
      </c>
      <c r="N1393">
        <v>0.08</v>
      </c>
      <c r="O1393">
        <v>6060</v>
      </c>
    </row>
    <row r="1394" spans="1:15" x14ac:dyDescent="0.25">
      <c r="A1394" t="s">
        <v>1543</v>
      </c>
      <c r="B1394">
        <v>45974</v>
      </c>
      <c r="C1394" t="s">
        <v>56</v>
      </c>
      <c r="D1394" t="s">
        <v>57</v>
      </c>
      <c r="E1394" t="s">
        <v>134</v>
      </c>
      <c r="F1394" t="s">
        <v>92</v>
      </c>
      <c r="G1394" t="s">
        <v>20</v>
      </c>
      <c r="H1394" t="s">
        <v>87</v>
      </c>
      <c r="I1394" t="s">
        <v>88</v>
      </c>
      <c r="J1394" t="s">
        <v>23</v>
      </c>
      <c r="K1394" t="s">
        <v>24</v>
      </c>
      <c r="L1394">
        <v>3</v>
      </c>
      <c r="M1394">
        <v>33880</v>
      </c>
      <c r="N1394">
        <v>0.12</v>
      </c>
      <c r="O1394">
        <v>26700</v>
      </c>
    </row>
    <row r="1395" spans="1:15" x14ac:dyDescent="0.25">
      <c r="A1395" t="s">
        <v>1544</v>
      </c>
      <c r="B1395">
        <v>45974</v>
      </c>
      <c r="C1395" t="s">
        <v>56</v>
      </c>
      <c r="D1395" t="s">
        <v>103</v>
      </c>
      <c r="E1395" t="s">
        <v>91</v>
      </c>
      <c r="F1395" t="s">
        <v>52</v>
      </c>
      <c r="G1395" t="s">
        <v>83</v>
      </c>
      <c r="H1395" t="s">
        <v>136</v>
      </c>
      <c r="I1395" t="s">
        <v>137</v>
      </c>
      <c r="J1395" t="s">
        <v>40</v>
      </c>
      <c r="K1395" t="s">
        <v>24</v>
      </c>
      <c r="L1395">
        <v>27</v>
      </c>
      <c r="M1395">
        <v>1710</v>
      </c>
      <c r="N1395">
        <v>0.05</v>
      </c>
      <c r="O1395">
        <v>1190</v>
      </c>
    </row>
    <row r="1396" spans="1:15" x14ac:dyDescent="0.25">
      <c r="A1396" t="s">
        <v>1545</v>
      </c>
      <c r="B1396">
        <v>45974</v>
      </c>
      <c r="C1396" t="s">
        <v>42</v>
      </c>
      <c r="D1396" t="s">
        <v>43</v>
      </c>
      <c r="E1396" t="s">
        <v>44</v>
      </c>
      <c r="F1396" t="s">
        <v>52</v>
      </c>
      <c r="G1396" t="s">
        <v>20</v>
      </c>
      <c r="H1396" t="s">
        <v>87</v>
      </c>
      <c r="I1396" t="s">
        <v>105</v>
      </c>
      <c r="J1396" t="s">
        <v>23</v>
      </c>
      <c r="K1396" t="s">
        <v>24</v>
      </c>
      <c r="L1396">
        <v>2</v>
      </c>
      <c r="M1396">
        <v>51930</v>
      </c>
      <c r="N1396">
        <v>0.12</v>
      </c>
      <c r="O1396">
        <v>38960</v>
      </c>
    </row>
    <row r="1397" spans="1:15" x14ac:dyDescent="0.25">
      <c r="A1397" t="s">
        <v>1546</v>
      </c>
      <c r="B1397">
        <v>45974</v>
      </c>
      <c r="C1397" t="s">
        <v>76</v>
      </c>
      <c r="D1397" t="s">
        <v>217</v>
      </c>
      <c r="E1397" t="s">
        <v>78</v>
      </c>
      <c r="F1397" t="s">
        <v>45</v>
      </c>
      <c r="G1397" t="s">
        <v>83</v>
      </c>
      <c r="H1397" t="s">
        <v>136</v>
      </c>
      <c r="I1397" t="s">
        <v>307</v>
      </c>
      <c r="J1397" t="s">
        <v>23</v>
      </c>
      <c r="K1397" t="s">
        <v>24</v>
      </c>
      <c r="L1397">
        <v>11</v>
      </c>
      <c r="M1397">
        <v>940</v>
      </c>
      <c r="N1397">
        <v>0.2</v>
      </c>
      <c r="O1397">
        <v>630</v>
      </c>
    </row>
    <row r="1398" spans="1:15" x14ac:dyDescent="0.25">
      <c r="A1398" t="s">
        <v>1547</v>
      </c>
      <c r="B1398">
        <v>45974</v>
      </c>
      <c r="C1398" t="s">
        <v>37</v>
      </c>
      <c r="D1398" t="s">
        <v>115</v>
      </c>
      <c r="E1398" t="s">
        <v>68</v>
      </c>
      <c r="F1398" t="s">
        <v>19</v>
      </c>
      <c r="G1398" t="s">
        <v>46</v>
      </c>
      <c r="H1398" t="s">
        <v>47</v>
      </c>
      <c r="I1398" t="s">
        <v>48</v>
      </c>
      <c r="J1398" t="s">
        <v>40</v>
      </c>
      <c r="K1398" t="s">
        <v>24</v>
      </c>
      <c r="L1398">
        <v>15</v>
      </c>
      <c r="M1398">
        <v>1830</v>
      </c>
      <c r="N1398">
        <v>0</v>
      </c>
      <c r="O1398">
        <v>1300</v>
      </c>
    </row>
    <row r="1399" spans="1:15" x14ac:dyDescent="0.25">
      <c r="A1399" t="s">
        <v>1548</v>
      </c>
      <c r="B1399">
        <v>45974</v>
      </c>
      <c r="C1399" t="s">
        <v>56</v>
      </c>
      <c r="D1399" t="s">
        <v>127</v>
      </c>
      <c r="E1399" t="s">
        <v>58</v>
      </c>
      <c r="F1399" t="s">
        <v>19</v>
      </c>
      <c r="G1399" t="s">
        <v>46</v>
      </c>
      <c r="H1399" t="s">
        <v>100</v>
      </c>
      <c r="I1399" t="s">
        <v>101</v>
      </c>
      <c r="J1399" t="s">
        <v>23</v>
      </c>
      <c r="K1399" t="s">
        <v>24</v>
      </c>
      <c r="L1399">
        <v>32</v>
      </c>
      <c r="M1399">
        <v>1910</v>
      </c>
      <c r="N1399">
        <v>0.15</v>
      </c>
      <c r="O1399">
        <v>1080</v>
      </c>
    </row>
    <row r="1400" spans="1:15" x14ac:dyDescent="0.25">
      <c r="A1400" t="s">
        <v>1549</v>
      </c>
      <c r="B1400">
        <v>45974</v>
      </c>
      <c r="C1400" t="s">
        <v>56</v>
      </c>
      <c r="D1400" t="s">
        <v>127</v>
      </c>
      <c r="E1400" t="s">
        <v>91</v>
      </c>
      <c r="F1400" t="s">
        <v>52</v>
      </c>
      <c r="G1400" t="s">
        <v>46</v>
      </c>
      <c r="H1400" t="s">
        <v>100</v>
      </c>
      <c r="I1400" t="s">
        <v>101</v>
      </c>
      <c r="J1400" t="s">
        <v>23</v>
      </c>
      <c r="K1400" t="s">
        <v>24</v>
      </c>
      <c r="L1400">
        <v>28</v>
      </c>
      <c r="M1400">
        <v>1820</v>
      </c>
      <c r="N1400">
        <v>0.12</v>
      </c>
      <c r="O1400">
        <v>1260</v>
      </c>
    </row>
    <row r="1401" spans="1:15" x14ac:dyDescent="0.25">
      <c r="A1401" t="s">
        <v>1550</v>
      </c>
      <c r="B1401">
        <v>45975</v>
      </c>
      <c r="C1401" t="s">
        <v>16</v>
      </c>
      <c r="D1401" t="s">
        <v>17</v>
      </c>
      <c r="E1401" t="s">
        <v>18</v>
      </c>
      <c r="F1401" t="s">
        <v>92</v>
      </c>
      <c r="G1401" t="s">
        <v>59</v>
      </c>
      <c r="H1401" t="s">
        <v>154</v>
      </c>
      <c r="I1401" t="s">
        <v>249</v>
      </c>
      <c r="J1401" t="s">
        <v>23</v>
      </c>
      <c r="K1401" t="s">
        <v>24</v>
      </c>
      <c r="L1401">
        <v>20</v>
      </c>
      <c r="M1401">
        <v>7020</v>
      </c>
      <c r="N1401">
        <v>0.08</v>
      </c>
      <c r="O1401">
        <v>4940</v>
      </c>
    </row>
    <row r="1402" spans="1:15" x14ac:dyDescent="0.25">
      <c r="A1402" t="s">
        <v>1551</v>
      </c>
      <c r="B1402">
        <v>45975</v>
      </c>
      <c r="C1402" t="s">
        <v>76</v>
      </c>
      <c r="D1402" t="s">
        <v>99</v>
      </c>
      <c r="E1402" t="s">
        <v>170</v>
      </c>
      <c r="F1402" t="s">
        <v>45</v>
      </c>
      <c r="G1402" t="s">
        <v>20</v>
      </c>
      <c r="H1402" t="s">
        <v>109</v>
      </c>
      <c r="I1402" t="s">
        <v>159</v>
      </c>
      <c r="J1402" t="s">
        <v>40</v>
      </c>
      <c r="K1402" t="s">
        <v>24</v>
      </c>
      <c r="L1402">
        <v>11</v>
      </c>
      <c r="M1402">
        <v>17690</v>
      </c>
      <c r="N1402">
        <v>0.1</v>
      </c>
      <c r="O1402">
        <v>12500</v>
      </c>
    </row>
    <row r="1403" spans="1:15" x14ac:dyDescent="0.25">
      <c r="A1403" t="s">
        <v>1552</v>
      </c>
      <c r="B1403">
        <v>45975</v>
      </c>
      <c r="C1403" t="s">
        <v>42</v>
      </c>
      <c r="D1403" t="s">
        <v>265</v>
      </c>
      <c r="E1403" t="s">
        <v>64</v>
      </c>
      <c r="F1403" t="s">
        <v>92</v>
      </c>
      <c r="G1403" t="s">
        <v>46</v>
      </c>
      <c r="H1403" t="s">
        <v>179</v>
      </c>
      <c r="I1403" t="s">
        <v>236</v>
      </c>
      <c r="J1403" t="s">
        <v>23</v>
      </c>
      <c r="K1403" t="s">
        <v>24</v>
      </c>
      <c r="L1403">
        <v>13</v>
      </c>
      <c r="M1403">
        <v>2240</v>
      </c>
      <c r="N1403">
        <v>0</v>
      </c>
      <c r="O1403">
        <v>1640</v>
      </c>
    </row>
    <row r="1404" spans="1:15" x14ac:dyDescent="0.25">
      <c r="A1404" t="s">
        <v>1553</v>
      </c>
      <c r="B1404">
        <v>45976</v>
      </c>
      <c r="C1404" t="s">
        <v>37</v>
      </c>
      <c r="D1404" t="s">
        <v>161</v>
      </c>
      <c r="E1404" t="s">
        <v>68</v>
      </c>
      <c r="F1404" t="s">
        <v>45</v>
      </c>
      <c r="G1404" t="s">
        <v>46</v>
      </c>
      <c r="H1404" t="s">
        <v>47</v>
      </c>
      <c r="I1404" t="s">
        <v>93</v>
      </c>
      <c r="J1404" t="s">
        <v>23</v>
      </c>
      <c r="K1404" t="s">
        <v>24</v>
      </c>
      <c r="L1404">
        <v>48</v>
      </c>
      <c r="M1404">
        <v>1280</v>
      </c>
      <c r="N1404">
        <v>0</v>
      </c>
      <c r="O1404">
        <v>840</v>
      </c>
    </row>
    <row r="1405" spans="1:15" x14ac:dyDescent="0.25">
      <c r="A1405" t="s">
        <v>1554</v>
      </c>
      <c r="B1405">
        <v>45976</v>
      </c>
      <c r="C1405" t="s">
        <v>56</v>
      </c>
      <c r="D1405" t="s">
        <v>72</v>
      </c>
      <c r="E1405" t="s">
        <v>134</v>
      </c>
      <c r="F1405" t="s">
        <v>45</v>
      </c>
      <c r="G1405" t="s">
        <v>27</v>
      </c>
      <c r="H1405" t="s">
        <v>214</v>
      </c>
      <c r="I1405" t="s">
        <v>252</v>
      </c>
      <c r="J1405" t="s">
        <v>49</v>
      </c>
      <c r="K1405" t="s">
        <v>24</v>
      </c>
      <c r="L1405">
        <v>8</v>
      </c>
      <c r="M1405">
        <v>14460</v>
      </c>
      <c r="N1405">
        <v>0.18</v>
      </c>
      <c r="O1405">
        <v>9570</v>
      </c>
    </row>
    <row r="1406" spans="1:15" x14ac:dyDescent="0.25">
      <c r="A1406" t="s">
        <v>1555</v>
      </c>
      <c r="B1406">
        <v>45978</v>
      </c>
      <c r="C1406" t="s">
        <v>37</v>
      </c>
      <c r="D1406" t="s">
        <v>67</v>
      </c>
      <c r="E1406" t="s">
        <v>39</v>
      </c>
      <c r="F1406" t="s">
        <v>19</v>
      </c>
      <c r="G1406" t="s">
        <v>27</v>
      </c>
      <c r="H1406" t="s">
        <v>28</v>
      </c>
      <c r="I1406" t="s">
        <v>29</v>
      </c>
      <c r="J1406" t="s">
        <v>23</v>
      </c>
      <c r="K1406" t="s">
        <v>119</v>
      </c>
      <c r="L1406">
        <v>6</v>
      </c>
      <c r="M1406">
        <v>28280</v>
      </c>
      <c r="N1406">
        <v>0.1</v>
      </c>
      <c r="O1406">
        <v>18760</v>
      </c>
    </row>
    <row r="1407" spans="1:15" x14ac:dyDescent="0.25">
      <c r="A1407" t="s">
        <v>1556</v>
      </c>
      <c r="B1407">
        <v>45978</v>
      </c>
      <c r="C1407" t="s">
        <v>42</v>
      </c>
      <c r="D1407" t="s">
        <v>130</v>
      </c>
      <c r="E1407" t="s">
        <v>64</v>
      </c>
      <c r="F1407" t="s">
        <v>19</v>
      </c>
      <c r="G1407" t="s">
        <v>83</v>
      </c>
      <c r="H1407" t="s">
        <v>84</v>
      </c>
      <c r="I1407" t="s">
        <v>85</v>
      </c>
      <c r="J1407" t="s">
        <v>23</v>
      </c>
      <c r="K1407" t="s">
        <v>24</v>
      </c>
      <c r="L1407">
        <v>17</v>
      </c>
      <c r="M1407">
        <v>2580</v>
      </c>
      <c r="N1407">
        <v>0.15</v>
      </c>
      <c r="O1407">
        <v>1830</v>
      </c>
    </row>
    <row r="1408" spans="1:15" x14ac:dyDescent="0.25">
      <c r="A1408" t="s">
        <v>1557</v>
      </c>
      <c r="B1408">
        <v>45978</v>
      </c>
      <c r="C1408" t="s">
        <v>56</v>
      </c>
      <c r="D1408" t="s">
        <v>133</v>
      </c>
      <c r="E1408" t="s">
        <v>58</v>
      </c>
      <c r="F1408" t="s">
        <v>52</v>
      </c>
      <c r="G1408" t="s">
        <v>59</v>
      </c>
      <c r="H1408" t="s">
        <v>69</v>
      </c>
      <c r="I1408" t="s">
        <v>121</v>
      </c>
      <c r="J1408" t="s">
        <v>23</v>
      </c>
      <c r="K1408" t="s">
        <v>94</v>
      </c>
      <c r="L1408">
        <v>2</v>
      </c>
      <c r="M1408">
        <v>3500</v>
      </c>
      <c r="N1408">
        <v>0</v>
      </c>
      <c r="O1408">
        <v>2170</v>
      </c>
    </row>
    <row r="1409" spans="1:15" x14ac:dyDescent="0.25">
      <c r="A1409" t="s">
        <v>1558</v>
      </c>
      <c r="B1409">
        <v>45979</v>
      </c>
      <c r="C1409" t="s">
        <v>37</v>
      </c>
      <c r="D1409" t="s">
        <v>67</v>
      </c>
      <c r="E1409" t="s">
        <v>68</v>
      </c>
      <c r="F1409" t="s">
        <v>92</v>
      </c>
      <c r="G1409" t="s">
        <v>59</v>
      </c>
      <c r="H1409" t="s">
        <v>73</v>
      </c>
      <c r="I1409" t="s">
        <v>113</v>
      </c>
      <c r="J1409" t="s">
        <v>49</v>
      </c>
      <c r="K1409" t="s">
        <v>24</v>
      </c>
      <c r="L1409">
        <v>2</v>
      </c>
      <c r="M1409">
        <v>31140</v>
      </c>
      <c r="N1409">
        <v>0.18</v>
      </c>
      <c r="O1409">
        <v>20600</v>
      </c>
    </row>
    <row r="1410" spans="1:15" x14ac:dyDescent="0.25">
      <c r="A1410" t="s">
        <v>1559</v>
      </c>
      <c r="B1410">
        <v>45979</v>
      </c>
      <c r="C1410" t="s">
        <v>56</v>
      </c>
      <c r="D1410" t="s">
        <v>133</v>
      </c>
      <c r="E1410" t="s">
        <v>91</v>
      </c>
      <c r="F1410" t="s">
        <v>19</v>
      </c>
      <c r="G1410" t="s">
        <v>20</v>
      </c>
      <c r="H1410" t="s">
        <v>87</v>
      </c>
      <c r="I1410" t="s">
        <v>105</v>
      </c>
      <c r="J1410" t="s">
        <v>23</v>
      </c>
      <c r="K1410" t="s">
        <v>94</v>
      </c>
      <c r="L1410">
        <v>1</v>
      </c>
      <c r="M1410">
        <v>55020</v>
      </c>
      <c r="N1410">
        <v>0.15</v>
      </c>
      <c r="O1410">
        <v>38810</v>
      </c>
    </row>
    <row r="1411" spans="1:15" x14ac:dyDescent="0.25">
      <c r="A1411" t="s">
        <v>1560</v>
      </c>
      <c r="B1411">
        <v>45979</v>
      </c>
      <c r="C1411" t="s">
        <v>56</v>
      </c>
      <c r="D1411" t="s">
        <v>103</v>
      </c>
      <c r="E1411" t="s">
        <v>134</v>
      </c>
      <c r="F1411" t="s">
        <v>19</v>
      </c>
      <c r="G1411" t="s">
        <v>83</v>
      </c>
      <c r="H1411" t="s">
        <v>136</v>
      </c>
      <c r="I1411" t="s">
        <v>307</v>
      </c>
      <c r="J1411" t="s">
        <v>40</v>
      </c>
      <c r="K1411" t="s">
        <v>24</v>
      </c>
      <c r="L1411">
        <v>8</v>
      </c>
      <c r="M1411">
        <v>890</v>
      </c>
      <c r="N1411">
        <v>0</v>
      </c>
      <c r="O1411">
        <v>670</v>
      </c>
    </row>
    <row r="1412" spans="1:15" x14ac:dyDescent="0.25">
      <c r="A1412" t="s">
        <v>1561</v>
      </c>
      <c r="B1412">
        <v>45979</v>
      </c>
      <c r="C1412" t="s">
        <v>56</v>
      </c>
      <c r="D1412" t="s">
        <v>57</v>
      </c>
      <c r="E1412" t="s">
        <v>134</v>
      </c>
      <c r="F1412" t="s">
        <v>19</v>
      </c>
      <c r="G1412" t="s">
        <v>20</v>
      </c>
      <c r="H1412" t="s">
        <v>87</v>
      </c>
      <c r="I1412" t="s">
        <v>105</v>
      </c>
      <c r="J1412" t="s">
        <v>23</v>
      </c>
      <c r="K1412" t="s">
        <v>119</v>
      </c>
      <c r="L1412">
        <v>4</v>
      </c>
      <c r="M1412">
        <v>53920</v>
      </c>
      <c r="N1412">
        <v>0.25</v>
      </c>
      <c r="O1412">
        <v>37750</v>
      </c>
    </row>
    <row r="1413" spans="1:15" x14ac:dyDescent="0.25">
      <c r="A1413" t="s">
        <v>1562</v>
      </c>
      <c r="B1413">
        <v>45979</v>
      </c>
      <c r="C1413" t="s">
        <v>42</v>
      </c>
      <c r="D1413" t="s">
        <v>96</v>
      </c>
      <c r="E1413" t="s">
        <v>44</v>
      </c>
      <c r="F1413" t="s">
        <v>19</v>
      </c>
      <c r="G1413" t="s">
        <v>20</v>
      </c>
      <c r="H1413" t="s">
        <v>87</v>
      </c>
      <c r="I1413" t="s">
        <v>105</v>
      </c>
      <c r="J1413" t="s">
        <v>40</v>
      </c>
      <c r="K1413" t="s">
        <v>24</v>
      </c>
      <c r="L1413">
        <v>1</v>
      </c>
      <c r="M1413">
        <v>50250</v>
      </c>
      <c r="N1413">
        <v>0</v>
      </c>
      <c r="O1413">
        <v>37240</v>
      </c>
    </row>
    <row r="1414" spans="1:15" x14ac:dyDescent="0.25">
      <c r="A1414" t="s">
        <v>1563</v>
      </c>
      <c r="B1414">
        <v>45980</v>
      </c>
      <c r="C1414" t="s">
        <v>42</v>
      </c>
      <c r="D1414" t="s">
        <v>130</v>
      </c>
      <c r="E1414" t="s">
        <v>44</v>
      </c>
      <c r="F1414" t="s">
        <v>52</v>
      </c>
      <c r="G1414" t="s">
        <v>20</v>
      </c>
      <c r="H1414" t="s">
        <v>109</v>
      </c>
      <c r="I1414" t="s">
        <v>159</v>
      </c>
      <c r="J1414" t="s">
        <v>23</v>
      </c>
      <c r="K1414" t="s">
        <v>24</v>
      </c>
      <c r="L1414">
        <v>1</v>
      </c>
      <c r="M1414">
        <v>17910</v>
      </c>
      <c r="N1414">
        <v>0.12</v>
      </c>
      <c r="O1414">
        <v>13440</v>
      </c>
    </row>
    <row r="1415" spans="1:15" x14ac:dyDescent="0.25">
      <c r="A1415" t="s">
        <v>1564</v>
      </c>
      <c r="B1415">
        <v>45980</v>
      </c>
      <c r="C1415" t="s">
        <v>76</v>
      </c>
      <c r="D1415" t="s">
        <v>77</v>
      </c>
      <c r="E1415" t="s">
        <v>170</v>
      </c>
      <c r="F1415" t="s">
        <v>19</v>
      </c>
      <c r="G1415" t="s">
        <v>83</v>
      </c>
      <c r="H1415" t="s">
        <v>84</v>
      </c>
      <c r="I1415" t="s">
        <v>85</v>
      </c>
      <c r="J1415" t="s">
        <v>40</v>
      </c>
      <c r="K1415" t="s">
        <v>24</v>
      </c>
      <c r="L1415">
        <v>20</v>
      </c>
      <c r="M1415">
        <v>2400</v>
      </c>
      <c r="N1415">
        <v>0</v>
      </c>
      <c r="O1415">
        <v>1370</v>
      </c>
    </row>
    <row r="1416" spans="1:15" x14ac:dyDescent="0.25">
      <c r="A1416" t="s">
        <v>1565</v>
      </c>
      <c r="B1416">
        <v>45980</v>
      </c>
      <c r="C1416" t="s">
        <v>56</v>
      </c>
      <c r="D1416" t="s">
        <v>72</v>
      </c>
      <c r="E1416" t="s">
        <v>134</v>
      </c>
      <c r="F1416" t="s">
        <v>19</v>
      </c>
      <c r="G1416" t="s">
        <v>20</v>
      </c>
      <c r="H1416" t="s">
        <v>21</v>
      </c>
      <c r="I1416" t="s">
        <v>65</v>
      </c>
      <c r="J1416" t="s">
        <v>49</v>
      </c>
      <c r="K1416" t="s">
        <v>24</v>
      </c>
      <c r="L1416">
        <v>14</v>
      </c>
      <c r="M1416">
        <v>8770</v>
      </c>
      <c r="N1416">
        <v>0.12</v>
      </c>
      <c r="O1416">
        <v>5880</v>
      </c>
    </row>
    <row r="1417" spans="1:15" x14ac:dyDescent="0.25">
      <c r="A1417" t="s">
        <v>1566</v>
      </c>
      <c r="B1417">
        <v>45980</v>
      </c>
      <c r="C1417" t="s">
        <v>56</v>
      </c>
      <c r="D1417" t="s">
        <v>57</v>
      </c>
      <c r="E1417" t="s">
        <v>58</v>
      </c>
      <c r="F1417" t="s">
        <v>92</v>
      </c>
      <c r="G1417" t="s">
        <v>83</v>
      </c>
      <c r="H1417" t="s">
        <v>136</v>
      </c>
      <c r="I1417" t="s">
        <v>137</v>
      </c>
      <c r="J1417" t="s">
        <v>40</v>
      </c>
      <c r="K1417" t="s">
        <v>24</v>
      </c>
      <c r="L1417">
        <v>23</v>
      </c>
      <c r="M1417">
        <v>1580</v>
      </c>
      <c r="N1417">
        <v>0.18</v>
      </c>
      <c r="O1417">
        <v>940</v>
      </c>
    </row>
    <row r="1418" spans="1:15" x14ac:dyDescent="0.25">
      <c r="A1418" t="s">
        <v>1567</v>
      </c>
      <c r="B1418">
        <v>45980</v>
      </c>
      <c r="C1418" t="s">
        <v>76</v>
      </c>
      <c r="D1418" t="s">
        <v>112</v>
      </c>
      <c r="E1418" t="s">
        <v>78</v>
      </c>
      <c r="F1418" t="s">
        <v>52</v>
      </c>
      <c r="G1418" t="s">
        <v>27</v>
      </c>
      <c r="H1418" t="s">
        <v>214</v>
      </c>
      <c r="I1418" t="s">
        <v>252</v>
      </c>
      <c r="J1418" t="s">
        <v>40</v>
      </c>
      <c r="K1418" t="s">
        <v>119</v>
      </c>
      <c r="L1418">
        <v>4</v>
      </c>
      <c r="M1418">
        <v>14590</v>
      </c>
      <c r="N1418">
        <v>0</v>
      </c>
      <c r="O1418">
        <v>9710</v>
      </c>
    </row>
    <row r="1419" spans="1:15" x14ac:dyDescent="0.25">
      <c r="A1419" t="s">
        <v>1568</v>
      </c>
      <c r="B1419">
        <v>45981</v>
      </c>
      <c r="C1419" t="s">
        <v>76</v>
      </c>
      <c r="D1419" t="s">
        <v>150</v>
      </c>
      <c r="E1419" t="s">
        <v>78</v>
      </c>
      <c r="F1419" t="s">
        <v>19</v>
      </c>
      <c r="G1419" t="s">
        <v>27</v>
      </c>
      <c r="H1419" t="s">
        <v>214</v>
      </c>
      <c r="I1419" t="s">
        <v>252</v>
      </c>
      <c r="J1419" t="s">
        <v>40</v>
      </c>
      <c r="K1419" t="s">
        <v>94</v>
      </c>
      <c r="L1419">
        <v>1</v>
      </c>
      <c r="M1419">
        <v>14060</v>
      </c>
      <c r="N1419">
        <v>0.15</v>
      </c>
      <c r="O1419">
        <v>9500</v>
      </c>
    </row>
    <row r="1420" spans="1:15" x14ac:dyDescent="0.25">
      <c r="A1420" t="s">
        <v>1569</v>
      </c>
      <c r="B1420">
        <v>45981</v>
      </c>
      <c r="C1420" t="s">
        <v>76</v>
      </c>
      <c r="D1420" t="s">
        <v>125</v>
      </c>
      <c r="E1420" t="s">
        <v>78</v>
      </c>
      <c r="F1420" t="s">
        <v>19</v>
      </c>
      <c r="G1420" t="s">
        <v>20</v>
      </c>
      <c r="H1420" t="s">
        <v>21</v>
      </c>
      <c r="I1420" t="s">
        <v>362</v>
      </c>
      <c r="J1420" t="s">
        <v>23</v>
      </c>
      <c r="K1420" t="s">
        <v>24</v>
      </c>
      <c r="L1420">
        <v>11</v>
      </c>
      <c r="M1420">
        <v>9880</v>
      </c>
      <c r="N1420">
        <v>0.05</v>
      </c>
      <c r="O1420">
        <v>5850</v>
      </c>
    </row>
    <row r="1421" spans="1:15" x14ac:dyDescent="0.25">
      <c r="A1421" t="s">
        <v>1570</v>
      </c>
      <c r="B1421">
        <v>45983</v>
      </c>
      <c r="C1421" t="s">
        <v>56</v>
      </c>
      <c r="D1421" t="s">
        <v>103</v>
      </c>
      <c r="E1421" t="s">
        <v>91</v>
      </c>
      <c r="F1421" t="s">
        <v>92</v>
      </c>
      <c r="G1421" t="s">
        <v>27</v>
      </c>
      <c r="H1421" t="s">
        <v>53</v>
      </c>
      <c r="I1421" t="s">
        <v>131</v>
      </c>
      <c r="J1421" t="s">
        <v>23</v>
      </c>
      <c r="K1421" t="s">
        <v>24</v>
      </c>
      <c r="L1421">
        <v>3</v>
      </c>
      <c r="M1421">
        <v>35430</v>
      </c>
      <c r="N1421">
        <v>0</v>
      </c>
      <c r="O1421">
        <v>23350</v>
      </c>
    </row>
    <row r="1422" spans="1:15" x14ac:dyDescent="0.25">
      <c r="A1422" t="s">
        <v>1571</v>
      </c>
      <c r="B1422">
        <v>45983</v>
      </c>
      <c r="C1422" t="s">
        <v>56</v>
      </c>
      <c r="D1422" t="s">
        <v>103</v>
      </c>
      <c r="E1422" t="s">
        <v>91</v>
      </c>
      <c r="F1422" t="s">
        <v>92</v>
      </c>
      <c r="G1422" t="s">
        <v>46</v>
      </c>
      <c r="H1422" t="s">
        <v>100</v>
      </c>
      <c r="I1422" t="s">
        <v>101</v>
      </c>
      <c r="J1422" t="s">
        <v>40</v>
      </c>
      <c r="K1422" t="s">
        <v>24</v>
      </c>
      <c r="L1422">
        <v>16</v>
      </c>
      <c r="M1422">
        <v>2000</v>
      </c>
      <c r="N1422">
        <v>0.1</v>
      </c>
      <c r="O1422">
        <v>1450</v>
      </c>
    </row>
    <row r="1423" spans="1:15" x14ac:dyDescent="0.25">
      <c r="A1423" t="s">
        <v>1572</v>
      </c>
      <c r="B1423">
        <v>45984</v>
      </c>
      <c r="C1423" t="s">
        <v>56</v>
      </c>
      <c r="D1423" t="s">
        <v>127</v>
      </c>
      <c r="E1423" t="s">
        <v>91</v>
      </c>
      <c r="F1423" t="s">
        <v>19</v>
      </c>
      <c r="G1423" t="s">
        <v>20</v>
      </c>
      <c r="H1423" t="s">
        <v>21</v>
      </c>
      <c r="I1423" t="s">
        <v>22</v>
      </c>
      <c r="J1423" t="s">
        <v>49</v>
      </c>
      <c r="K1423" t="s">
        <v>24</v>
      </c>
      <c r="L1423">
        <v>12</v>
      </c>
      <c r="M1423">
        <v>1710</v>
      </c>
      <c r="N1423">
        <v>0</v>
      </c>
      <c r="O1423">
        <v>1110</v>
      </c>
    </row>
    <row r="1424" spans="1:15" x14ac:dyDescent="0.25">
      <c r="A1424" t="s">
        <v>1573</v>
      </c>
      <c r="B1424">
        <v>45984</v>
      </c>
      <c r="C1424" t="s">
        <v>16</v>
      </c>
      <c r="D1424" t="s">
        <v>191</v>
      </c>
      <c r="E1424" t="s">
        <v>26</v>
      </c>
      <c r="F1424" t="s">
        <v>45</v>
      </c>
      <c r="G1424" t="s">
        <v>46</v>
      </c>
      <c r="H1424" t="s">
        <v>100</v>
      </c>
      <c r="I1424" t="s">
        <v>101</v>
      </c>
      <c r="J1424" t="s">
        <v>40</v>
      </c>
      <c r="K1424" t="s">
        <v>24</v>
      </c>
      <c r="L1424">
        <v>17</v>
      </c>
      <c r="M1424">
        <v>2020</v>
      </c>
      <c r="N1424">
        <v>0</v>
      </c>
      <c r="O1424">
        <v>1440</v>
      </c>
    </row>
    <row r="1425" spans="1:15" x14ac:dyDescent="0.25">
      <c r="A1425" t="s">
        <v>1574</v>
      </c>
      <c r="B1425">
        <v>45984</v>
      </c>
      <c r="C1425" t="s">
        <v>56</v>
      </c>
      <c r="D1425" t="s">
        <v>103</v>
      </c>
      <c r="E1425" t="s">
        <v>58</v>
      </c>
      <c r="F1425" t="s">
        <v>19</v>
      </c>
      <c r="G1425" t="s">
        <v>20</v>
      </c>
      <c r="H1425" t="s">
        <v>21</v>
      </c>
      <c r="I1425" t="s">
        <v>22</v>
      </c>
      <c r="J1425" t="s">
        <v>23</v>
      </c>
      <c r="K1425" t="s">
        <v>24</v>
      </c>
      <c r="L1425">
        <v>29</v>
      </c>
      <c r="M1425">
        <v>1940</v>
      </c>
      <c r="N1425">
        <v>0.25</v>
      </c>
      <c r="O1425">
        <v>1340</v>
      </c>
    </row>
    <row r="1426" spans="1:15" x14ac:dyDescent="0.25">
      <c r="A1426" t="s">
        <v>1575</v>
      </c>
      <c r="B1426">
        <v>45985</v>
      </c>
      <c r="C1426" t="s">
        <v>56</v>
      </c>
      <c r="D1426" t="s">
        <v>127</v>
      </c>
      <c r="E1426" t="s">
        <v>58</v>
      </c>
      <c r="F1426" t="s">
        <v>19</v>
      </c>
      <c r="G1426" t="s">
        <v>83</v>
      </c>
      <c r="H1426" t="s">
        <v>84</v>
      </c>
      <c r="I1426" t="s">
        <v>85</v>
      </c>
      <c r="J1426" t="s">
        <v>23</v>
      </c>
      <c r="K1426" t="s">
        <v>24</v>
      </c>
      <c r="L1426">
        <v>34</v>
      </c>
      <c r="M1426">
        <v>2350</v>
      </c>
      <c r="N1426">
        <v>0.08</v>
      </c>
      <c r="O1426">
        <v>1380</v>
      </c>
    </row>
    <row r="1427" spans="1:15" x14ac:dyDescent="0.25">
      <c r="A1427" t="s">
        <v>1576</v>
      </c>
      <c r="B1427">
        <v>45985</v>
      </c>
      <c r="C1427" t="s">
        <v>56</v>
      </c>
      <c r="D1427" t="s">
        <v>72</v>
      </c>
      <c r="E1427" t="s">
        <v>58</v>
      </c>
      <c r="F1427" t="s">
        <v>52</v>
      </c>
      <c r="G1427" t="s">
        <v>20</v>
      </c>
      <c r="H1427" t="s">
        <v>33</v>
      </c>
      <c r="I1427" t="s">
        <v>182</v>
      </c>
      <c r="J1427" t="s">
        <v>23</v>
      </c>
      <c r="K1427" t="s">
        <v>119</v>
      </c>
      <c r="L1427">
        <v>2</v>
      </c>
      <c r="M1427">
        <v>109980</v>
      </c>
      <c r="N1427">
        <v>0.12</v>
      </c>
      <c r="O1427">
        <v>85130</v>
      </c>
    </row>
    <row r="1428" spans="1:15" x14ac:dyDescent="0.25">
      <c r="A1428" t="s">
        <v>1577</v>
      </c>
      <c r="B1428">
        <v>45985</v>
      </c>
      <c r="C1428" t="s">
        <v>16</v>
      </c>
      <c r="D1428" t="s">
        <v>51</v>
      </c>
      <c r="E1428" t="s">
        <v>26</v>
      </c>
      <c r="F1428" t="s">
        <v>52</v>
      </c>
      <c r="G1428" t="s">
        <v>20</v>
      </c>
      <c r="H1428" t="s">
        <v>109</v>
      </c>
      <c r="I1428" t="s">
        <v>159</v>
      </c>
      <c r="J1428" t="s">
        <v>23</v>
      </c>
      <c r="K1428" t="s">
        <v>24</v>
      </c>
      <c r="L1428">
        <v>6</v>
      </c>
      <c r="M1428">
        <v>17580</v>
      </c>
      <c r="N1428">
        <v>0.18</v>
      </c>
      <c r="O1428">
        <v>10930</v>
      </c>
    </row>
    <row r="1429" spans="1:15" x14ac:dyDescent="0.25">
      <c r="A1429" t="s">
        <v>1578</v>
      </c>
      <c r="B1429">
        <v>45985</v>
      </c>
      <c r="C1429" t="s">
        <v>42</v>
      </c>
      <c r="D1429" t="s">
        <v>43</v>
      </c>
      <c r="E1429" t="s">
        <v>64</v>
      </c>
      <c r="F1429" t="s">
        <v>19</v>
      </c>
      <c r="G1429" t="s">
        <v>20</v>
      </c>
      <c r="H1429" t="s">
        <v>87</v>
      </c>
      <c r="I1429" t="s">
        <v>88</v>
      </c>
      <c r="J1429" t="s">
        <v>23</v>
      </c>
      <c r="K1429" t="s">
        <v>24</v>
      </c>
      <c r="L1429">
        <v>2</v>
      </c>
      <c r="M1429">
        <v>32800</v>
      </c>
      <c r="N1429">
        <v>0.08</v>
      </c>
      <c r="O1429">
        <v>21470</v>
      </c>
    </row>
    <row r="1430" spans="1:15" x14ac:dyDescent="0.25">
      <c r="A1430" t="s">
        <v>1579</v>
      </c>
      <c r="B1430">
        <v>45986</v>
      </c>
      <c r="C1430" t="s">
        <v>37</v>
      </c>
      <c r="D1430" t="s">
        <v>161</v>
      </c>
      <c r="E1430" t="s">
        <v>39</v>
      </c>
      <c r="F1430" t="s">
        <v>52</v>
      </c>
      <c r="G1430" t="s">
        <v>20</v>
      </c>
      <c r="H1430" t="s">
        <v>109</v>
      </c>
      <c r="I1430" t="s">
        <v>159</v>
      </c>
      <c r="J1430" t="s">
        <v>23</v>
      </c>
      <c r="K1430" t="s">
        <v>24</v>
      </c>
      <c r="L1430">
        <v>8</v>
      </c>
      <c r="M1430">
        <v>17770</v>
      </c>
      <c r="N1430">
        <v>0.15</v>
      </c>
      <c r="O1430">
        <v>10740</v>
      </c>
    </row>
    <row r="1431" spans="1:15" x14ac:dyDescent="0.25">
      <c r="A1431" t="s">
        <v>1580</v>
      </c>
      <c r="B1431">
        <v>45986</v>
      </c>
      <c r="C1431" t="s">
        <v>42</v>
      </c>
      <c r="D1431" t="s">
        <v>123</v>
      </c>
      <c r="E1431" t="s">
        <v>64</v>
      </c>
      <c r="F1431" t="s">
        <v>19</v>
      </c>
      <c r="G1431" t="s">
        <v>46</v>
      </c>
      <c r="H1431" t="s">
        <v>47</v>
      </c>
      <c r="I1431" t="s">
        <v>48</v>
      </c>
      <c r="J1431" t="s">
        <v>23</v>
      </c>
      <c r="K1431" t="s">
        <v>24</v>
      </c>
      <c r="L1431">
        <v>17</v>
      </c>
      <c r="M1431">
        <v>1740</v>
      </c>
      <c r="N1431">
        <v>0.2</v>
      </c>
      <c r="O1431">
        <v>1140</v>
      </c>
    </row>
    <row r="1432" spans="1:15" x14ac:dyDescent="0.25">
      <c r="A1432" t="s">
        <v>1581</v>
      </c>
      <c r="B1432">
        <v>45987</v>
      </c>
      <c r="C1432" t="s">
        <v>76</v>
      </c>
      <c r="D1432" t="s">
        <v>112</v>
      </c>
      <c r="E1432" t="s">
        <v>78</v>
      </c>
      <c r="F1432" t="s">
        <v>19</v>
      </c>
      <c r="G1432" t="s">
        <v>46</v>
      </c>
      <c r="H1432" t="s">
        <v>179</v>
      </c>
      <c r="I1432" t="s">
        <v>180</v>
      </c>
      <c r="J1432" t="s">
        <v>40</v>
      </c>
      <c r="K1432" t="s">
        <v>24</v>
      </c>
      <c r="L1432">
        <v>15</v>
      </c>
      <c r="M1432">
        <v>4060</v>
      </c>
      <c r="N1432">
        <v>0.18</v>
      </c>
      <c r="O1432">
        <v>3160</v>
      </c>
    </row>
    <row r="1433" spans="1:15" x14ac:dyDescent="0.25">
      <c r="A1433" t="s">
        <v>1582</v>
      </c>
      <c r="B1433">
        <v>45987</v>
      </c>
      <c r="C1433" t="s">
        <v>56</v>
      </c>
      <c r="D1433" t="s">
        <v>143</v>
      </c>
      <c r="E1433" t="s">
        <v>58</v>
      </c>
      <c r="F1433" t="s">
        <v>45</v>
      </c>
      <c r="G1433" t="s">
        <v>27</v>
      </c>
      <c r="H1433" t="s">
        <v>53</v>
      </c>
      <c r="I1433" t="s">
        <v>54</v>
      </c>
      <c r="J1433" t="s">
        <v>49</v>
      </c>
      <c r="K1433" t="s">
        <v>24</v>
      </c>
      <c r="L1433">
        <v>2</v>
      </c>
      <c r="M1433">
        <v>40000</v>
      </c>
      <c r="N1433">
        <v>0.05</v>
      </c>
      <c r="O1433">
        <v>25430</v>
      </c>
    </row>
    <row r="1434" spans="1:15" x14ac:dyDescent="0.25">
      <c r="A1434" t="s">
        <v>1583</v>
      </c>
      <c r="B1434">
        <v>45987</v>
      </c>
      <c r="C1434" t="s">
        <v>56</v>
      </c>
      <c r="D1434" t="s">
        <v>57</v>
      </c>
      <c r="E1434" t="s">
        <v>134</v>
      </c>
      <c r="F1434" t="s">
        <v>19</v>
      </c>
      <c r="G1434" t="s">
        <v>59</v>
      </c>
      <c r="H1434" t="s">
        <v>154</v>
      </c>
      <c r="I1434" t="s">
        <v>155</v>
      </c>
      <c r="J1434" t="s">
        <v>23</v>
      </c>
      <c r="K1434" t="s">
        <v>24</v>
      </c>
      <c r="L1434">
        <v>7</v>
      </c>
      <c r="M1434">
        <v>12420</v>
      </c>
      <c r="N1434">
        <v>0.18</v>
      </c>
      <c r="O1434">
        <v>8210</v>
      </c>
    </row>
    <row r="1435" spans="1:15" x14ac:dyDescent="0.25">
      <c r="A1435" t="s">
        <v>1584</v>
      </c>
      <c r="B1435">
        <v>45989</v>
      </c>
      <c r="C1435" t="s">
        <v>16</v>
      </c>
      <c r="D1435" t="s">
        <v>31</v>
      </c>
      <c r="E1435" t="s">
        <v>32</v>
      </c>
      <c r="F1435" t="s">
        <v>19</v>
      </c>
      <c r="G1435" t="s">
        <v>46</v>
      </c>
      <c r="H1435" t="s">
        <v>100</v>
      </c>
      <c r="I1435" t="s">
        <v>101</v>
      </c>
      <c r="J1435" t="s">
        <v>49</v>
      </c>
      <c r="K1435" t="s">
        <v>24</v>
      </c>
      <c r="L1435">
        <v>19</v>
      </c>
      <c r="M1435">
        <v>1850</v>
      </c>
      <c r="N1435">
        <v>0</v>
      </c>
      <c r="O1435">
        <v>1370</v>
      </c>
    </row>
    <row r="1436" spans="1:15" x14ac:dyDescent="0.25">
      <c r="A1436" t="s">
        <v>1585</v>
      </c>
      <c r="B1436">
        <v>45989</v>
      </c>
      <c r="C1436" t="s">
        <v>56</v>
      </c>
      <c r="D1436" t="s">
        <v>143</v>
      </c>
      <c r="E1436" t="s">
        <v>134</v>
      </c>
      <c r="F1436" t="s">
        <v>92</v>
      </c>
      <c r="G1436" t="s">
        <v>46</v>
      </c>
      <c r="H1436" t="s">
        <v>100</v>
      </c>
      <c r="I1436" t="s">
        <v>101</v>
      </c>
      <c r="J1436" t="s">
        <v>40</v>
      </c>
      <c r="K1436" t="s">
        <v>24</v>
      </c>
      <c r="L1436">
        <v>24</v>
      </c>
      <c r="M1436">
        <v>1830</v>
      </c>
      <c r="N1436">
        <v>0.08</v>
      </c>
      <c r="O1436">
        <v>1240</v>
      </c>
    </row>
    <row r="1437" spans="1:15" x14ac:dyDescent="0.25">
      <c r="A1437" t="s">
        <v>1586</v>
      </c>
      <c r="B1437">
        <v>45989</v>
      </c>
      <c r="C1437" t="s">
        <v>42</v>
      </c>
      <c r="D1437" t="s">
        <v>123</v>
      </c>
      <c r="E1437" t="s">
        <v>97</v>
      </c>
      <c r="F1437" t="s">
        <v>52</v>
      </c>
      <c r="G1437" t="s">
        <v>46</v>
      </c>
      <c r="H1437" t="s">
        <v>100</v>
      </c>
      <c r="I1437" t="s">
        <v>101</v>
      </c>
      <c r="J1437" t="s">
        <v>40</v>
      </c>
      <c r="K1437" t="s">
        <v>24</v>
      </c>
      <c r="L1437">
        <v>25</v>
      </c>
      <c r="M1437">
        <v>1870</v>
      </c>
      <c r="N1437">
        <v>0.15</v>
      </c>
      <c r="O1437">
        <v>1130</v>
      </c>
    </row>
    <row r="1438" spans="1:15" x14ac:dyDescent="0.25">
      <c r="A1438" t="s">
        <v>1587</v>
      </c>
      <c r="B1438">
        <v>45990</v>
      </c>
      <c r="C1438" t="s">
        <v>56</v>
      </c>
      <c r="D1438" t="s">
        <v>72</v>
      </c>
      <c r="E1438" t="s">
        <v>91</v>
      </c>
      <c r="F1438" t="s">
        <v>92</v>
      </c>
      <c r="G1438" t="s">
        <v>59</v>
      </c>
      <c r="H1438" t="s">
        <v>73</v>
      </c>
      <c r="I1438" t="s">
        <v>113</v>
      </c>
      <c r="J1438" t="s">
        <v>23</v>
      </c>
      <c r="K1438" t="s">
        <v>35</v>
      </c>
      <c r="L1438">
        <v>2</v>
      </c>
      <c r="M1438">
        <v>32870</v>
      </c>
      <c r="N1438">
        <v>0.08</v>
      </c>
      <c r="O1438">
        <v>21470</v>
      </c>
    </row>
    <row r="1439" spans="1:15" x14ac:dyDescent="0.25">
      <c r="A1439" t="s">
        <v>1588</v>
      </c>
      <c r="B1439">
        <v>45991</v>
      </c>
      <c r="C1439" t="s">
        <v>16</v>
      </c>
      <c r="D1439" t="s">
        <v>191</v>
      </c>
      <c r="E1439" t="s">
        <v>18</v>
      </c>
      <c r="F1439" t="s">
        <v>19</v>
      </c>
      <c r="G1439" t="s">
        <v>59</v>
      </c>
      <c r="H1439" t="s">
        <v>69</v>
      </c>
      <c r="I1439" t="s">
        <v>70</v>
      </c>
      <c r="J1439" t="s">
        <v>40</v>
      </c>
      <c r="K1439" t="s">
        <v>24</v>
      </c>
      <c r="L1439">
        <v>8</v>
      </c>
      <c r="M1439">
        <v>26730</v>
      </c>
      <c r="N1439">
        <v>0.12</v>
      </c>
      <c r="O1439">
        <v>15610</v>
      </c>
    </row>
    <row r="1440" spans="1:15" x14ac:dyDescent="0.25">
      <c r="A1440" t="s">
        <v>1589</v>
      </c>
      <c r="B1440">
        <v>45991</v>
      </c>
      <c r="C1440" t="s">
        <v>76</v>
      </c>
      <c r="D1440" t="s">
        <v>150</v>
      </c>
      <c r="E1440" t="s">
        <v>170</v>
      </c>
      <c r="F1440" t="s">
        <v>19</v>
      </c>
      <c r="G1440" t="s">
        <v>59</v>
      </c>
      <c r="H1440" t="s">
        <v>69</v>
      </c>
      <c r="I1440" t="s">
        <v>70</v>
      </c>
      <c r="J1440" t="s">
        <v>40</v>
      </c>
      <c r="K1440" t="s">
        <v>24</v>
      </c>
      <c r="L1440">
        <v>6</v>
      </c>
      <c r="M1440">
        <v>28640</v>
      </c>
      <c r="N1440">
        <v>0.1</v>
      </c>
      <c r="O1440">
        <v>19660</v>
      </c>
    </row>
    <row r="1441" spans="1:15" x14ac:dyDescent="0.25">
      <c r="A1441" t="s">
        <v>1590</v>
      </c>
      <c r="B1441">
        <v>45992</v>
      </c>
      <c r="C1441" t="s">
        <v>16</v>
      </c>
      <c r="D1441" t="s">
        <v>153</v>
      </c>
      <c r="E1441" t="s">
        <v>32</v>
      </c>
      <c r="F1441" t="s">
        <v>92</v>
      </c>
      <c r="G1441" t="s">
        <v>83</v>
      </c>
      <c r="H1441" t="s">
        <v>184</v>
      </c>
      <c r="I1441" t="s">
        <v>185</v>
      </c>
      <c r="J1441" t="s">
        <v>40</v>
      </c>
      <c r="K1441" t="s">
        <v>24</v>
      </c>
      <c r="L1441">
        <v>10</v>
      </c>
      <c r="M1441">
        <v>4820</v>
      </c>
      <c r="N1441">
        <v>0.2</v>
      </c>
      <c r="O1441">
        <v>3730</v>
      </c>
    </row>
    <row r="1442" spans="1:15" x14ac:dyDescent="0.25">
      <c r="A1442" t="s">
        <v>1591</v>
      </c>
      <c r="B1442">
        <v>45993</v>
      </c>
      <c r="C1442" t="s">
        <v>76</v>
      </c>
      <c r="D1442" t="s">
        <v>217</v>
      </c>
      <c r="E1442" t="s">
        <v>170</v>
      </c>
      <c r="F1442" t="s">
        <v>19</v>
      </c>
      <c r="G1442" t="s">
        <v>46</v>
      </c>
      <c r="H1442" t="s">
        <v>100</v>
      </c>
      <c r="I1442" t="s">
        <v>101</v>
      </c>
      <c r="J1442" t="s">
        <v>40</v>
      </c>
      <c r="K1442" t="s">
        <v>24</v>
      </c>
      <c r="L1442">
        <v>16</v>
      </c>
      <c r="M1442">
        <v>1850</v>
      </c>
      <c r="N1442">
        <v>0.12</v>
      </c>
      <c r="O1442">
        <v>1120</v>
      </c>
    </row>
    <row r="1443" spans="1:15" x14ac:dyDescent="0.25">
      <c r="A1443" t="s">
        <v>1592</v>
      </c>
      <c r="B1443">
        <v>45993</v>
      </c>
      <c r="C1443" t="s">
        <v>76</v>
      </c>
      <c r="D1443" t="s">
        <v>112</v>
      </c>
      <c r="E1443" t="s">
        <v>78</v>
      </c>
      <c r="F1443" t="s">
        <v>92</v>
      </c>
      <c r="G1443" t="s">
        <v>20</v>
      </c>
      <c r="H1443" t="s">
        <v>87</v>
      </c>
      <c r="I1443" t="s">
        <v>88</v>
      </c>
      <c r="J1443" t="s">
        <v>23</v>
      </c>
      <c r="K1443" t="s">
        <v>24</v>
      </c>
      <c r="L1443">
        <v>6</v>
      </c>
      <c r="M1443">
        <v>30620</v>
      </c>
      <c r="N1443">
        <v>0.2</v>
      </c>
      <c r="O1443">
        <v>18310</v>
      </c>
    </row>
    <row r="1444" spans="1:15" x14ac:dyDescent="0.25">
      <c r="A1444" t="s">
        <v>1593</v>
      </c>
      <c r="B1444">
        <v>45994</v>
      </c>
      <c r="C1444" t="s">
        <v>16</v>
      </c>
      <c r="D1444" t="s">
        <v>17</v>
      </c>
      <c r="E1444" t="s">
        <v>18</v>
      </c>
      <c r="F1444" t="s">
        <v>52</v>
      </c>
      <c r="G1444" t="s">
        <v>46</v>
      </c>
      <c r="H1444" t="s">
        <v>47</v>
      </c>
      <c r="I1444" t="s">
        <v>259</v>
      </c>
      <c r="J1444" t="s">
        <v>40</v>
      </c>
      <c r="K1444" t="s">
        <v>24</v>
      </c>
      <c r="L1444">
        <v>3</v>
      </c>
      <c r="M1444">
        <v>2770</v>
      </c>
      <c r="N1444">
        <v>0.05</v>
      </c>
      <c r="O1444">
        <v>1780</v>
      </c>
    </row>
    <row r="1445" spans="1:15" x14ac:dyDescent="0.25">
      <c r="A1445" t="s">
        <v>1594</v>
      </c>
      <c r="B1445">
        <v>45994</v>
      </c>
      <c r="C1445" t="s">
        <v>56</v>
      </c>
      <c r="D1445" t="s">
        <v>133</v>
      </c>
      <c r="E1445" t="s">
        <v>58</v>
      </c>
      <c r="F1445" t="s">
        <v>19</v>
      </c>
      <c r="G1445" t="s">
        <v>83</v>
      </c>
      <c r="H1445" t="s">
        <v>184</v>
      </c>
      <c r="I1445" t="s">
        <v>185</v>
      </c>
      <c r="J1445" t="s">
        <v>49</v>
      </c>
      <c r="K1445" t="s">
        <v>94</v>
      </c>
      <c r="L1445">
        <v>8</v>
      </c>
      <c r="M1445">
        <v>4590</v>
      </c>
      <c r="N1445">
        <v>0.1</v>
      </c>
      <c r="O1445">
        <v>3270</v>
      </c>
    </row>
    <row r="1446" spans="1:15" x14ac:dyDescent="0.25">
      <c r="A1446" t="s">
        <v>1595</v>
      </c>
      <c r="B1446">
        <v>45995</v>
      </c>
      <c r="C1446" t="s">
        <v>16</v>
      </c>
      <c r="D1446" t="s">
        <v>17</v>
      </c>
      <c r="E1446" t="s">
        <v>32</v>
      </c>
      <c r="F1446" t="s">
        <v>19</v>
      </c>
      <c r="G1446" t="s">
        <v>20</v>
      </c>
      <c r="H1446" t="s">
        <v>21</v>
      </c>
      <c r="I1446" t="s">
        <v>65</v>
      </c>
      <c r="J1446" t="s">
        <v>23</v>
      </c>
      <c r="K1446" t="s">
        <v>24</v>
      </c>
      <c r="L1446">
        <v>2</v>
      </c>
      <c r="M1446">
        <v>8240</v>
      </c>
      <c r="N1446">
        <v>0</v>
      </c>
      <c r="O1446">
        <v>6090</v>
      </c>
    </row>
    <row r="1447" spans="1:15" x14ac:dyDescent="0.25">
      <c r="A1447" t="s">
        <v>1596</v>
      </c>
      <c r="B1447">
        <v>45995</v>
      </c>
      <c r="C1447" t="s">
        <v>16</v>
      </c>
      <c r="D1447" t="s">
        <v>191</v>
      </c>
      <c r="E1447" t="s">
        <v>32</v>
      </c>
      <c r="F1447" t="s">
        <v>52</v>
      </c>
      <c r="G1447" t="s">
        <v>20</v>
      </c>
      <c r="H1447" t="s">
        <v>21</v>
      </c>
      <c r="I1447" t="s">
        <v>65</v>
      </c>
      <c r="J1447" t="s">
        <v>23</v>
      </c>
      <c r="K1447" t="s">
        <v>24</v>
      </c>
      <c r="L1447">
        <v>15</v>
      </c>
      <c r="M1447">
        <v>8170</v>
      </c>
      <c r="N1447">
        <v>0.1</v>
      </c>
      <c r="O1447">
        <v>5250</v>
      </c>
    </row>
    <row r="1448" spans="1:15" x14ac:dyDescent="0.25">
      <c r="A1448" t="s">
        <v>1597</v>
      </c>
      <c r="B1448">
        <v>45996</v>
      </c>
      <c r="C1448" t="s">
        <v>56</v>
      </c>
      <c r="D1448" t="s">
        <v>72</v>
      </c>
      <c r="E1448" t="s">
        <v>58</v>
      </c>
      <c r="F1448" t="s">
        <v>19</v>
      </c>
      <c r="G1448" t="s">
        <v>20</v>
      </c>
      <c r="H1448" t="s">
        <v>109</v>
      </c>
      <c r="I1448" t="s">
        <v>110</v>
      </c>
      <c r="J1448" t="s">
        <v>49</v>
      </c>
      <c r="K1448" t="s">
        <v>24</v>
      </c>
      <c r="L1448">
        <v>3</v>
      </c>
      <c r="M1448">
        <v>67040</v>
      </c>
      <c r="N1448">
        <v>0</v>
      </c>
      <c r="O1448">
        <v>48410</v>
      </c>
    </row>
    <row r="1449" spans="1:15" x14ac:dyDescent="0.25">
      <c r="A1449" t="s">
        <v>1598</v>
      </c>
      <c r="B1449">
        <v>45996</v>
      </c>
      <c r="C1449" t="s">
        <v>42</v>
      </c>
      <c r="D1449" t="s">
        <v>265</v>
      </c>
      <c r="E1449" t="s">
        <v>64</v>
      </c>
      <c r="F1449" t="s">
        <v>19</v>
      </c>
      <c r="G1449" t="s">
        <v>46</v>
      </c>
      <c r="H1449" t="s">
        <v>100</v>
      </c>
      <c r="I1449" t="s">
        <v>101</v>
      </c>
      <c r="J1449" t="s">
        <v>40</v>
      </c>
      <c r="K1449" t="s">
        <v>35</v>
      </c>
      <c r="L1449">
        <v>23</v>
      </c>
      <c r="M1449">
        <v>1820</v>
      </c>
      <c r="N1449">
        <v>0.18</v>
      </c>
      <c r="O1449">
        <v>1360</v>
      </c>
    </row>
    <row r="1450" spans="1:15" x14ac:dyDescent="0.25">
      <c r="A1450" t="s">
        <v>1599</v>
      </c>
      <c r="B1450">
        <v>45996</v>
      </c>
      <c r="C1450" t="s">
        <v>16</v>
      </c>
      <c r="D1450" t="s">
        <v>191</v>
      </c>
      <c r="E1450" t="s">
        <v>32</v>
      </c>
      <c r="F1450" t="s">
        <v>52</v>
      </c>
      <c r="G1450" t="s">
        <v>27</v>
      </c>
      <c r="H1450" t="s">
        <v>214</v>
      </c>
      <c r="I1450" t="s">
        <v>252</v>
      </c>
      <c r="J1450" t="s">
        <v>23</v>
      </c>
      <c r="K1450" t="s">
        <v>35</v>
      </c>
      <c r="L1450">
        <v>6</v>
      </c>
      <c r="M1450">
        <v>13440</v>
      </c>
      <c r="N1450">
        <v>0.1</v>
      </c>
      <c r="O1450">
        <v>9750</v>
      </c>
    </row>
    <row r="1451" spans="1:15" x14ac:dyDescent="0.25">
      <c r="A1451" t="s">
        <v>1600</v>
      </c>
      <c r="B1451">
        <v>45997</v>
      </c>
      <c r="C1451" t="s">
        <v>42</v>
      </c>
      <c r="D1451" t="s">
        <v>130</v>
      </c>
      <c r="E1451" t="s">
        <v>44</v>
      </c>
      <c r="F1451" t="s">
        <v>19</v>
      </c>
      <c r="G1451" t="s">
        <v>20</v>
      </c>
      <c r="H1451" t="s">
        <v>21</v>
      </c>
      <c r="I1451" t="s">
        <v>362</v>
      </c>
      <c r="J1451" t="s">
        <v>40</v>
      </c>
      <c r="K1451" t="s">
        <v>24</v>
      </c>
      <c r="L1451">
        <v>14</v>
      </c>
      <c r="M1451">
        <v>8970</v>
      </c>
      <c r="N1451">
        <v>0.05</v>
      </c>
      <c r="O1451">
        <v>5820</v>
      </c>
    </row>
    <row r="1452" spans="1:15" x14ac:dyDescent="0.25">
      <c r="A1452" t="s">
        <v>1601</v>
      </c>
      <c r="B1452">
        <v>45997</v>
      </c>
      <c r="C1452" t="s">
        <v>56</v>
      </c>
      <c r="D1452" t="s">
        <v>127</v>
      </c>
      <c r="E1452" t="s">
        <v>91</v>
      </c>
      <c r="F1452" t="s">
        <v>45</v>
      </c>
      <c r="G1452" t="s">
        <v>59</v>
      </c>
      <c r="H1452" t="s">
        <v>154</v>
      </c>
      <c r="I1452" t="s">
        <v>249</v>
      </c>
      <c r="J1452" t="s">
        <v>23</v>
      </c>
      <c r="K1452" t="s">
        <v>24</v>
      </c>
      <c r="L1452">
        <v>19</v>
      </c>
      <c r="M1452">
        <v>6500</v>
      </c>
      <c r="N1452">
        <v>0.1</v>
      </c>
      <c r="O1452">
        <v>3950</v>
      </c>
    </row>
    <row r="1453" spans="1:15" x14ac:dyDescent="0.25">
      <c r="A1453" t="s">
        <v>1602</v>
      </c>
      <c r="B1453">
        <v>45997</v>
      </c>
      <c r="C1453" t="s">
        <v>16</v>
      </c>
      <c r="D1453" t="s">
        <v>153</v>
      </c>
      <c r="E1453" t="s">
        <v>32</v>
      </c>
      <c r="F1453" t="s">
        <v>52</v>
      </c>
      <c r="G1453" t="s">
        <v>27</v>
      </c>
      <c r="H1453" t="s">
        <v>214</v>
      </c>
      <c r="I1453" t="s">
        <v>215</v>
      </c>
      <c r="J1453" t="s">
        <v>40</v>
      </c>
      <c r="K1453" t="s">
        <v>35</v>
      </c>
      <c r="L1453">
        <v>4</v>
      </c>
      <c r="M1453">
        <v>33640</v>
      </c>
      <c r="N1453">
        <v>0.05</v>
      </c>
      <c r="O1453">
        <v>21380</v>
      </c>
    </row>
    <row r="1454" spans="1:15" x14ac:dyDescent="0.25">
      <c r="A1454" t="s">
        <v>1603</v>
      </c>
      <c r="B1454">
        <v>45997</v>
      </c>
      <c r="C1454" t="s">
        <v>37</v>
      </c>
      <c r="D1454" t="s">
        <v>67</v>
      </c>
      <c r="E1454" t="s">
        <v>39</v>
      </c>
      <c r="F1454" t="s">
        <v>45</v>
      </c>
      <c r="G1454" t="s">
        <v>59</v>
      </c>
      <c r="H1454" t="s">
        <v>69</v>
      </c>
      <c r="I1454" t="s">
        <v>70</v>
      </c>
      <c r="J1454" t="s">
        <v>40</v>
      </c>
      <c r="K1454" t="s">
        <v>24</v>
      </c>
      <c r="L1454">
        <v>9</v>
      </c>
      <c r="M1454">
        <v>29110</v>
      </c>
      <c r="N1454">
        <v>0.2</v>
      </c>
      <c r="O1454">
        <v>20170</v>
      </c>
    </row>
    <row r="1455" spans="1:15" x14ac:dyDescent="0.25">
      <c r="A1455" t="s">
        <v>1604</v>
      </c>
      <c r="B1455">
        <v>45998</v>
      </c>
      <c r="C1455" t="s">
        <v>56</v>
      </c>
      <c r="D1455" t="s">
        <v>57</v>
      </c>
      <c r="E1455" t="s">
        <v>134</v>
      </c>
      <c r="F1455" t="s">
        <v>52</v>
      </c>
      <c r="G1455" t="s">
        <v>20</v>
      </c>
      <c r="H1455" t="s">
        <v>87</v>
      </c>
      <c r="I1455" t="s">
        <v>88</v>
      </c>
      <c r="J1455" t="s">
        <v>49</v>
      </c>
      <c r="K1455" t="s">
        <v>119</v>
      </c>
      <c r="L1455">
        <v>1</v>
      </c>
      <c r="M1455">
        <v>32060</v>
      </c>
      <c r="N1455">
        <v>0</v>
      </c>
      <c r="O1455">
        <v>22710</v>
      </c>
    </row>
    <row r="1456" spans="1:15" x14ac:dyDescent="0.25">
      <c r="A1456" t="s">
        <v>1605</v>
      </c>
      <c r="B1456">
        <v>45998</v>
      </c>
      <c r="C1456" t="s">
        <v>16</v>
      </c>
      <c r="D1456" t="s">
        <v>191</v>
      </c>
      <c r="E1456" t="s">
        <v>18</v>
      </c>
      <c r="F1456" t="s">
        <v>19</v>
      </c>
      <c r="G1456" t="s">
        <v>83</v>
      </c>
      <c r="H1456" t="s">
        <v>84</v>
      </c>
      <c r="I1456" t="s">
        <v>292</v>
      </c>
      <c r="J1456" t="s">
        <v>23</v>
      </c>
      <c r="K1456" t="s">
        <v>24</v>
      </c>
      <c r="L1456">
        <v>4</v>
      </c>
      <c r="M1456">
        <v>43410</v>
      </c>
      <c r="N1456">
        <v>0.18</v>
      </c>
      <c r="O1456">
        <v>28600</v>
      </c>
    </row>
    <row r="1457" spans="1:15" x14ac:dyDescent="0.25">
      <c r="A1457" t="s">
        <v>1606</v>
      </c>
      <c r="B1457">
        <v>45998</v>
      </c>
      <c r="C1457" t="s">
        <v>56</v>
      </c>
      <c r="D1457" t="s">
        <v>127</v>
      </c>
      <c r="E1457" t="s">
        <v>58</v>
      </c>
      <c r="F1457" t="s">
        <v>92</v>
      </c>
      <c r="G1457" t="s">
        <v>83</v>
      </c>
      <c r="H1457" t="s">
        <v>84</v>
      </c>
      <c r="I1457" t="s">
        <v>85</v>
      </c>
      <c r="J1457" t="s">
        <v>40</v>
      </c>
      <c r="K1457" t="s">
        <v>35</v>
      </c>
      <c r="L1457">
        <v>11</v>
      </c>
      <c r="M1457">
        <v>2430</v>
      </c>
      <c r="N1457">
        <v>0.05</v>
      </c>
      <c r="O1457">
        <v>1760</v>
      </c>
    </row>
    <row r="1458" spans="1:15" x14ac:dyDescent="0.25">
      <c r="A1458" t="s">
        <v>1607</v>
      </c>
      <c r="B1458">
        <v>45999</v>
      </c>
      <c r="C1458" t="s">
        <v>42</v>
      </c>
      <c r="D1458" t="s">
        <v>130</v>
      </c>
      <c r="E1458" t="s">
        <v>64</v>
      </c>
      <c r="F1458" t="s">
        <v>19</v>
      </c>
      <c r="G1458" t="s">
        <v>83</v>
      </c>
      <c r="H1458" t="s">
        <v>84</v>
      </c>
      <c r="I1458" t="s">
        <v>85</v>
      </c>
      <c r="J1458" t="s">
        <v>23</v>
      </c>
      <c r="K1458" t="s">
        <v>24</v>
      </c>
      <c r="L1458">
        <v>20</v>
      </c>
      <c r="M1458">
        <v>2490</v>
      </c>
      <c r="N1458">
        <v>0.2</v>
      </c>
      <c r="O1458">
        <v>1580</v>
      </c>
    </row>
    <row r="1459" spans="1:15" x14ac:dyDescent="0.25">
      <c r="A1459" t="s">
        <v>1608</v>
      </c>
      <c r="B1459">
        <v>46000</v>
      </c>
      <c r="C1459" t="s">
        <v>16</v>
      </c>
      <c r="D1459" t="s">
        <v>51</v>
      </c>
      <c r="E1459" t="s">
        <v>32</v>
      </c>
      <c r="F1459" t="s">
        <v>52</v>
      </c>
      <c r="G1459" t="s">
        <v>20</v>
      </c>
      <c r="H1459" t="s">
        <v>33</v>
      </c>
      <c r="I1459" t="s">
        <v>139</v>
      </c>
      <c r="J1459" t="s">
        <v>40</v>
      </c>
      <c r="K1459" t="s">
        <v>24</v>
      </c>
      <c r="L1459">
        <v>3</v>
      </c>
      <c r="M1459">
        <v>65050</v>
      </c>
      <c r="N1459">
        <v>0.08</v>
      </c>
      <c r="O1459">
        <v>42580</v>
      </c>
    </row>
    <row r="1460" spans="1:15" x14ac:dyDescent="0.25">
      <c r="A1460" t="s">
        <v>1609</v>
      </c>
      <c r="B1460">
        <v>46000</v>
      </c>
      <c r="C1460" t="s">
        <v>42</v>
      </c>
      <c r="D1460" t="s">
        <v>146</v>
      </c>
      <c r="E1460" t="s">
        <v>97</v>
      </c>
      <c r="F1460" t="s">
        <v>19</v>
      </c>
      <c r="G1460" t="s">
        <v>20</v>
      </c>
      <c r="H1460" t="s">
        <v>21</v>
      </c>
      <c r="I1460" t="s">
        <v>22</v>
      </c>
      <c r="J1460" t="s">
        <v>49</v>
      </c>
      <c r="K1460" t="s">
        <v>94</v>
      </c>
      <c r="L1460">
        <v>17</v>
      </c>
      <c r="M1460">
        <v>1730</v>
      </c>
      <c r="N1460">
        <v>0.12</v>
      </c>
      <c r="O1460">
        <v>1250</v>
      </c>
    </row>
    <row r="1461" spans="1:15" x14ac:dyDescent="0.25">
      <c r="A1461" t="s">
        <v>1610</v>
      </c>
      <c r="B1461">
        <v>46001</v>
      </c>
      <c r="C1461" t="s">
        <v>16</v>
      </c>
      <c r="D1461" t="s">
        <v>51</v>
      </c>
      <c r="E1461" t="s">
        <v>18</v>
      </c>
      <c r="F1461" t="s">
        <v>19</v>
      </c>
      <c r="G1461" t="s">
        <v>83</v>
      </c>
      <c r="H1461" t="s">
        <v>136</v>
      </c>
      <c r="I1461" t="s">
        <v>307</v>
      </c>
      <c r="J1461" t="s">
        <v>40</v>
      </c>
      <c r="K1461" t="s">
        <v>24</v>
      </c>
      <c r="L1461">
        <v>6</v>
      </c>
      <c r="M1461">
        <v>940</v>
      </c>
      <c r="N1461">
        <v>0.12</v>
      </c>
      <c r="O1461">
        <v>730</v>
      </c>
    </row>
    <row r="1462" spans="1:15" x14ac:dyDescent="0.25">
      <c r="A1462" t="s">
        <v>1611</v>
      </c>
      <c r="B1462">
        <v>46001</v>
      </c>
      <c r="C1462" t="s">
        <v>37</v>
      </c>
      <c r="D1462" t="s">
        <v>38</v>
      </c>
      <c r="E1462" t="s">
        <v>39</v>
      </c>
      <c r="F1462" t="s">
        <v>19</v>
      </c>
      <c r="G1462" t="s">
        <v>27</v>
      </c>
      <c r="H1462" t="s">
        <v>53</v>
      </c>
      <c r="I1462" t="s">
        <v>54</v>
      </c>
      <c r="J1462" t="s">
        <v>49</v>
      </c>
      <c r="K1462" t="s">
        <v>24</v>
      </c>
      <c r="L1462">
        <v>2</v>
      </c>
      <c r="M1462">
        <v>42690</v>
      </c>
      <c r="N1462">
        <v>0.12</v>
      </c>
      <c r="O1462">
        <v>33550</v>
      </c>
    </row>
    <row r="1463" spans="1:15" x14ac:dyDescent="0.25">
      <c r="A1463" t="s">
        <v>1612</v>
      </c>
      <c r="B1463">
        <v>46001</v>
      </c>
      <c r="C1463" t="s">
        <v>42</v>
      </c>
      <c r="D1463" t="s">
        <v>265</v>
      </c>
      <c r="E1463" t="s">
        <v>97</v>
      </c>
      <c r="F1463" t="s">
        <v>52</v>
      </c>
      <c r="G1463" t="s">
        <v>27</v>
      </c>
      <c r="H1463" t="s">
        <v>28</v>
      </c>
      <c r="I1463" t="s">
        <v>141</v>
      </c>
      <c r="J1463" t="s">
        <v>49</v>
      </c>
      <c r="K1463" t="s">
        <v>24</v>
      </c>
      <c r="L1463">
        <v>1</v>
      </c>
      <c r="M1463">
        <v>15910</v>
      </c>
      <c r="N1463">
        <v>0.18</v>
      </c>
      <c r="O1463">
        <v>10840</v>
      </c>
    </row>
    <row r="1464" spans="1:15" x14ac:dyDescent="0.25">
      <c r="A1464" t="s">
        <v>1613</v>
      </c>
      <c r="B1464">
        <v>46002</v>
      </c>
      <c r="C1464" t="s">
        <v>37</v>
      </c>
      <c r="D1464" t="s">
        <v>115</v>
      </c>
      <c r="E1464" t="s">
        <v>39</v>
      </c>
      <c r="F1464" t="s">
        <v>19</v>
      </c>
      <c r="G1464" t="s">
        <v>20</v>
      </c>
      <c r="H1464" t="s">
        <v>87</v>
      </c>
      <c r="I1464" t="s">
        <v>105</v>
      </c>
      <c r="J1464" t="s">
        <v>23</v>
      </c>
      <c r="K1464" t="s">
        <v>24</v>
      </c>
      <c r="L1464">
        <v>4</v>
      </c>
      <c r="M1464">
        <v>51690</v>
      </c>
      <c r="N1464">
        <v>0.15</v>
      </c>
      <c r="O1464">
        <v>40520</v>
      </c>
    </row>
    <row r="1465" spans="1:15" x14ac:dyDescent="0.25">
      <c r="A1465" t="s">
        <v>1614</v>
      </c>
      <c r="B1465">
        <v>46003</v>
      </c>
      <c r="C1465" t="s">
        <v>16</v>
      </c>
      <c r="D1465" t="s">
        <v>17</v>
      </c>
      <c r="E1465" t="s">
        <v>18</v>
      </c>
      <c r="F1465" t="s">
        <v>19</v>
      </c>
      <c r="G1465" t="s">
        <v>83</v>
      </c>
      <c r="H1465" t="s">
        <v>84</v>
      </c>
      <c r="I1465" t="s">
        <v>85</v>
      </c>
      <c r="J1465" t="s">
        <v>40</v>
      </c>
      <c r="K1465" t="s">
        <v>35</v>
      </c>
      <c r="L1465">
        <v>20</v>
      </c>
      <c r="M1465">
        <v>2340</v>
      </c>
      <c r="N1465">
        <v>0.08</v>
      </c>
      <c r="O1465">
        <v>1330</v>
      </c>
    </row>
    <row r="1466" spans="1:15" x14ac:dyDescent="0.25">
      <c r="A1466" t="s">
        <v>1615</v>
      </c>
      <c r="B1466">
        <v>46004</v>
      </c>
      <c r="C1466" t="s">
        <v>16</v>
      </c>
      <c r="D1466" t="s">
        <v>191</v>
      </c>
      <c r="E1466" t="s">
        <v>32</v>
      </c>
      <c r="F1466" t="s">
        <v>19</v>
      </c>
      <c r="G1466" t="s">
        <v>83</v>
      </c>
      <c r="H1466" t="s">
        <v>184</v>
      </c>
      <c r="I1466" t="s">
        <v>185</v>
      </c>
      <c r="J1466" t="s">
        <v>40</v>
      </c>
      <c r="K1466" t="s">
        <v>24</v>
      </c>
      <c r="L1466">
        <v>15</v>
      </c>
      <c r="M1466">
        <v>4690</v>
      </c>
      <c r="N1466">
        <v>0.12</v>
      </c>
      <c r="O1466">
        <v>3600</v>
      </c>
    </row>
    <row r="1467" spans="1:15" x14ac:dyDescent="0.25">
      <c r="A1467" t="s">
        <v>1616</v>
      </c>
      <c r="B1467">
        <v>46004</v>
      </c>
      <c r="C1467" t="s">
        <v>56</v>
      </c>
      <c r="D1467" t="s">
        <v>103</v>
      </c>
      <c r="E1467" t="s">
        <v>134</v>
      </c>
      <c r="F1467" t="s">
        <v>19</v>
      </c>
      <c r="G1467" t="s">
        <v>83</v>
      </c>
      <c r="H1467" t="s">
        <v>136</v>
      </c>
      <c r="I1467" t="s">
        <v>137</v>
      </c>
      <c r="J1467" t="s">
        <v>23</v>
      </c>
      <c r="K1467" t="s">
        <v>119</v>
      </c>
      <c r="L1467">
        <v>6</v>
      </c>
      <c r="M1467">
        <v>1650</v>
      </c>
      <c r="N1467">
        <v>0</v>
      </c>
      <c r="O1467">
        <v>1170</v>
      </c>
    </row>
    <row r="1468" spans="1:15" x14ac:dyDescent="0.25">
      <c r="A1468" t="s">
        <v>1617</v>
      </c>
      <c r="B1468">
        <v>46004</v>
      </c>
      <c r="C1468" t="s">
        <v>42</v>
      </c>
      <c r="D1468" t="s">
        <v>265</v>
      </c>
      <c r="E1468" t="s">
        <v>44</v>
      </c>
      <c r="F1468" t="s">
        <v>92</v>
      </c>
      <c r="G1468" t="s">
        <v>83</v>
      </c>
      <c r="H1468" t="s">
        <v>84</v>
      </c>
      <c r="I1468" t="s">
        <v>85</v>
      </c>
      <c r="J1468" t="s">
        <v>40</v>
      </c>
      <c r="K1468" t="s">
        <v>24</v>
      </c>
      <c r="L1468">
        <v>61</v>
      </c>
      <c r="M1468">
        <v>2410</v>
      </c>
      <c r="N1468">
        <v>0.1</v>
      </c>
      <c r="O1468">
        <v>1870</v>
      </c>
    </row>
    <row r="1469" spans="1:15" x14ac:dyDescent="0.25">
      <c r="A1469" t="s">
        <v>1618</v>
      </c>
      <c r="B1469">
        <v>46004</v>
      </c>
      <c r="C1469" t="s">
        <v>16</v>
      </c>
      <c r="D1469" t="s">
        <v>51</v>
      </c>
      <c r="E1469" t="s">
        <v>18</v>
      </c>
      <c r="F1469" t="s">
        <v>92</v>
      </c>
      <c r="G1469" t="s">
        <v>27</v>
      </c>
      <c r="H1469" t="s">
        <v>28</v>
      </c>
      <c r="I1469" t="s">
        <v>141</v>
      </c>
      <c r="J1469" t="s">
        <v>23</v>
      </c>
      <c r="K1469" t="s">
        <v>24</v>
      </c>
      <c r="L1469">
        <v>4</v>
      </c>
      <c r="M1469">
        <v>17120</v>
      </c>
      <c r="N1469">
        <v>0.1</v>
      </c>
      <c r="O1469">
        <v>11740</v>
      </c>
    </row>
    <row r="1470" spans="1:15" x14ac:dyDescent="0.25">
      <c r="A1470" t="s">
        <v>1619</v>
      </c>
      <c r="B1470">
        <v>46005</v>
      </c>
      <c r="C1470" t="s">
        <v>76</v>
      </c>
      <c r="D1470" t="s">
        <v>150</v>
      </c>
      <c r="E1470" t="s">
        <v>78</v>
      </c>
      <c r="F1470" t="s">
        <v>45</v>
      </c>
      <c r="G1470" t="s">
        <v>46</v>
      </c>
      <c r="H1470" t="s">
        <v>179</v>
      </c>
      <c r="I1470" t="s">
        <v>180</v>
      </c>
      <c r="J1470" t="s">
        <v>23</v>
      </c>
      <c r="K1470" t="s">
        <v>24</v>
      </c>
      <c r="L1470">
        <v>8</v>
      </c>
      <c r="M1470">
        <v>3950</v>
      </c>
      <c r="N1470">
        <v>0.08</v>
      </c>
      <c r="O1470">
        <v>2640</v>
      </c>
    </row>
    <row r="1471" spans="1:15" x14ac:dyDescent="0.25">
      <c r="A1471" t="s">
        <v>1620</v>
      </c>
      <c r="B1471">
        <v>46006</v>
      </c>
      <c r="C1471" t="s">
        <v>16</v>
      </c>
      <c r="D1471" t="s">
        <v>31</v>
      </c>
      <c r="E1471" t="s">
        <v>26</v>
      </c>
      <c r="F1471" t="s">
        <v>52</v>
      </c>
      <c r="G1471" t="s">
        <v>59</v>
      </c>
      <c r="H1471" t="s">
        <v>69</v>
      </c>
      <c r="I1471" t="s">
        <v>121</v>
      </c>
      <c r="J1471" t="s">
        <v>40</v>
      </c>
      <c r="K1471" t="s">
        <v>94</v>
      </c>
      <c r="L1471">
        <v>9</v>
      </c>
      <c r="M1471">
        <v>3750</v>
      </c>
      <c r="N1471">
        <v>0.15</v>
      </c>
      <c r="O1471">
        <v>2480</v>
      </c>
    </row>
    <row r="1472" spans="1:15" x14ac:dyDescent="0.25">
      <c r="A1472" t="s">
        <v>1621</v>
      </c>
      <c r="B1472">
        <v>46006</v>
      </c>
      <c r="C1472" t="s">
        <v>16</v>
      </c>
      <c r="D1472" t="s">
        <v>153</v>
      </c>
      <c r="E1472" t="s">
        <v>32</v>
      </c>
      <c r="F1472" t="s">
        <v>19</v>
      </c>
      <c r="G1472" t="s">
        <v>59</v>
      </c>
      <c r="H1472" t="s">
        <v>73</v>
      </c>
      <c r="I1472" t="s">
        <v>74</v>
      </c>
      <c r="J1472" t="s">
        <v>23</v>
      </c>
      <c r="K1472" t="s">
        <v>24</v>
      </c>
      <c r="L1472">
        <v>3</v>
      </c>
      <c r="M1472">
        <v>47200</v>
      </c>
      <c r="N1472">
        <v>0</v>
      </c>
      <c r="O1472">
        <v>32350</v>
      </c>
    </row>
    <row r="1473" spans="1:15" x14ac:dyDescent="0.25">
      <c r="A1473" t="s">
        <v>1622</v>
      </c>
      <c r="B1473">
        <v>46007</v>
      </c>
      <c r="C1473" t="s">
        <v>42</v>
      </c>
      <c r="D1473" t="s">
        <v>123</v>
      </c>
      <c r="E1473" t="s">
        <v>64</v>
      </c>
      <c r="F1473" t="s">
        <v>92</v>
      </c>
      <c r="G1473" t="s">
        <v>59</v>
      </c>
      <c r="H1473" t="s">
        <v>73</v>
      </c>
      <c r="I1473" t="s">
        <v>113</v>
      </c>
      <c r="J1473" t="s">
        <v>49</v>
      </c>
      <c r="K1473" t="s">
        <v>24</v>
      </c>
      <c r="L1473">
        <v>6</v>
      </c>
      <c r="M1473">
        <v>33120</v>
      </c>
      <c r="N1473">
        <v>0.05</v>
      </c>
      <c r="O1473">
        <v>18910</v>
      </c>
    </row>
    <row r="1474" spans="1:15" x14ac:dyDescent="0.25">
      <c r="A1474" t="s">
        <v>1623</v>
      </c>
      <c r="B1474">
        <v>46008</v>
      </c>
      <c r="C1474" t="s">
        <v>42</v>
      </c>
      <c r="D1474" t="s">
        <v>265</v>
      </c>
      <c r="E1474" t="s">
        <v>97</v>
      </c>
      <c r="F1474" t="s">
        <v>19</v>
      </c>
      <c r="G1474" t="s">
        <v>27</v>
      </c>
      <c r="H1474" t="s">
        <v>79</v>
      </c>
      <c r="I1474" t="s">
        <v>262</v>
      </c>
      <c r="J1474" t="s">
        <v>23</v>
      </c>
      <c r="K1474" t="s">
        <v>24</v>
      </c>
      <c r="L1474">
        <v>35</v>
      </c>
      <c r="M1474">
        <v>2600</v>
      </c>
      <c r="N1474">
        <v>0.25</v>
      </c>
      <c r="O1474">
        <v>1530</v>
      </c>
    </row>
    <row r="1475" spans="1:15" x14ac:dyDescent="0.25">
      <c r="A1475" t="s">
        <v>1624</v>
      </c>
      <c r="B1475">
        <v>46008</v>
      </c>
      <c r="C1475" t="s">
        <v>42</v>
      </c>
      <c r="D1475" t="s">
        <v>123</v>
      </c>
      <c r="E1475" t="s">
        <v>97</v>
      </c>
      <c r="F1475" t="s">
        <v>92</v>
      </c>
      <c r="G1475" t="s">
        <v>27</v>
      </c>
      <c r="H1475" t="s">
        <v>53</v>
      </c>
      <c r="I1475" t="s">
        <v>54</v>
      </c>
      <c r="J1475" t="s">
        <v>40</v>
      </c>
      <c r="K1475" t="s">
        <v>35</v>
      </c>
      <c r="L1475">
        <v>1</v>
      </c>
      <c r="M1475">
        <v>41730</v>
      </c>
      <c r="N1475">
        <v>0.15</v>
      </c>
      <c r="O1475">
        <v>31200</v>
      </c>
    </row>
    <row r="1476" spans="1:15" x14ac:dyDescent="0.25">
      <c r="A1476" t="s">
        <v>1625</v>
      </c>
      <c r="B1476">
        <v>46008</v>
      </c>
      <c r="C1476" t="s">
        <v>76</v>
      </c>
      <c r="D1476" t="s">
        <v>77</v>
      </c>
      <c r="E1476" t="s">
        <v>170</v>
      </c>
      <c r="F1476" t="s">
        <v>19</v>
      </c>
      <c r="G1476" t="s">
        <v>59</v>
      </c>
      <c r="H1476" t="s">
        <v>69</v>
      </c>
      <c r="I1476" t="s">
        <v>121</v>
      </c>
      <c r="J1476" t="s">
        <v>40</v>
      </c>
      <c r="K1476" t="s">
        <v>24</v>
      </c>
      <c r="L1476">
        <v>3</v>
      </c>
      <c r="M1476">
        <v>3420</v>
      </c>
      <c r="N1476">
        <v>0.1</v>
      </c>
      <c r="O1476">
        <v>2140</v>
      </c>
    </row>
    <row r="1477" spans="1:15" x14ac:dyDescent="0.25">
      <c r="A1477" t="s">
        <v>1626</v>
      </c>
      <c r="B1477">
        <v>46008</v>
      </c>
      <c r="C1477" t="s">
        <v>56</v>
      </c>
      <c r="D1477" t="s">
        <v>72</v>
      </c>
      <c r="E1477" t="s">
        <v>91</v>
      </c>
      <c r="F1477" t="s">
        <v>52</v>
      </c>
      <c r="G1477" t="s">
        <v>46</v>
      </c>
      <c r="H1477" t="s">
        <v>47</v>
      </c>
      <c r="I1477" t="s">
        <v>48</v>
      </c>
      <c r="J1477" t="s">
        <v>49</v>
      </c>
      <c r="K1477" t="s">
        <v>94</v>
      </c>
      <c r="L1477">
        <v>33</v>
      </c>
      <c r="M1477">
        <v>1920</v>
      </c>
      <c r="N1477">
        <v>0</v>
      </c>
      <c r="O1477">
        <v>1490</v>
      </c>
    </row>
    <row r="1478" spans="1:15" x14ac:dyDescent="0.25">
      <c r="A1478" t="s">
        <v>1627</v>
      </c>
      <c r="B1478">
        <v>46009</v>
      </c>
      <c r="C1478" t="s">
        <v>42</v>
      </c>
      <c r="D1478" t="s">
        <v>43</v>
      </c>
      <c r="E1478" t="s">
        <v>44</v>
      </c>
      <c r="F1478" t="s">
        <v>19</v>
      </c>
      <c r="G1478" t="s">
        <v>27</v>
      </c>
      <c r="H1478" t="s">
        <v>79</v>
      </c>
      <c r="I1478" t="s">
        <v>80</v>
      </c>
      <c r="J1478" t="s">
        <v>40</v>
      </c>
      <c r="K1478" t="s">
        <v>24</v>
      </c>
      <c r="L1478">
        <v>9</v>
      </c>
      <c r="M1478">
        <v>4410</v>
      </c>
      <c r="N1478">
        <v>0</v>
      </c>
      <c r="O1478">
        <v>3460</v>
      </c>
    </row>
    <row r="1479" spans="1:15" x14ac:dyDescent="0.25">
      <c r="A1479" t="s">
        <v>1628</v>
      </c>
      <c r="B1479">
        <v>46009</v>
      </c>
      <c r="C1479" t="s">
        <v>37</v>
      </c>
      <c r="D1479" t="s">
        <v>161</v>
      </c>
      <c r="E1479" t="s">
        <v>39</v>
      </c>
      <c r="F1479" t="s">
        <v>19</v>
      </c>
      <c r="G1479" t="s">
        <v>59</v>
      </c>
      <c r="H1479" t="s">
        <v>69</v>
      </c>
      <c r="I1479" t="s">
        <v>70</v>
      </c>
      <c r="J1479" t="s">
        <v>23</v>
      </c>
      <c r="K1479" t="s">
        <v>24</v>
      </c>
      <c r="L1479">
        <v>4</v>
      </c>
      <c r="M1479">
        <v>27490</v>
      </c>
      <c r="N1479">
        <v>0.1</v>
      </c>
      <c r="O1479">
        <v>21450</v>
      </c>
    </row>
    <row r="1480" spans="1:15" x14ac:dyDescent="0.25">
      <c r="A1480" t="s">
        <v>1629</v>
      </c>
      <c r="B1480">
        <v>46009</v>
      </c>
      <c r="C1480" t="s">
        <v>56</v>
      </c>
      <c r="D1480" t="s">
        <v>72</v>
      </c>
      <c r="E1480" t="s">
        <v>134</v>
      </c>
      <c r="F1480" t="s">
        <v>19</v>
      </c>
      <c r="G1480" t="s">
        <v>20</v>
      </c>
      <c r="H1480" t="s">
        <v>87</v>
      </c>
      <c r="I1480" t="s">
        <v>88</v>
      </c>
      <c r="J1480" t="s">
        <v>49</v>
      </c>
      <c r="K1480" t="s">
        <v>35</v>
      </c>
      <c r="L1480">
        <v>3</v>
      </c>
      <c r="M1480">
        <v>33740</v>
      </c>
      <c r="N1480">
        <v>0.12</v>
      </c>
      <c r="O1480">
        <v>25150</v>
      </c>
    </row>
    <row r="1481" spans="1:15" x14ac:dyDescent="0.25">
      <c r="A1481" t="s">
        <v>1630</v>
      </c>
      <c r="B1481">
        <v>46009</v>
      </c>
      <c r="C1481" t="s">
        <v>37</v>
      </c>
      <c r="D1481" t="s">
        <v>213</v>
      </c>
      <c r="E1481" t="s">
        <v>39</v>
      </c>
      <c r="F1481" t="s">
        <v>19</v>
      </c>
      <c r="G1481" t="s">
        <v>46</v>
      </c>
      <c r="H1481" t="s">
        <v>179</v>
      </c>
      <c r="I1481" t="s">
        <v>221</v>
      </c>
      <c r="J1481" t="s">
        <v>23</v>
      </c>
      <c r="K1481" t="s">
        <v>24</v>
      </c>
      <c r="L1481">
        <v>16</v>
      </c>
      <c r="M1481">
        <v>1580</v>
      </c>
      <c r="N1481">
        <v>0</v>
      </c>
      <c r="O1481">
        <v>1200</v>
      </c>
    </row>
    <row r="1482" spans="1:15" x14ac:dyDescent="0.25">
      <c r="A1482" t="s">
        <v>1631</v>
      </c>
      <c r="B1482">
        <v>46011</v>
      </c>
      <c r="C1482" t="s">
        <v>56</v>
      </c>
      <c r="D1482" t="s">
        <v>103</v>
      </c>
      <c r="E1482" t="s">
        <v>91</v>
      </c>
      <c r="F1482" t="s">
        <v>92</v>
      </c>
      <c r="G1482" t="s">
        <v>59</v>
      </c>
      <c r="H1482" t="s">
        <v>73</v>
      </c>
      <c r="I1482" t="s">
        <v>113</v>
      </c>
      <c r="J1482" t="s">
        <v>23</v>
      </c>
      <c r="K1482" t="s">
        <v>24</v>
      </c>
      <c r="L1482">
        <v>7</v>
      </c>
      <c r="M1482">
        <v>31450</v>
      </c>
      <c r="N1482">
        <v>0.15</v>
      </c>
      <c r="O1482">
        <v>23450</v>
      </c>
    </row>
    <row r="1483" spans="1:15" x14ac:dyDescent="0.25">
      <c r="A1483" t="s">
        <v>1632</v>
      </c>
      <c r="B1483">
        <v>46011</v>
      </c>
      <c r="C1483" t="s">
        <v>37</v>
      </c>
      <c r="D1483" t="s">
        <v>38</v>
      </c>
      <c r="E1483" t="s">
        <v>68</v>
      </c>
      <c r="F1483" t="s">
        <v>19</v>
      </c>
      <c r="G1483" t="s">
        <v>20</v>
      </c>
      <c r="H1483" t="s">
        <v>33</v>
      </c>
      <c r="I1483" t="s">
        <v>182</v>
      </c>
      <c r="J1483" t="s">
        <v>49</v>
      </c>
      <c r="K1483" t="s">
        <v>24</v>
      </c>
      <c r="L1483">
        <v>3</v>
      </c>
      <c r="M1483">
        <v>102410</v>
      </c>
      <c r="N1483">
        <v>0.15</v>
      </c>
      <c r="O1483">
        <v>70200</v>
      </c>
    </row>
    <row r="1484" spans="1:15" x14ac:dyDescent="0.25">
      <c r="A1484" t="s">
        <v>1633</v>
      </c>
      <c r="B1484">
        <v>46011</v>
      </c>
      <c r="C1484" t="s">
        <v>16</v>
      </c>
      <c r="D1484" t="s">
        <v>31</v>
      </c>
      <c r="E1484" t="s">
        <v>32</v>
      </c>
      <c r="F1484" t="s">
        <v>92</v>
      </c>
      <c r="G1484" t="s">
        <v>27</v>
      </c>
      <c r="H1484" t="s">
        <v>53</v>
      </c>
      <c r="I1484" t="s">
        <v>131</v>
      </c>
      <c r="J1484" t="s">
        <v>23</v>
      </c>
      <c r="K1484" t="s">
        <v>24</v>
      </c>
      <c r="L1484">
        <v>6</v>
      </c>
      <c r="M1484">
        <v>35740</v>
      </c>
      <c r="N1484">
        <v>0.05</v>
      </c>
      <c r="O1484">
        <v>20730</v>
      </c>
    </row>
    <row r="1485" spans="1:15" x14ac:dyDescent="0.25">
      <c r="A1485" t="s">
        <v>1634</v>
      </c>
      <c r="B1485">
        <v>46011</v>
      </c>
      <c r="C1485" t="s">
        <v>42</v>
      </c>
      <c r="D1485" t="s">
        <v>130</v>
      </c>
      <c r="E1485" t="s">
        <v>97</v>
      </c>
      <c r="F1485" t="s">
        <v>19</v>
      </c>
      <c r="G1485" t="s">
        <v>83</v>
      </c>
      <c r="H1485" t="s">
        <v>136</v>
      </c>
      <c r="I1485" t="s">
        <v>137</v>
      </c>
      <c r="J1485" t="s">
        <v>40</v>
      </c>
      <c r="K1485" t="s">
        <v>24</v>
      </c>
      <c r="L1485">
        <v>37</v>
      </c>
      <c r="M1485">
        <v>1650</v>
      </c>
      <c r="N1485">
        <v>0.05</v>
      </c>
      <c r="O1485">
        <v>960</v>
      </c>
    </row>
    <row r="1486" spans="1:15" x14ac:dyDescent="0.25">
      <c r="A1486" t="s">
        <v>1635</v>
      </c>
      <c r="B1486">
        <v>46012</v>
      </c>
      <c r="C1486" t="s">
        <v>56</v>
      </c>
      <c r="D1486" t="s">
        <v>133</v>
      </c>
      <c r="E1486" t="s">
        <v>58</v>
      </c>
      <c r="F1486" t="s">
        <v>19</v>
      </c>
      <c r="G1486" t="s">
        <v>46</v>
      </c>
      <c r="H1486" t="s">
        <v>179</v>
      </c>
      <c r="I1486" t="s">
        <v>180</v>
      </c>
      <c r="J1486" t="s">
        <v>49</v>
      </c>
      <c r="K1486" t="s">
        <v>24</v>
      </c>
      <c r="L1486">
        <v>8</v>
      </c>
      <c r="M1486">
        <v>4080</v>
      </c>
      <c r="N1486">
        <v>0.18</v>
      </c>
      <c r="O1486">
        <v>3040</v>
      </c>
    </row>
    <row r="1487" spans="1:15" x14ac:dyDescent="0.25">
      <c r="A1487" t="s">
        <v>1636</v>
      </c>
      <c r="B1487">
        <v>46012</v>
      </c>
      <c r="C1487" t="s">
        <v>56</v>
      </c>
      <c r="D1487" t="s">
        <v>72</v>
      </c>
      <c r="E1487" t="s">
        <v>91</v>
      </c>
      <c r="F1487" t="s">
        <v>92</v>
      </c>
      <c r="G1487" t="s">
        <v>83</v>
      </c>
      <c r="H1487" t="s">
        <v>136</v>
      </c>
      <c r="I1487" t="s">
        <v>307</v>
      </c>
      <c r="J1487" t="s">
        <v>23</v>
      </c>
      <c r="K1487" t="s">
        <v>35</v>
      </c>
      <c r="L1487">
        <v>45</v>
      </c>
      <c r="M1487">
        <v>920</v>
      </c>
      <c r="N1487">
        <v>0.12</v>
      </c>
      <c r="O1487">
        <v>550</v>
      </c>
    </row>
    <row r="1488" spans="1:15" x14ac:dyDescent="0.25">
      <c r="A1488" t="s">
        <v>1637</v>
      </c>
      <c r="B1488">
        <v>46012</v>
      </c>
      <c r="C1488" t="s">
        <v>16</v>
      </c>
      <c r="D1488" t="s">
        <v>17</v>
      </c>
      <c r="E1488" t="s">
        <v>32</v>
      </c>
      <c r="F1488" t="s">
        <v>19</v>
      </c>
      <c r="G1488" t="s">
        <v>20</v>
      </c>
      <c r="H1488" t="s">
        <v>87</v>
      </c>
      <c r="I1488" t="s">
        <v>88</v>
      </c>
      <c r="J1488" t="s">
        <v>49</v>
      </c>
      <c r="K1488" t="s">
        <v>119</v>
      </c>
      <c r="L1488">
        <v>3</v>
      </c>
      <c r="M1488">
        <v>32100</v>
      </c>
      <c r="N1488">
        <v>0.05</v>
      </c>
      <c r="O1488">
        <v>20900</v>
      </c>
    </row>
    <row r="1489" spans="1:15" x14ac:dyDescent="0.25">
      <c r="A1489" t="s">
        <v>1638</v>
      </c>
      <c r="B1489">
        <v>46012</v>
      </c>
      <c r="C1489" t="s">
        <v>76</v>
      </c>
      <c r="D1489" t="s">
        <v>125</v>
      </c>
      <c r="E1489" t="s">
        <v>78</v>
      </c>
      <c r="F1489" t="s">
        <v>92</v>
      </c>
      <c r="G1489" t="s">
        <v>27</v>
      </c>
      <c r="H1489" t="s">
        <v>214</v>
      </c>
      <c r="I1489" t="s">
        <v>252</v>
      </c>
      <c r="J1489" t="s">
        <v>40</v>
      </c>
      <c r="K1489" t="s">
        <v>24</v>
      </c>
      <c r="L1489">
        <v>9</v>
      </c>
      <c r="M1489">
        <v>15030</v>
      </c>
      <c r="N1489">
        <v>0.1</v>
      </c>
      <c r="O1489">
        <v>9950</v>
      </c>
    </row>
    <row r="1490" spans="1:15" x14ac:dyDescent="0.25">
      <c r="A1490" t="s">
        <v>1639</v>
      </c>
      <c r="B1490">
        <v>46013</v>
      </c>
      <c r="C1490" t="s">
        <v>37</v>
      </c>
      <c r="D1490" t="s">
        <v>166</v>
      </c>
      <c r="E1490" t="s">
        <v>68</v>
      </c>
      <c r="F1490" t="s">
        <v>92</v>
      </c>
      <c r="G1490" t="s">
        <v>46</v>
      </c>
      <c r="H1490" t="s">
        <v>179</v>
      </c>
      <c r="I1490" t="s">
        <v>180</v>
      </c>
      <c r="J1490" t="s">
        <v>23</v>
      </c>
      <c r="K1490" t="s">
        <v>24</v>
      </c>
      <c r="L1490">
        <v>5</v>
      </c>
      <c r="M1490">
        <v>3620</v>
      </c>
      <c r="N1490">
        <v>0</v>
      </c>
      <c r="O1490">
        <v>2480</v>
      </c>
    </row>
    <row r="1491" spans="1:15" x14ac:dyDescent="0.25">
      <c r="A1491" t="s">
        <v>1640</v>
      </c>
      <c r="B1491">
        <v>46014</v>
      </c>
      <c r="C1491" t="s">
        <v>37</v>
      </c>
      <c r="D1491" t="s">
        <v>166</v>
      </c>
      <c r="E1491" t="s">
        <v>39</v>
      </c>
      <c r="F1491" t="s">
        <v>19</v>
      </c>
      <c r="G1491" t="s">
        <v>59</v>
      </c>
      <c r="H1491" t="s">
        <v>69</v>
      </c>
      <c r="I1491" t="s">
        <v>70</v>
      </c>
      <c r="J1491" t="s">
        <v>40</v>
      </c>
      <c r="K1491" t="s">
        <v>119</v>
      </c>
      <c r="L1491">
        <v>3</v>
      </c>
      <c r="M1491">
        <v>28570</v>
      </c>
      <c r="N1491">
        <v>0.1</v>
      </c>
      <c r="O1491">
        <v>21100</v>
      </c>
    </row>
    <row r="1492" spans="1:15" x14ac:dyDescent="0.25">
      <c r="A1492" t="s">
        <v>1641</v>
      </c>
      <c r="B1492">
        <v>46014</v>
      </c>
      <c r="C1492" t="s">
        <v>37</v>
      </c>
      <c r="D1492" t="s">
        <v>213</v>
      </c>
      <c r="E1492" t="s">
        <v>39</v>
      </c>
      <c r="F1492" t="s">
        <v>45</v>
      </c>
      <c r="G1492" t="s">
        <v>20</v>
      </c>
      <c r="H1492" t="s">
        <v>33</v>
      </c>
      <c r="I1492" t="s">
        <v>139</v>
      </c>
      <c r="J1492" t="s">
        <v>23</v>
      </c>
      <c r="K1492" t="s">
        <v>24</v>
      </c>
      <c r="L1492">
        <v>7</v>
      </c>
      <c r="M1492">
        <v>63640</v>
      </c>
      <c r="N1492">
        <v>0.08</v>
      </c>
      <c r="O1492">
        <v>46400</v>
      </c>
    </row>
    <row r="1493" spans="1:15" x14ac:dyDescent="0.25">
      <c r="A1493" t="s">
        <v>1642</v>
      </c>
      <c r="B1493">
        <v>46014</v>
      </c>
      <c r="C1493" t="s">
        <v>37</v>
      </c>
      <c r="D1493" t="s">
        <v>166</v>
      </c>
      <c r="E1493" t="s">
        <v>39</v>
      </c>
      <c r="F1493" t="s">
        <v>92</v>
      </c>
      <c r="G1493" t="s">
        <v>83</v>
      </c>
      <c r="H1493" t="s">
        <v>184</v>
      </c>
      <c r="I1493" t="s">
        <v>196</v>
      </c>
      <c r="J1493" t="s">
        <v>23</v>
      </c>
      <c r="K1493" t="s">
        <v>24</v>
      </c>
      <c r="L1493">
        <v>5</v>
      </c>
      <c r="M1493">
        <v>3340</v>
      </c>
      <c r="N1493">
        <v>0.2</v>
      </c>
      <c r="O1493">
        <v>2610</v>
      </c>
    </row>
    <row r="1494" spans="1:15" x14ac:dyDescent="0.25">
      <c r="A1494" t="s">
        <v>1643</v>
      </c>
      <c r="B1494">
        <v>46014</v>
      </c>
      <c r="C1494" t="s">
        <v>56</v>
      </c>
      <c r="D1494" t="s">
        <v>133</v>
      </c>
      <c r="E1494" t="s">
        <v>134</v>
      </c>
      <c r="F1494" t="s">
        <v>92</v>
      </c>
      <c r="G1494" t="s">
        <v>27</v>
      </c>
      <c r="H1494" t="s">
        <v>53</v>
      </c>
      <c r="I1494" t="s">
        <v>131</v>
      </c>
      <c r="J1494" t="s">
        <v>23</v>
      </c>
      <c r="K1494" t="s">
        <v>24</v>
      </c>
      <c r="L1494">
        <v>2</v>
      </c>
      <c r="M1494">
        <v>36080</v>
      </c>
      <c r="N1494">
        <v>0</v>
      </c>
      <c r="O1494">
        <v>26620</v>
      </c>
    </row>
    <row r="1495" spans="1:15" x14ac:dyDescent="0.25">
      <c r="A1495" t="s">
        <v>1644</v>
      </c>
      <c r="B1495">
        <v>46014</v>
      </c>
      <c r="C1495" t="s">
        <v>76</v>
      </c>
      <c r="D1495" t="s">
        <v>125</v>
      </c>
      <c r="E1495" t="s">
        <v>1645</v>
      </c>
      <c r="F1495" t="s">
        <v>19</v>
      </c>
      <c r="G1495" t="s">
        <v>20</v>
      </c>
      <c r="H1495" t="s">
        <v>21</v>
      </c>
      <c r="I1495" t="s">
        <v>362</v>
      </c>
      <c r="J1495" t="s">
        <v>40</v>
      </c>
      <c r="K1495" t="s">
        <v>24</v>
      </c>
      <c r="L1495">
        <v>4</v>
      </c>
      <c r="M1495">
        <v>8960</v>
      </c>
      <c r="N1495">
        <v>0.18</v>
      </c>
      <c r="O1495">
        <v>6080</v>
      </c>
    </row>
    <row r="1496" spans="1:15" x14ac:dyDescent="0.25">
      <c r="A1496" t="s">
        <v>1646</v>
      </c>
      <c r="B1496">
        <v>46014</v>
      </c>
      <c r="C1496" t="s">
        <v>16</v>
      </c>
      <c r="D1496" t="s">
        <v>17</v>
      </c>
      <c r="E1496" t="s">
        <v>26</v>
      </c>
      <c r="F1496" t="s">
        <v>19</v>
      </c>
      <c r="G1496" t="s">
        <v>83</v>
      </c>
      <c r="H1496" t="s">
        <v>184</v>
      </c>
      <c r="I1496" t="s">
        <v>196</v>
      </c>
      <c r="J1496" t="s">
        <v>23</v>
      </c>
      <c r="K1496" t="s">
        <v>24</v>
      </c>
      <c r="L1496">
        <v>6</v>
      </c>
      <c r="M1496">
        <v>3260</v>
      </c>
      <c r="N1496">
        <v>0.08</v>
      </c>
      <c r="O1496">
        <v>2350</v>
      </c>
    </row>
    <row r="1497" spans="1:15" x14ac:dyDescent="0.25">
      <c r="A1497" t="s">
        <v>1647</v>
      </c>
      <c r="B1497">
        <v>46014</v>
      </c>
      <c r="C1497" t="s">
        <v>37</v>
      </c>
      <c r="D1497" t="s">
        <v>161</v>
      </c>
      <c r="E1497" t="s">
        <v>39</v>
      </c>
      <c r="F1497" t="s">
        <v>52</v>
      </c>
      <c r="G1497" t="s">
        <v>59</v>
      </c>
      <c r="H1497" t="s">
        <v>154</v>
      </c>
      <c r="I1497" t="s">
        <v>155</v>
      </c>
      <c r="J1497" t="s">
        <v>23</v>
      </c>
      <c r="K1497" t="s">
        <v>35</v>
      </c>
      <c r="L1497">
        <v>8</v>
      </c>
      <c r="M1497">
        <v>11830</v>
      </c>
      <c r="N1497">
        <v>0.12</v>
      </c>
      <c r="O1497">
        <v>9220</v>
      </c>
    </row>
    <row r="1498" spans="1:15" x14ac:dyDescent="0.25">
      <c r="A1498" t="s">
        <v>1648</v>
      </c>
      <c r="B1498">
        <v>46015</v>
      </c>
      <c r="C1498" t="s">
        <v>37</v>
      </c>
      <c r="D1498" t="s">
        <v>115</v>
      </c>
      <c r="E1498" t="s">
        <v>68</v>
      </c>
      <c r="F1498" t="s">
        <v>19</v>
      </c>
      <c r="G1498" t="s">
        <v>83</v>
      </c>
      <c r="H1498" t="s">
        <v>184</v>
      </c>
      <c r="I1498" t="s">
        <v>196</v>
      </c>
      <c r="J1498" t="s">
        <v>23</v>
      </c>
      <c r="K1498" t="s">
        <v>24</v>
      </c>
      <c r="L1498">
        <v>8</v>
      </c>
      <c r="M1498">
        <v>3310</v>
      </c>
      <c r="N1498">
        <v>0.15</v>
      </c>
      <c r="O1498">
        <v>2030</v>
      </c>
    </row>
    <row r="1499" spans="1:15" x14ac:dyDescent="0.25">
      <c r="A1499" t="s">
        <v>1649</v>
      </c>
      <c r="B1499">
        <v>46015</v>
      </c>
      <c r="C1499" t="s">
        <v>16</v>
      </c>
      <c r="D1499" t="s">
        <v>51</v>
      </c>
      <c r="E1499" t="s">
        <v>18</v>
      </c>
      <c r="F1499" t="s">
        <v>19</v>
      </c>
      <c r="G1499" t="s">
        <v>20</v>
      </c>
      <c r="H1499" t="s">
        <v>33</v>
      </c>
      <c r="I1499" t="s">
        <v>34</v>
      </c>
      <c r="J1499" t="s">
        <v>23</v>
      </c>
      <c r="K1499" t="s">
        <v>35</v>
      </c>
      <c r="L1499">
        <v>2</v>
      </c>
      <c r="M1499">
        <v>55880</v>
      </c>
      <c r="N1499">
        <v>0.15</v>
      </c>
      <c r="O1499">
        <v>34570</v>
      </c>
    </row>
    <row r="1500" spans="1:15" x14ac:dyDescent="0.25">
      <c r="A1500" t="s">
        <v>1650</v>
      </c>
      <c r="B1500">
        <v>46016</v>
      </c>
      <c r="C1500" t="s">
        <v>37</v>
      </c>
      <c r="D1500" t="s">
        <v>38</v>
      </c>
      <c r="E1500" t="s">
        <v>68</v>
      </c>
      <c r="F1500" t="s">
        <v>92</v>
      </c>
      <c r="G1500" t="s">
        <v>20</v>
      </c>
      <c r="H1500" t="s">
        <v>33</v>
      </c>
      <c r="I1500" t="s">
        <v>34</v>
      </c>
      <c r="J1500" t="s">
        <v>40</v>
      </c>
      <c r="K1500" t="s">
        <v>24</v>
      </c>
      <c r="L1500">
        <v>5</v>
      </c>
      <c r="M1500">
        <v>56820</v>
      </c>
      <c r="N1500">
        <v>0.1</v>
      </c>
      <c r="O1500">
        <v>40360</v>
      </c>
    </row>
    <row r="1501" spans="1:15" x14ac:dyDescent="0.25">
      <c r="A1501" t="s">
        <v>1651</v>
      </c>
      <c r="B1501">
        <v>46016</v>
      </c>
      <c r="C1501" t="s">
        <v>76</v>
      </c>
      <c r="D1501" t="s">
        <v>77</v>
      </c>
      <c r="E1501" t="s">
        <v>78</v>
      </c>
      <c r="F1501" t="s">
        <v>19</v>
      </c>
      <c r="G1501" t="s">
        <v>27</v>
      </c>
      <c r="H1501" t="s">
        <v>28</v>
      </c>
      <c r="I1501" t="s">
        <v>141</v>
      </c>
      <c r="J1501" t="s">
        <v>23</v>
      </c>
      <c r="K1501" t="s">
        <v>94</v>
      </c>
      <c r="L1501">
        <v>1</v>
      </c>
      <c r="M1501">
        <v>16940</v>
      </c>
      <c r="N1501">
        <v>0.05</v>
      </c>
      <c r="O1501">
        <v>11380</v>
      </c>
    </row>
    <row r="1502" spans="1:15" x14ac:dyDescent="0.25">
      <c r="A1502" t="s">
        <v>1652</v>
      </c>
      <c r="B1502">
        <v>46016</v>
      </c>
      <c r="C1502" t="s">
        <v>56</v>
      </c>
      <c r="D1502" t="s">
        <v>143</v>
      </c>
      <c r="E1502" t="s">
        <v>91</v>
      </c>
      <c r="F1502" t="s">
        <v>19</v>
      </c>
      <c r="G1502" t="s">
        <v>27</v>
      </c>
      <c r="H1502" t="s">
        <v>79</v>
      </c>
      <c r="I1502" t="s">
        <v>80</v>
      </c>
      <c r="J1502" t="s">
        <v>49</v>
      </c>
      <c r="K1502" t="s">
        <v>35</v>
      </c>
      <c r="L1502">
        <v>8</v>
      </c>
      <c r="M1502">
        <v>4820</v>
      </c>
      <c r="N1502">
        <v>0.1</v>
      </c>
      <c r="O1502">
        <v>3240</v>
      </c>
    </row>
    <row r="1503" spans="1:15" x14ac:dyDescent="0.25">
      <c r="A1503" t="s">
        <v>1653</v>
      </c>
      <c r="B1503">
        <v>46017</v>
      </c>
      <c r="C1503" t="s">
        <v>16</v>
      </c>
      <c r="D1503" t="s">
        <v>51</v>
      </c>
      <c r="E1503" t="s">
        <v>32</v>
      </c>
      <c r="F1503" t="s">
        <v>92</v>
      </c>
      <c r="G1503" t="s">
        <v>83</v>
      </c>
      <c r="H1503" t="s">
        <v>184</v>
      </c>
      <c r="I1503" t="s">
        <v>185</v>
      </c>
      <c r="J1503" t="s">
        <v>49</v>
      </c>
      <c r="K1503" t="s">
        <v>24</v>
      </c>
      <c r="L1503">
        <v>26</v>
      </c>
      <c r="M1503">
        <v>4280</v>
      </c>
      <c r="N1503">
        <v>0.1</v>
      </c>
      <c r="O1503">
        <v>3100</v>
      </c>
    </row>
    <row r="1504" spans="1:15" x14ac:dyDescent="0.25">
      <c r="A1504" t="s">
        <v>1654</v>
      </c>
      <c r="B1504">
        <v>46017</v>
      </c>
      <c r="C1504" t="s">
        <v>37</v>
      </c>
      <c r="D1504" t="s">
        <v>115</v>
      </c>
      <c r="E1504" t="s">
        <v>39</v>
      </c>
      <c r="F1504" t="s">
        <v>19</v>
      </c>
      <c r="G1504" t="s">
        <v>27</v>
      </c>
      <c r="H1504" t="s">
        <v>28</v>
      </c>
      <c r="I1504" t="s">
        <v>141</v>
      </c>
      <c r="J1504" t="s">
        <v>49</v>
      </c>
      <c r="K1504" t="s">
        <v>24</v>
      </c>
      <c r="L1504">
        <v>3</v>
      </c>
      <c r="M1504">
        <v>17130</v>
      </c>
      <c r="N1504">
        <v>0.1</v>
      </c>
      <c r="O1504">
        <v>13510</v>
      </c>
    </row>
    <row r="1505" spans="1:15" x14ac:dyDescent="0.25">
      <c r="A1505" t="s">
        <v>1655</v>
      </c>
      <c r="B1505">
        <v>46017</v>
      </c>
      <c r="C1505" t="s">
        <v>42</v>
      </c>
      <c r="D1505" t="s">
        <v>123</v>
      </c>
      <c r="E1505" t="s">
        <v>97</v>
      </c>
      <c r="F1505" t="s">
        <v>92</v>
      </c>
      <c r="G1505" t="s">
        <v>27</v>
      </c>
      <c r="H1505" t="s">
        <v>28</v>
      </c>
      <c r="I1505" t="s">
        <v>29</v>
      </c>
      <c r="J1505" t="s">
        <v>40</v>
      </c>
      <c r="K1505" t="s">
        <v>119</v>
      </c>
      <c r="L1505">
        <v>3</v>
      </c>
      <c r="M1505">
        <v>29220</v>
      </c>
      <c r="N1505">
        <v>0</v>
      </c>
      <c r="O1505">
        <v>20190</v>
      </c>
    </row>
    <row r="1506" spans="1:15" x14ac:dyDescent="0.25">
      <c r="A1506" t="s">
        <v>1656</v>
      </c>
      <c r="B1506">
        <v>46017</v>
      </c>
      <c r="C1506" t="s">
        <v>76</v>
      </c>
      <c r="D1506" t="s">
        <v>125</v>
      </c>
      <c r="E1506" t="s">
        <v>170</v>
      </c>
      <c r="F1506" t="s">
        <v>52</v>
      </c>
      <c r="G1506" t="s">
        <v>20</v>
      </c>
      <c r="H1506" t="s">
        <v>33</v>
      </c>
      <c r="I1506" t="s">
        <v>34</v>
      </c>
      <c r="J1506" t="s">
        <v>23</v>
      </c>
      <c r="K1506" t="s">
        <v>24</v>
      </c>
      <c r="L1506">
        <v>1</v>
      </c>
      <c r="M1506">
        <v>54610</v>
      </c>
      <c r="N1506">
        <v>0.12</v>
      </c>
      <c r="O1506">
        <v>35930</v>
      </c>
    </row>
    <row r="1507" spans="1:15" x14ac:dyDescent="0.25">
      <c r="A1507" t="s">
        <v>1657</v>
      </c>
      <c r="B1507">
        <v>46018</v>
      </c>
      <c r="C1507" t="s">
        <v>37</v>
      </c>
      <c r="D1507" t="s">
        <v>161</v>
      </c>
      <c r="E1507" t="s">
        <v>39</v>
      </c>
      <c r="F1507" t="s">
        <v>19</v>
      </c>
      <c r="G1507" t="s">
        <v>59</v>
      </c>
      <c r="H1507" t="s">
        <v>73</v>
      </c>
      <c r="I1507" t="s">
        <v>74</v>
      </c>
      <c r="J1507" t="s">
        <v>40</v>
      </c>
      <c r="K1507" t="s">
        <v>24</v>
      </c>
      <c r="L1507">
        <v>4</v>
      </c>
      <c r="M1507">
        <v>44060</v>
      </c>
      <c r="N1507">
        <v>0.1</v>
      </c>
      <c r="O1507">
        <v>33020</v>
      </c>
    </row>
    <row r="1508" spans="1:15" x14ac:dyDescent="0.25">
      <c r="A1508" t="s">
        <v>1658</v>
      </c>
      <c r="B1508">
        <v>46019</v>
      </c>
      <c r="C1508" t="s">
        <v>16</v>
      </c>
      <c r="D1508" t="s">
        <v>82</v>
      </c>
      <c r="E1508" t="s">
        <v>26</v>
      </c>
      <c r="F1508" t="s">
        <v>19</v>
      </c>
      <c r="G1508" t="s">
        <v>59</v>
      </c>
      <c r="H1508" t="s">
        <v>69</v>
      </c>
      <c r="I1508" t="s">
        <v>121</v>
      </c>
      <c r="J1508" t="s">
        <v>40</v>
      </c>
      <c r="K1508" t="s">
        <v>24</v>
      </c>
      <c r="L1508">
        <v>4</v>
      </c>
      <c r="M1508">
        <v>3440</v>
      </c>
      <c r="N1508">
        <v>0.18</v>
      </c>
      <c r="O1508">
        <v>2660</v>
      </c>
    </row>
    <row r="1509" spans="1:15" x14ac:dyDescent="0.25">
      <c r="A1509" t="s">
        <v>1659</v>
      </c>
      <c r="B1509">
        <v>46019</v>
      </c>
      <c r="C1509" t="s">
        <v>56</v>
      </c>
      <c r="D1509" t="s">
        <v>72</v>
      </c>
      <c r="E1509" t="s">
        <v>134</v>
      </c>
      <c r="F1509" t="s">
        <v>52</v>
      </c>
      <c r="G1509" t="s">
        <v>46</v>
      </c>
      <c r="H1509" t="s">
        <v>47</v>
      </c>
      <c r="I1509" t="s">
        <v>93</v>
      </c>
      <c r="J1509" t="s">
        <v>49</v>
      </c>
      <c r="K1509" t="s">
        <v>24</v>
      </c>
      <c r="L1509">
        <v>35</v>
      </c>
      <c r="M1509">
        <v>1180</v>
      </c>
      <c r="N1509">
        <v>0.18</v>
      </c>
      <c r="O1509">
        <v>750</v>
      </c>
    </row>
    <row r="1510" spans="1:15" x14ac:dyDescent="0.25">
      <c r="A1510" t="s">
        <v>1660</v>
      </c>
      <c r="B1510">
        <v>46019</v>
      </c>
      <c r="C1510" t="s">
        <v>16</v>
      </c>
      <c r="D1510" t="s">
        <v>191</v>
      </c>
      <c r="E1510" t="s">
        <v>18</v>
      </c>
      <c r="F1510" t="s">
        <v>52</v>
      </c>
      <c r="G1510" t="s">
        <v>20</v>
      </c>
      <c r="H1510" t="s">
        <v>21</v>
      </c>
      <c r="I1510" t="s">
        <v>65</v>
      </c>
      <c r="J1510" t="s">
        <v>40</v>
      </c>
      <c r="K1510" t="s">
        <v>24</v>
      </c>
      <c r="L1510">
        <v>5</v>
      </c>
      <c r="M1510">
        <v>8660</v>
      </c>
      <c r="N1510">
        <v>0.12</v>
      </c>
      <c r="O1510">
        <v>5940</v>
      </c>
    </row>
    <row r="1511" spans="1:15" x14ac:dyDescent="0.25">
      <c r="A1511" t="s">
        <v>1661</v>
      </c>
      <c r="B1511">
        <v>46020</v>
      </c>
      <c r="C1511" t="s">
        <v>42</v>
      </c>
      <c r="D1511" t="s">
        <v>43</v>
      </c>
      <c r="E1511" t="s">
        <v>97</v>
      </c>
      <c r="F1511" t="s">
        <v>19</v>
      </c>
      <c r="G1511" t="s">
        <v>59</v>
      </c>
      <c r="H1511" t="s">
        <v>73</v>
      </c>
      <c r="I1511" t="s">
        <v>113</v>
      </c>
      <c r="J1511" t="s">
        <v>23</v>
      </c>
      <c r="K1511" t="s">
        <v>24</v>
      </c>
      <c r="L1511">
        <v>4</v>
      </c>
      <c r="M1511">
        <v>34480</v>
      </c>
      <c r="N1511">
        <v>0.15</v>
      </c>
      <c r="O1511">
        <v>23320</v>
      </c>
    </row>
    <row r="1512" spans="1:15" x14ac:dyDescent="0.25">
      <c r="A1512" t="s">
        <v>1662</v>
      </c>
      <c r="B1512">
        <v>46020</v>
      </c>
      <c r="C1512" t="s">
        <v>42</v>
      </c>
      <c r="D1512" t="s">
        <v>43</v>
      </c>
      <c r="E1512" t="s">
        <v>44</v>
      </c>
      <c r="F1512" t="s">
        <v>19</v>
      </c>
      <c r="G1512" t="s">
        <v>20</v>
      </c>
      <c r="H1512" t="s">
        <v>109</v>
      </c>
      <c r="I1512" t="s">
        <v>110</v>
      </c>
      <c r="J1512" t="s">
        <v>49</v>
      </c>
      <c r="K1512" t="s">
        <v>24</v>
      </c>
      <c r="L1512">
        <v>1</v>
      </c>
      <c r="M1512">
        <v>69810</v>
      </c>
      <c r="N1512">
        <v>0.05</v>
      </c>
      <c r="O1512">
        <v>43300</v>
      </c>
    </row>
    <row r="1513" spans="1:15" x14ac:dyDescent="0.25">
      <c r="A1513" t="s">
        <v>1663</v>
      </c>
      <c r="B1513">
        <v>46021</v>
      </c>
      <c r="C1513" t="s">
        <v>42</v>
      </c>
      <c r="D1513" t="s">
        <v>123</v>
      </c>
      <c r="E1513" t="s">
        <v>1664</v>
      </c>
      <c r="F1513" t="s">
        <v>52</v>
      </c>
      <c r="G1513" t="s">
        <v>46</v>
      </c>
      <c r="H1513" t="s">
        <v>47</v>
      </c>
      <c r="I1513" t="s">
        <v>259</v>
      </c>
      <c r="J1513" t="s">
        <v>23</v>
      </c>
      <c r="K1513" t="s">
        <v>94</v>
      </c>
      <c r="L1513">
        <v>21</v>
      </c>
      <c r="M1513">
        <v>2780</v>
      </c>
      <c r="N1513">
        <v>0.2</v>
      </c>
      <c r="O1513">
        <v>2060</v>
      </c>
    </row>
    <row r="1514" spans="1:15" x14ac:dyDescent="0.25">
      <c r="A1514" t="s">
        <v>1665</v>
      </c>
      <c r="B1514">
        <v>46021</v>
      </c>
      <c r="C1514" t="s">
        <v>16</v>
      </c>
      <c r="D1514" t="s">
        <v>153</v>
      </c>
      <c r="E1514" t="s">
        <v>26</v>
      </c>
      <c r="F1514" t="s">
        <v>52</v>
      </c>
      <c r="G1514" t="s">
        <v>27</v>
      </c>
      <c r="H1514" t="s">
        <v>53</v>
      </c>
      <c r="I1514" t="s">
        <v>54</v>
      </c>
      <c r="J1514" t="s">
        <v>49</v>
      </c>
      <c r="K1514" t="s">
        <v>119</v>
      </c>
      <c r="L1514">
        <v>4</v>
      </c>
      <c r="M1514">
        <v>45050</v>
      </c>
      <c r="N1514">
        <v>0</v>
      </c>
      <c r="O1514">
        <v>33090</v>
      </c>
    </row>
    <row r="1515" spans="1:15" x14ac:dyDescent="0.25">
      <c r="A1515" t="s">
        <v>1666</v>
      </c>
      <c r="B1515">
        <v>46021</v>
      </c>
      <c r="C1515" t="s">
        <v>56</v>
      </c>
      <c r="D1515" t="s">
        <v>57</v>
      </c>
      <c r="E1515" t="s">
        <v>134</v>
      </c>
      <c r="F1515" t="s">
        <v>92</v>
      </c>
      <c r="G1515" t="s">
        <v>83</v>
      </c>
      <c r="H1515" t="s">
        <v>84</v>
      </c>
      <c r="I1515" t="s">
        <v>292</v>
      </c>
      <c r="J1515" t="s">
        <v>40</v>
      </c>
      <c r="K1515" t="s">
        <v>24</v>
      </c>
      <c r="L1515">
        <v>2</v>
      </c>
      <c r="M1515">
        <v>41330</v>
      </c>
      <c r="N1515">
        <v>0.05</v>
      </c>
      <c r="O1515">
        <v>24180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DEA1-7E00-49E9-B1A6-0DB1DBEED47B}">
  <dimension ref="A1:V1515"/>
  <sheetViews>
    <sheetView tabSelected="1" zoomScale="86" workbookViewId="0">
      <pane ySplit="1" topLeftCell="A104" activePane="bottomLeft" state="frozen"/>
      <selection pane="bottomLeft" activeCell="C13" sqref="C13"/>
    </sheetView>
  </sheetViews>
  <sheetFormatPr defaultRowHeight="15" x14ac:dyDescent="0.25"/>
  <cols>
    <col min="1" max="1" width="10.85546875" bestFit="1" customWidth="1"/>
    <col min="2" max="2" width="14.140625" bestFit="1" customWidth="1"/>
    <col min="3" max="3" width="10.5703125" bestFit="1" customWidth="1"/>
    <col min="4" max="4" width="15.140625" style="3" bestFit="1" customWidth="1"/>
    <col min="5" max="5" width="20.7109375" bestFit="1" customWidth="1"/>
    <col min="6" max="7" width="21" bestFit="1" customWidth="1"/>
    <col min="8" max="8" width="18.140625" bestFit="1" customWidth="1"/>
    <col min="9" max="9" width="27.5703125" bestFit="1" customWidth="1"/>
    <col min="10" max="10" width="10.85546875" bestFit="1" customWidth="1"/>
    <col min="11" max="11" width="14.5703125" bestFit="1" customWidth="1"/>
    <col min="12" max="12" width="12.42578125" bestFit="1" customWidth="1"/>
    <col min="13" max="13" width="12" bestFit="1" customWidth="1"/>
    <col min="14" max="14" width="13.42578125" bestFit="1" customWidth="1"/>
    <col min="15" max="15" width="12" bestFit="1" customWidth="1"/>
    <col min="16" max="16" width="11" bestFit="1" customWidth="1"/>
    <col min="17" max="17" width="18.42578125" bestFit="1" customWidth="1"/>
    <col min="18" max="18" width="11.140625" bestFit="1" customWidth="1"/>
    <col min="19" max="19" width="18.28515625" bestFit="1" customWidth="1"/>
    <col min="20" max="20" width="12.140625" bestFit="1" customWidth="1"/>
    <col min="21" max="21" width="13.140625" bestFit="1" customWidth="1"/>
    <col min="22" max="22" width="14.7109375" bestFit="1" customWidth="1"/>
  </cols>
  <sheetData>
    <row r="1" spans="1:22" x14ac:dyDescent="0.25">
      <c r="A1" t="s">
        <v>0</v>
      </c>
      <c r="B1" t="s">
        <v>1</v>
      </c>
      <c r="C1" t="s">
        <v>1685</v>
      </c>
      <c r="D1" s="3" t="s">
        <v>1686</v>
      </c>
      <c r="E1" t="s">
        <v>2</v>
      </c>
      <c r="F1" t="s">
        <v>3</v>
      </c>
      <c r="G1" t="s">
        <v>4</v>
      </c>
      <c r="H1" t="s">
        <v>1683</v>
      </c>
      <c r="I1" t="s">
        <v>5</v>
      </c>
      <c r="J1" t="s">
        <v>6</v>
      </c>
      <c r="K1" t="s">
        <v>7</v>
      </c>
      <c r="L1" t="s">
        <v>8</v>
      </c>
      <c r="M1" t="s">
        <v>9</v>
      </c>
      <c r="N1" t="s">
        <v>10</v>
      </c>
      <c r="O1" t="s">
        <v>11</v>
      </c>
      <c r="P1" s="1" t="s">
        <v>12</v>
      </c>
      <c r="Q1" s="2" t="s">
        <v>13</v>
      </c>
      <c r="R1" s="1" t="s">
        <v>14</v>
      </c>
      <c r="S1" s="1" t="s">
        <v>1684</v>
      </c>
      <c r="T1" s="1" t="s">
        <v>1687</v>
      </c>
      <c r="U1" s="1" t="s">
        <v>1688</v>
      </c>
      <c r="V1" t="s">
        <v>1689</v>
      </c>
    </row>
    <row r="2" spans="1:22" x14ac:dyDescent="0.25">
      <c r="A2" s="4" t="s">
        <v>15</v>
      </c>
      <c r="B2" s="5">
        <v>45292</v>
      </c>
      <c r="C2" s="4">
        <f>YEAR(Table1_1[[#This Row],[Order Dates]])</f>
        <v>2024</v>
      </c>
      <c r="D2" s="6">
        <f>MONTH(Table1_1[[#This Row],[Order Dates]])</f>
        <v>1</v>
      </c>
      <c r="E2" s="4" t="s">
        <v>16</v>
      </c>
      <c r="F2" s="4" t="s">
        <v>17</v>
      </c>
      <c r="G2" s="4" t="s">
        <v>18</v>
      </c>
      <c r="H2" s="4" t="str">
        <f>TRIM(CLEAN(SUBSTITUTE(Table1_1[[#This Row],[Salesperson]],"   "," ")))</f>
        <v>Imran Sheikh</v>
      </c>
      <c r="I2" s="4" t="s">
        <v>19</v>
      </c>
      <c r="J2" s="4" t="s">
        <v>20</v>
      </c>
      <c r="K2" s="4" t="s">
        <v>21</v>
      </c>
      <c r="L2" s="4" t="s">
        <v>1667</v>
      </c>
      <c r="M2" s="4" t="s">
        <v>23</v>
      </c>
      <c r="N2" s="4" t="s">
        <v>24</v>
      </c>
      <c r="O2" s="4">
        <v>13</v>
      </c>
      <c r="P2" s="7">
        <v>1930</v>
      </c>
      <c r="Q2" s="8">
        <v>0.1</v>
      </c>
      <c r="R2" s="7">
        <v>1120</v>
      </c>
      <c r="S2" s="7">
        <f>Table1_1[[#This Row],[Units Sold]]*Table1_1[[#This Row],[Unit Price]]*(1-Table1_1[[#This Row],[Discount %]])</f>
        <v>22581</v>
      </c>
      <c r="T2" s="7">
        <f>Table1_1[[#This Row],[Units Sold]]*Table1_1[[#This Row],[Unit Cost]]</f>
        <v>14560</v>
      </c>
      <c r="U2" s="7">
        <f>Table1_1[[#This Row],[Calculated sales]]-Table1_1[[#This Row],[Total cost]]</f>
        <v>8021</v>
      </c>
      <c r="V2" s="4">
        <f>IFERROR(Table1_1[[#This Row],[Profit/Loss]]/Table1_1[[#This Row],[Calculated sales]],0)</f>
        <v>0.35521013241220495</v>
      </c>
    </row>
    <row r="3" spans="1:22" x14ac:dyDescent="0.25">
      <c r="A3" s="4" t="s">
        <v>25</v>
      </c>
      <c r="B3" s="5">
        <v>45292</v>
      </c>
      <c r="C3" s="4">
        <f>YEAR(Table1_1[[#This Row],[Order Dates]])</f>
        <v>2024</v>
      </c>
      <c r="D3" s="6">
        <f>MONTH(Table1_1[[#This Row],[Order Dates]])</f>
        <v>1</v>
      </c>
      <c r="E3" s="4" t="s">
        <v>16</v>
      </c>
      <c r="F3" s="4" t="s">
        <v>17</v>
      </c>
      <c r="G3" s="4" t="s">
        <v>26</v>
      </c>
      <c r="H3" s="4" t="str">
        <f>TRIM(CLEAN(SUBSTITUTE(Table1_1[[#This Row],[Salesperson]],"   "," ")))</f>
        <v>Prateek Shah</v>
      </c>
      <c r="I3" s="4" t="s">
        <v>19</v>
      </c>
      <c r="J3" s="4" t="s">
        <v>27</v>
      </c>
      <c r="K3" s="4" t="s">
        <v>28</v>
      </c>
      <c r="L3" s="4" t="s">
        <v>1668</v>
      </c>
      <c r="M3" s="4" t="s">
        <v>23</v>
      </c>
      <c r="N3" s="4" t="s">
        <v>24</v>
      </c>
      <c r="O3" s="4">
        <v>7</v>
      </c>
      <c r="P3" s="7">
        <v>29010</v>
      </c>
      <c r="Q3" s="8">
        <v>0.12</v>
      </c>
      <c r="R3" s="7">
        <v>19150</v>
      </c>
      <c r="S3" s="7">
        <f>Table1_1[[#This Row],[Units Sold]]*Table1_1[[#This Row],[Unit Price]]*(1-Table1_1[[#This Row],[Discount %]])</f>
        <v>178701.6</v>
      </c>
      <c r="T3" s="7">
        <f>Table1_1[[#This Row],[Units Sold]]*Table1_1[[#This Row],[Unit Cost]]</f>
        <v>134050</v>
      </c>
      <c r="U3" s="7">
        <f>Table1_1[[#This Row],[Calculated sales]]-Table1_1[[#This Row],[Total cost]]</f>
        <v>44651.600000000006</v>
      </c>
      <c r="V3" s="4">
        <f>IFERROR(Table1_1[[#This Row],[Profit/Loss]]/Table1_1[[#This Row],[Calculated sales]],0)</f>
        <v>0.24986681708501773</v>
      </c>
    </row>
    <row r="4" spans="1:22" x14ac:dyDescent="0.25">
      <c r="A4" s="4" t="s">
        <v>30</v>
      </c>
      <c r="B4" s="5">
        <v>45292</v>
      </c>
      <c r="C4" s="4">
        <f>YEAR(Table1_1[[#This Row],[Order Dates]])</f>
        <v>2024</v>
      </c>
      <c r="D4" s="6">
        <f>MONTH(Table1_1[[#This Row],[Order Dates]])</f>
        <v>1</v>
      </c>
      <c r="E4" s="4" t="s">
        <v>16</v>
      </c>
      <c r="F4" s="4" t="s">
        <v>31</v>
      </c>
      <c r="G4" s="4" t="s">
        <v>32</v>
      </c>
      <c r="H4" s="4" t="str">
        <f>TRIM(CLEAN(SUBSTITUTE(Table1_1[[#This Row],[Salesperson]],"   "," ")))</f>
        <v>Neha Deshpande</v>
      </c>
      <c r="I4" s="4" t="s">
        <v>19</v>
      </c>
      <c r="J4" s="4" t="s">
        <v>20</v>
      </c>
      <c r="K4" s="4" t="s">
        <v>33</v>
      </c>
      <c r="L4" s="4" t="s">
        <v>34</v>
      </c>
      <c r="M4" s="4" t="s">
        <v>23</v>
      </c>
      <c r="N4" s="4" t="s">
        <v>35</v>
      </c>
      <c r="O4" s="4">
        <v>3</v>
      </c>
      <c r="P4" s="7">
        <v>55230</v>
      </c>
      <c r="Q4" s="8">
        <v>0.1</v>
      </c>
      <c r="R4" s="7">
        <v>33180</v>
      </c>
      <c r="S4" s="7">
        <f>Table1_1[[#This Row],[Units Sold]]*Table1_1[[#This Row],[Unit Price]]*(1-Table1_1[[#This Row],[Discount %]])</f>
        <v>149121</v>
      </c>
      <c r="T4" s="7">
        <f>Table1_1[[#This Row],[Units Sold]]*Table1_1[[#This Row],[Unit Cost]]</f>
        <v>99540</v>
      </c>
      <c r="U4" s="7">
        <f>Table1_1[[#This Row],[Calculated sales]]-Table1_1[[#This Row],[Total cost]]</f>
        <v>49581</v>
      </c>
      <c r="V4" s="4">
        <f>IFERROR(Table1_1[[#This Row],[Profit/Loss]]/Table1_1[[#This Row],[Calculated sales]],0)</f>
        <v>0.3324883819180397</v>
      </c>
    </row>
    <row r="5" spans="1:22" x14ac:dyDescent="0.25">
      <c r="A5" s="4" t="s">
        <v>36</v>
      </c>
      <c r="B5" s="5">
        <v>45292</v>
      </c>
      <c r="C5" s="4">
        <f>YEAR(Table1_1[[#This Row],[Order Dates]])</f>
        <v>2024</v>
      </c>
      <c r="D5" s="6">
        <f>MONTH(Table1_1[[#This Row],[Order Dates]])</f>
        <v>1</v>
      </c>
      <c r="E5" s="4" t="s">
        <v>37</v>
      </c>
      <c r="F5" s="4" t="s">
        <v>38</v>
      </c>
      <c r="G5" s="4" t="s">
        <v>39</v>
      </c>
      <c r="H5" s="4" t="str">
        <f>TRIM(CLEAN(SUBSTITUTE(Table1_1[[#This Row],[Salesperson]],"   "," ")))</f>
        <v>Sourav Das</v>
      </c>
      <c r="I5" s="4" t="s">
        <v>19</v>
      </c>
      <c r="J5" s="4" t="s">
        <v>20</v>
      </c>
      <c r="K5" s="4" t="s">
        <v>21</v>
      </c>
      <c r="L5" s="4" t="s">
        <v>1667</v>
      </c>
      <c r="M5" s="4" t="s">
        <v>40</v>
      </c>
      <c r="N5" s="4" t="s">
        <v>24</v>
      </c>
      <c r="O5" s="4">
        <v>21</v>
      </c>
      <c r="P5" s="7">
        <v>1810</v>
      </c>
      <c r="Q5" s="8">
        <v>0.05</v>
      </c>
      <c r="R5" s="7">
        <v>1230</v>
      </c>
      <c r="S5" s="7">
        <f>Table1_1[[#This Row],[Units Sold]]*Table1_1[[#This Row],[Unit Price]]*(1-Table1_1[[#This Row],[Discount %]])</f>
        <v>36109.5</v>
      </c>
      <c r="T5" s="7">
        <f>Table1_1[[#This Row],[Units Sold]]*Table1_1[[#This Row],[Unit Cost]]</f>
        <v>25830</v>
      </c>
      <c r="U5" s="7">
        <f>Table1_1[[#This Row],[Calculated sales]]-Table1_1[[#This Row],[Total cost]]</f>
        <v>10279.5</v>
      </c>
      <c r="V5" s="4">
        <f>IFERROR(Table1_1[[#This Row],[Profit/Loss]]/Table1_1[[#This Row],[Calculated sales]],0)</f>
        <v>0.28467577784239606</v>
      </c>
    </row>
    <row r="6" spans="1:22" x14ac:dyDescent="0.25">
      <c r="A6" s="4" t="s">
        <v>41</v>
      </c>
      <c r="B6" s="5">
        <v>45293</v>
      </c>
      <c r="C6" s="4">
        <f>YEAR(Table1_1[[#This Row],[Order Dates]])</f>
        <v>2024</v>
      </c>
      <c r="D6" s="6">
        <f>MONTH(Table1_1[[#This Row],[Order Dates]])</f>
        <v>1</v>
      </c>
      <c r="E6" s="4" t="s">
        <v>42</v>
      </c>
      <c r="F6" s="4" t="s">
        <v>43</v>
      </c>
      <c r="G6" s="4" t="s">
        <v>44</v>
      </c>
      <c r="H6" s="4" t="str">
        <f>TRIM(CLEAN(SUBSTITUTE(Table1_1[[#This Row],[Salesperson]],"   "," ")))</f>
        <v>Simran Kaur</v>
      </c>
      <c r="I6" s="4" t="s">
        <v>45</v>
      </c>
      <c r="J6" s="4" t="s">
        <v>46</v>
      </c>
      <c r="K6" s="4" t="s">
        <v>47</v>
      </c>
      <c r="L6" s="4" t="s">
        <v>48</v>
      </c>
      <c r="M6" s="4" t="s">
        <v>49</v>
      </c>
      <c r="N6" s="4" t="s">
        <v>24</v>
      </c>
      <c r="O6" s="4">
        <v>10</v>
      </c>
      <c r="P6" s="7">
        <v>1840</v>
      </c>
      <c r="Q6" s="8">
        <v>0.12</v>
      </c>
      <c r="R6" s="7">
        <v>1030</v>
      </c>
      <c r="S6" s="7">
        <f>Table1_1[[#This Row],[Units Sold]]*Table1_1[[#This Row],[Unit Price]]*(1-Table1_1[[#This Row],[Discount %]])</f>
        <v>16192</v>
      </c>
      <c r="T6" s="7">
        <f>Table1_1[[#This Row],[Units Sold]]*Table1_1[[#This Row],[Unit Cost]]</f>
        <v>10300</v>
      </c>
      <c r="U6" s="7">
        <f>Table1_1[[#This Row],[Calculated sales]]-Table1_1[[#This Row],[Total cost]]</f>
        <v>5892</v>
      </c>
      <c r="V6" s="4">
        <f>IFERROR(Table1_1[[#This Row],[Profit/Loss]]/Table1_1[[#This Row],[Calculated sales]],0)</f>
        <v>0.36388339920948615</v>
      </c>
    </row>
    <row r="7" spans="1:22" x14ac:dyDescent="0.25">
      <c r="A7" s="4" t="s">
        <v>50</v>
      </c>
      <c r="B7" s="5">
        <v>45294</v>
      </c>
      <c r="C7" s="4">
        <f>YEAR(Table1_1[[#This Row],[Order Dates]])</f>
        <v>2024</v>
      </c>
      <c r="D7" s="6">
        <f>MONTH(Table1_1[[#This Row],[Order Dates]])</f>
        <v>1</v>
      </c>
      <c r="E7" s="4" t="s">
        <v>16</v>
      </c>
      <c r="F7" s="4" t="s">
        <v>51</v>
      </c>
      <c r="G7" s="4" t="s">
        <v>32</v>
      </c>
      <c r="H7" s="4" t="str">
        <f>TRIM(CLEAN(SUBSTITUTE(Table1_1[[#This Row],[Salesperson]],"   "," ")))</f>
        <v>Neha Deshpande</v>
      </c>
      <c r="I7" s="4" t="s">
        <v>52</v>
      </c>
      <c r="J7" s="4" t="s">
        <v>27</v>
      </c>
      <c r="K7" s="4" t="s">
        <v>53</v>
      </c>
      <c r="L7" s="4" t="s">
        <v>1669</v>
      </c>
      <c r="M7" s="4" t="s">
        <v>40</v>
      </c>
      <c r="N7" s="4" t="s">
        <v>24</v>
      </c>
      <c r="O7" s="4">
        <v>2</v>
      </c>
      <c r="P7" s="7">
        <v>44080</v>
      </c>
      <c r="Q7" s="8">
        <v>0.08</v>
      </c>
      <c r="R7" s="7">
        <v>31330</v>
      </c>
      <c r="S7" s="7">
        <f>Table1_1[[#This Row],[Units Sold]]*Table1_1[[#This Row],[Unit Price]]*(1-Table1_1[[#This Row],[Discount %]])</f>
        <v>81107.199999999997</v>
      </c>
      <c r="T7" s="7">
        <f>Table1_1[[#This Row],[Units Sold]]*Table1_1[[#This Row],[Unit Cost]]</f>
        <v>62660</v>
      </c>
      <c r="U7" s="7">
        <f>Table1_1[[#This Row],[Calculated sales]]-Table1_1[[#This Row],[Total cost]]</f>
        <v>18447.199999999997</v>
      </c>
      <c r="V7" s="4">
        <f>IFERROR(Table1_1[[#This Row],[Profit/Loss]]/Table1_1[[#This Row],[Calculated sales]],0)</f>
        <v>0.22744219995265522</v>
      </c>
    </row>
    <row r="8" spans="1:22" x14ac:dyDescent="0.25">
      <c r="A8" s="4" t="s">
        <v>55</v>
      </c>
      <c r="B8" s="5">
        <v>45294</v>
      </c>
      <c r="C8" s="4">
        <f>YEAR(Table1_1[[#This Row],[Order Dates]])</f>
        <v>2024</v>
      </c>
      <c r="D8" s="6">
        <f>MONTH(Table1_1[[#This Row],[Order Dates]])</f>
        <v>1</v>
      </c>
      <c r="E8" s="4" t="s">
        <v>56</v>
      </c>
      <c r="F8" s="4" t="s">
        <v>57</v>
      </c>
      <c r="G8" s="4" t="s">
        <v>58</v>
      </c>
      <c r="H8" s="4" t="str">
        <f>TRIM(CLEAN(SUBSTITUTE(Table1_1[[#This Row],[Salesperson]],"   "," ")))</f>
        <v>Karthik Raman</v>
      </c>
      <c r="I8" s="4" t="s">
        <v>19</v>
      </c>
      <c r="J8" s="4" t="s">
        <v>59</v>
      </c>
      <c r="K8" s="4" t="s">
        <v>60</v>
      </c>
      <c r="L8" s="4" t="s">
        <v>61</v>
      </c>
      <c r="M8" s="4" t="s">
        <v>40</v>
      </c>
      <c r="N8" s="4" t="s">
        <v>24</v>
      </c>
      <c r="O8" s="4">
        <v>6</v>
      </c>
      <c r="P8" s="7">
        <v>25110</v>
      </c>
      <c r="Q8" s="8">
        <v>0.1</v>
      </c>
      <c r="R8" s="7">
        <v>16730</v>
      </c>
      <c r="S8" s="7">
        <f>Table1_1[[#This Row],[Units Sold]]*Table1_1[[#This Row],[Unit Price]]*(1-Table1_1[[#This Row],[Discount %]])</f>
        <v>135594</v>
      </c>
      <c r="T8" s="7">
        <f>Table1_1[[#This Row],[Units Sold]]*Table1_1[[#This Row],[Unit Cost]]</f>
        <v>100380</v>
      </c>
      <c r="U8" s="7">
        <f>Table1_1[[#This Row],[Calculated sales]]-Table1_1[[#This Row],[Total cost]]</f>
        <v>35214</v>
      </c>
      <c r="V8" s="4">
        <f>IFERROR(Table1_1[[#This Row],[Profit/Loss]]/Table1_1[[#This Row],[Calculated sales]],0)</f>
        <v>0.25970175671489887</v>
      </c>
    </row>
    <row r="9" spans="1:22" x14ac:dyDescent="0.25">
      <c r="A9" s="4" t="s">
        <v>62</v>
      </c>
      <c r="B9" s="5">
        <v>45294</v>
      </c>
      <c r="C9" s="4">
        <f>YEAR(Table1_1[[#This Row],[Order Dates]])</f>
        <v>2024</v>
      </c>
      <c r="D9" s="6">
        <f>MONTH(Table1_1[[#This Row],[Order Dates]])</f>
        <v>1</v>
      </c>
      <c r="E9" s="4" t="s">
        <v>42</v>
      </c>
      <c r="F9" s="4" t="s">
        <v>43</v>
      </c>
      <c r="G9" s="4" t="s">
        <v>44</v>
      </c>
      <c r="H9" s="4" t="str">
        <f>TRIM(CLEAN(SUBSTITUTE(Table1_1[[#This Row],[Salesperson]],"   "," ")))</f>
        <v>Simran Kaur</v>
      </c>
      <c r="I9" s="4" t="s">
        <v>19</v>
      </c>
      <c r="J9" s="4" t="s">
        <v>46</v>
      </c>
      <c r="K9" s="4" t="s">
        <v>47</v>
      </c>
      <c r="L9" s="4" t="s">
        <v>48</v>
      </c>
      <c r="M9" s="4" t="s">
        <v>40</v>
      </c>
      <c r="N9" s="4" t="s">
        <v>24</v>
      </c>
      <c r="O9" s="4">
        <v>39</v>
      </c>
      <c r="P9" s="7">
        <v>1840</v>
      </c>
      <c r="Q9" s="8">
        <v>0.12</v>
      </c>
      <c r="R9" s="7">
        <v>1370</v>
      </c>
      <c r="S9" s="7">
        <f>Table1_1[[#This Row],[Units Sold]]*Table1_1[[#This Row],[Unit Price]]*(1-Table1_1[[#This Row],[Discount %]])</f>
        <v>63148.800000000003</v>
      </c>
      <c r="T9" s="7">
        <f>Table1_1[[#This Row],[Units Sold]]*Table1_1[[#This Row],[Unit Cost]]</f>
        <v>53430</v>
      </c>
      <c r="U9" s="7">
        <f>Table1_1[[#This Row],[Calculated sales]]-Table1_1[[#This Row],[Total cost]]</f>
        <v>9718.8000000000029</v>
      </c>
      <c r="V9" s="4">
        <f>IFERROR(Table1_1[[#This Row],[Profit/Loss]]/Table1_1[[#This Row],[Calculated sales]],0)</f>
        <v>0.153903162055336</v>
      </c>
    </row>
    <row r="10" spans="1:22" x14ac:dyDescent="0.25">
      <c r="A10" s="4" t="s">
        <v>63</v>
      </c>
      <c r="B10" s="5">
        <v>45297</v>
      </c>
      <c r="C10" s="4">
        <f>YEAR(Table1_1[[#This Row],[Order Dates]])</f>
        <v>2024</v>
      </c>
      <c r="D10" s="6">
        <f>MONTH(Table1_1[[#This Row],[Order Dates]])</f>
        <v>1</v>
      </c>
      <c r="E10" s="4" t="s">
        <v>42</v>
      </c>
      <c r="F10" s="4" t="s">
        <v>43</v>
      </c>
      <c r="G10" s="4" t="s">
        <v>64</v>
      </c>
      <c r="H10" s="4" t="str">
        <f>TRIM(CLEAN(SUBSTITUTE(Table1_1[[#This Row],[Salesperson]],"   "," ")))</f>
        <v>Aditya Verma</v>
      </c>
      <c r="I10" s="4" t="s">
        <v>45</v>
      </c>
      <c r="J10" s="4" t="s">
        <v>20</v>
      </c>
      <c r="K10" s="4" t="s">
        <v>21</v>
      </c>
      <c r="L10" s="4" t="s">
        <v>1670</v>
      </c>
      <c r="M10" s="4" t="s">
        <v>23</v>
      </c>
      <c r="N10" s="4" t="s">
        <v>24</v>
      </c>
      <c r="O10" s="4">
        <v>4</v>
      </c>
      <c r="P10" s="7">
        <v>9170</v>
      </c>
      <c r="Q10" s="8">
        <v>0.08</v>
      </c>
      <c r="R10" s="7">
        <v>7100</v>
      </c>
      <c r="S10" s="7">
        <f>Table1_1[[#This Row],[Units Sold]]*Table1_1[[#This Row],[Unit Price]]*(1-Table1_1[[#This Row],[Discount %]])</f>
        <v>33745.599999999999</v>
      </c>
      <c r="T10" s="7">
        <f>Table1_1[[#This Row],[Units Sold]]*Table1_1[[#This Row],[Unit Cost]]</f>
        <v>28400</v>
      </c>
      <c r="U10" s="7">
        <f>Table1_1[[#This Row],[Calculated sales]]-Table1_1[[#This Row],[Total cost]]</f>
        <v>5345.5999999999985</v>
      </c>
      <c r="V10" s="4">
        <f>IFERROR(Table1_1[[#This Row],[Profit/Loss]]/Table1_1[[#This Row],[Calculated sales]],0)</f>
        <v>0.15840879996206908</v>
      </c>
    </row>
    <row r="11" spans="1:22" x14ac:dyDescent="0.25">
      <c r="A11" s="4" t="s">
        <v>66</v>
      </c>
      <c r="B11" s="5">
        <v>45298</v>
      </c>
      <c r="C11" s="4">
        <f>YEAR(Table1_1[[#This Row],[Order Dates]])</f>
        <v>2024</v>
      </c>
      <c r="D11" s="6">
        <f>MONTH(Table1_1[[#This Row],[Order Dates]])</f>
        <v>1</v>
      </c>
      <c r="E11" s="4" t="s">
        <v>37</v>
      </c>
      <c r="F11" s="4" t="s">
        <v>67</v>
      </c>
      <c r="G11" s="4" t="s">
        <v>68</v>
      </c>
      <c r="H11" s="4" t="str">
        <f>TRIM(CLEAN(SUBSTITUTE(Table1_1[[#This Row],[Salesperson]],"   "," ")))</f>
        <v>Ritika Ghosh</v>
      </c>
      <c r="I11" s="4" t="s">
        <v>19</v>
      </c>
      <c r="J11" s="4" t="s">
        <v>59</v>
      </c>
      <c r="K11" s="4" t="s">
        <v>69</v>
      </c>
      <c r="L11" s="4" t="s">
        <v>70</v>
      </c>
      <c r="M11" s="4" t="s">
        <v>23</v>
      </c>
      <c r="N11" s="4" t="s">
        <v>24</v>
      </c>
      <c r="O11" s="4">
        <v>8</v>
      </c>
      <c r="P11" s="7">
        <v>28800</v>
      </c>
      <c r="Q11" s="8">
        <v>0</v>
      </c>
      <c r="R11" s="7">
        <v>20520</v>
      </c>
      <c r="S11" s="7">
        <f>Table1_1[[#This Row],[Units Sold]]*Table1_1[[#This Row],[Unit Price]]*(1-Table1_1[[#This Row],[Discount %]])</f>
        <v>230400</v>
      </c>
      <c r="T11" s="7">
        <f>Table1_1[[#This Row],[Units Sold]]*Table1_1[[#This Row],[Unit Cost]]</f>
        <v>164160</v>
      </c>
      <c r="U11" s="7">
        <f>Table1_1[[#This Row],[Calculated sales]]-Table1_1[[#This Row],[Total cost]]</f>
        <v>66240</v>
      </c>
      <c r="V11" s="4">
        <f>IFERROR(Table1_1[[#This Row],[Profit/Loss]]/Table1_1[[#This Row],[Calculated sales]],0)</f>
        <v>0.28749999999999998</v>
      </c>
    </row>
    <row r="12" spans="1:22" x14ac:dyDescent="0.25">
      <c r="A12" s="4" t="s">
        <v>71</v>
      </c>
      <c r="B12" s="5">
        <v>45300</v>
      </c>
      <c r="C12" s="4">
        <f>YEAR(Table1_1[[#This Row],[Order Dates]])</f>
        <v>2024</v>
      </c>
      <c r="D12" s="6">
        <f>MONTH(Table1_1[[#This Row],[Order Dates]])</f>
        <v>1</v>
      </c>
      <c r="E12" s="4" t="s">
        <v>56</v>
      </c>
      <c r="F12" s="4" t="s">
        <v>72</v>
      </c>
      <c r="G12" s="4" t="s">
        <v>58</v>
      </c>
      <c r="H12" s="4" t="str">
        <f>TRIM(CLEAN(SUBSTITUTE(Table1_1[[#This Row],[Salesperson]],"   "," ")))</f>
        <v>Karthik Raman</v>
      </c>
      <c r="I12" s="4" t="s">
        <v>19</v>
      </c>
      <c r="J12" s="4" t="s">
        <v>59</v>
      </c>
      <c r="K12" s="4" t="s">
        <v>73</v>
      </c>
      <c r="L12" s="4" t="s">
        <v>74</v>
      </c>
      <c r="M12" s="4" t="s">
        <v>23</v>
      </c>
      <c r="N12" s="4" t="s">
        <v>24</v>
      </c>
      <c r="O12" s="4">
        <v>2</v>
      </c>
      <c r="P12" s="7">
        <v>43500</v>
      </c>
      <c r="Q12" s="8">
        <v>0.05</v>
      </c>
      <c r="R12" s="7">
        <v>29520</v>
      </c>
      <c r="S12" s="7">
        <f>Table1_1[[#This Row],[Units Sold]]*Table1_1[[#This Row],[Unit Price]]*(1-Table1_1[[#This Row],[Discount %]])</f>
        <v>82650</v>
      </c>
      <c r="T12" s="7">
        <f>Table1_1[[#This Row],[Units Sold]]*Table1_1[[#This Row],[Unit Cost]]</f>
        <v>59040</v>
      </c>
      <c r="U12" s="7">
        <f>Table1_1[[#This Row],[Calculated sales]]-Table1_1[[#This Row],[Total cost]]</f>
        <v>23610</v>
      </c>
      <c r="V12" s="4">
        <f>IFERROR(Table1_1[[#This Row],[Profit/Loss]]/Table1_1[[#This Row],[Calculated sales]],0)</f>
        <v>0.28566243194192376</v>
      </c>
    </row>
    <row r="13" spans="1:22" x14ac:dyDescent="0.25">
      <c r="A13" s="4" t="s">
        <v>75</v>
      </c>
      <c r="B13" s="5">
        <v>45301</v>
      </c>
      <c r="C13" s="4">
        <f>YEAR(Table1_1[[#This Row],[Order Dates]])</f>
        <v>2024</v>
      </c>
      <c r="D13" s="6">
        <f>MONTH(Table1_1[[#This Row],[Order Dates]])</f>
        <v>1</v>
      </c>
      <c r="E13" s="4" t="s">
        <v>76</v>
      </c>
      <c r="F13" s="4" t="s">
        <v>77</v>
      </c>
      <c r="G13" s="4" t="s">
        <v>78</v>
      </c>
      <c r="H13" s="4" t="str">
        <f>TRIM(CLEAN(SUBSTITUTE(Table1_1[[#This Row],[Salesperson]],"   "," ")))</f>
        <v>Pooja Chouhan</v>
      </c>
      <c r="I13" s="4" t="s">
        <v>52</v>
      </c>
      <c r="J13" s="4" t="s">
        <v>27</v>
      </c>
      <c r="K13" s="4" t="s">
        <v>79</v>
      </c>
      <c r="L13" s="4" t="s">
        <v>80</v>
      </c>
      <c r="M13" s="4" t="s">
        <v>23</v>
      </c>
      <c r="N13" s="4" t="s">
        <v>24</v>
      </c>
      <c r="O13" s="4">
        <v>7</v>
      </c>
      <c r="P13" s="7">
        <v>4680</v>
      </c>
      <c r="Q13" s="8">
        <v>0.1</v>
      </c>
      <c r="R13" s="7">
        <v>3250</v>
      </c>
      <c r="S13" s="7">
        <f>Table1_1[[#This Row],[Units Sold]]*Table1_1[[#This Row],[Unit Price]]*(1-Table1_1[[#This Row],[Discount %]])</f>
        <v>29484</v>
      </c>
      <c r="T13" s="7">
        <f>Table1_1[[#This Row],[Units Sold]]*Table1_1[[#This Row],[Unit Cost]]</f>
        <v>22750</v>
      </c>
      <c r="U13" s="7">
        <f>Table1_1[[#This Row],[Calculated sales]]-Table1_1[[#This Row],[Total cost]]</f>
        <v>6734</v>
      </c>
      <c r="V13" s="4">
        <f>IFERROR(Table1_1[[#This Row],[Profit/Loss]]/Table1_1[[#This Row],[Calculated sales]],0)</f>
        <v>0.22839506172839505</v>
      </c>
    </row>
    <row r="14" spans="1:22" x14ac:dyDescent="0.25">
      <c r="A14" s="4" t="s">
        <v>81</v>
      </c>
      <c r="B14" s="5">
        <v>45301</v>
      </c>
      <c r="C14" s="4">
        <f>YEAR(Table1_1[[#This Row],[Order Dates]])</f>
        <v>2024</v>
      </c>
      <c r="D14" s="6">
        <f>MONTH(Table1_1[[#This Row],[Order Dates]])</f>
        <v>1</v>
      </c>
      <c r="E14" s="4" t="s">
        <v>16</v>
      </c>
      <c r="F14" s="4" t="s">
        <v>82</v>
      </c>
      <c r="G14" s="4" t="s">
        <v>18</v>
      </c>
      <c r="H14" s="4" t="str">
        <f>TRIM(CLEAN(SUBSTITUTE(Table1_1[[#This Row],[Salesperson]],"   "," ")))</f>
        <v>Imran Sheikh</v>
      </c>
      <c r="I14" s="4" t="s">
        <v>19</v>
      </c>
      <c r="J14" s="4" t="s">
        <v>83</v>
      </c>
      <c r="K14" s="4" t="s">
        <v>84</v>
      </c>
      <c r="L14" s="4" t="s">
        <v>1671</v>
      </c>
      <c r="M14" s="4" t="s">
        <v>23</v>
      </c>
      <c r="N14" s="4" t="s">
        <v>24</v>
      </c>
      <c r="O14" s="4">
        <v>32</v>
      </c>
      <c r="P14" s="7">
        <v>2390</v>
      </c>
      <c r="Q14" s="8">
        <v>0.15</v>
      </c>
      <c r="R14" s="7">
        <v>1600</v>
      </c>
      <c r="S14" s="7">
        <f>Table1_1[[#This Row],[Units Sold]]*Table1_1[[#This Row],[Unit Price]]*(1-Table1_1[[#This Row],[Discount %]])</f>
        <v>65008</v>
      </c>
      <c r="T14" s="7">
        <f>Table1_1[[#This Row],[Units Sold]]*Table1_1[[#This Row],[Unit Cost]]</f>
        <v>51200</v>
      </c>
      <c r="U14" s="7">
        <f>Table1_1[[#This Row],[Calculated sales]]-Table1_1[[#This Row],[Total cost]]</f>
        <v>13808</v>
      </c>
      <c r="V14" s="4">
        <f>IFERROR(Table1_1[[#This Row],[Profit/Loss]]/Table1_1[[#This Row],[Calculated sales]],0)</f>
        <v>0.21240462712281566</v>
      </c>
    </row>
    <row r="15" spans="1:22" x14ac:dyDescent="0.25">
      <c r="A15" s="4" t="s">
        <v>86</v>
      </c>
      <c r="B15" s="5">
        <v>45303</v>
      </c>
      <c r="C15" s="4">
        <f>YEAR(Table1_1[[#This Row],[Order Dates]])</f>
        <v>2024</v>
      </c>
      <c r="D15" s="6">
        <f>MONTH(Table1_1[[#This Row],[Order Dates]])</f>
        <v>1</v>
      </c>
      <c r="E15" s="4" t="s">
        <v>16</v>
      </c>
      <c r="F15" s="4" t="s">
        <v>51</v>
      </c>
      <c r="G15" s="4" t="s">
        <v>26</v>
      </c>
      <c r="H15" s="4" t="str">
        <f>TRIM(CLEAN(SUBSTITUTE(Table1_1[[#This Row],[Salesperson]],"   "," ")))</f>
        <v>Prateek Shah</v>
      </c>
      <c r="I15" s="4" t="s">
        <v>19</v>
      </c>
      <c r="J15" s="4" t="s">
        <v>20</v>
      </c>
      <c r="K15" s="4" t="s">
        <v>87</v>
      </c>
      <c r="L15" s="4" t="s">
        <v>1672</v>
      </c>
      <c r="M15" s="4" t="s">
        <v>40</v>
      </c>
      <c r="N15" s="4" t="s">
        <v>24</v>
      </c>
      <c r="O15" s="4">
        <v>1</v>
      </c>
      <c r="P15" s="7">
        <v>33550</v>
      </c>
      <c r="Q15" s="8">
        <v>0.12</v>
      </c>
      <c r="R15" s="7">
        <v>20980</v>
      </c>
      <c r="S15" s="7">
        <f>Table1_1[[#This Row],[Units Sold]]*Table1_1[[#This Row],[Unit Price]]*(1-Table1_1[[#This Row],[Discount %]])</f>
        <v>29524</v>
      </c>
      <c r="T15" s="7">
        <f>Table1_1[[#This Row],[Units Sold]]*Table1_1[[#This Row],[Unit Cost]]</f>
        <v>20980</v>
      </c>
      <c r="U15" s="7">
        <f>Table1_1[[#This Row],[Calculated sales]]-Table1_1[[#This Row],[Total cost]]</f>
        <v>8544</v>
      </c>
      <c r="V15" s="4">
        <f>IFERROR(Table1_1[[#This Row],[Profit/Loss]]/Table1_1[[#This Row],[Calculated sales]],0)</f>
        <v>0.28939168134399135</v>
      </c>
    </row>
    <row r="16" spans="1:22" x14ac:dyDescent="0.25">
      <c r="A16" s="4" t="s">
        <v>89</v>
      </c>
      <c r="B16" s="5">
        <v>45303</v>
      </c>
      <c r="C16" s="4">
        <f>YEAR(Table1_1[[#This Row],[Order Dates]])</f>
        <v>2024</v>
      </c>
      <c r="D16" s="6">
        <f>MONTH(Table1_1[[#This Row],[Order Dates]])</f>
        <v>1</v>
      </c>
      <c r="E16" s="4" t="s">
        <v>16</v>
      </c>
      <c r="F16" s="4" t="s">
        <v>51</v>
      </c>
      <c r="G16" s="4" t="s">
        <v>32</v>
      </c>
      <c r="H16" s="4" t="str">
        <f>TRIM(CLEAN(SUBSTITUTE(Table1_1[[#This Row],[Salesperson]],"   "," ")))</f>
        <v>Neha Deshpande</v>
      </c>
      <c r="I16" s="4" t="s">
        <v>45</v>
      </c>
      <c r="J16" s="4" t="s">
        <v>27</v>
      </c>
      <c r="K16" s="4" t="s">
        <v>28</v>
      </c>
      <c r="L16" s="4" t="s">
        <v>1668</v>
      </c>
      <c r="M16" s="4" t="s">
        <v>40</v>
      </c>
      <c r="N16" s="4" t="s">
        <v>24</v>
      </c>
      <c r="O16" s="4">
        <v>11</v>
      </c>
      <c r="P16" s="7">
        <v>27950</v>
      </c>
      <c r="Q16" s="8">
        <v>0.05</v>
      </c>
      <c r="R16" s="7">
        <v>21870</v>
      </c>
      <c r="S16" s="7">
        <f>Table1_1[[#This Row],[Units Sold]]*Table1_1[[#This Row],[Unit Price]]*(1-Table1_1[[#This Row],[Discount %]])</f>
        <v>292077.5</v>
      </c>
      <c r="T16" s="7">
        <f>Table1_1[[#This Row],[Units Sold]]*Table1_1[[#This Row],[Unit Cost]]</f>
        <v>240570</v>
      </c>
      <c r="U16" s="7">
        <f>Table1_1[[#This Row],[Calculated sales]]-Table1_1[[#This Row],[Total cost]]</f>
        <v>51507.5</v>
      </c>
      <c r="V16" s="4">
        <f>IFERROR(Table1_1[[#This Row],[Profit/Loss]]/Table1_1[[#This Row],[Calculated sales]],0)</f>
        <v>0.1763487430562094</v>
      </c>
    </row>
    <row r="17" spans="1:22" x14ac:dyDescent="0.25">
      <c r="A17" s="4" t="s">
        <v>90</v>
      </c>
      <c r="B17" s="5">
        <v>45304</v>
      </c>
      <c r="C17" s="4">
        <f>YEAR(Table1_1[[#This Row],[Order Dates]])</f>
        <v>2024</v>
      </c>
      <c r="D17" s="6">
        <f>MONTH(Table1_1[[#This Row],[Order Dates]])</f>
        <v>1</v>
      </c>
      <c r="E17" s="4" t="s">
        <v>56</v>
      </c>
      <c r="F17" s="4" t="s">
        <v>72</v>
      </c>
      <c r="G17" s="4" t="s">
        <v>91</v>
      </c>
      <c r="H17" s="4" t="str">
        <f>TRIM(CLEAN(SUBSTITUTE(Table1_1[[#This Row],[Salesperson]],"   "," ")))</f>
        <v>Anjali Menon</v>
      </c>
      <c r="I17" s="4" t="s">
        <v>92</v>
      </c>
      <c r="J17" s="4" t="s">
        <v>46</v>
      </c>
      <c r="K17" s="4" t="s">
        <v>47</v>
      </c>
      <c r="L17" s="4" t="s">
        <v>1673</v>
      </c>
      <c r="M17" s="4" t="s">
        <v>49</v>
      </c>
      <c r="N17" s="4" t="s">
        <v>94</v>
      </c>
      <c r="O17" s="4">
        <v>73</v>
      </c>
      <c r="P17" s="7">
        <v>1250</v>
      </c>
      <c r="Q17" s="8">
        <v>0.2</v>
      </c>
      <c r="R17" s="7">
        <v>960</v>
      </c>
      <c r="S17" s="7">
        <f>Table1_1[[#This Row],[Units Sold]]*Table1_1[[#This Row],[Unit Price]]*(1-Table1_1[[#This Row],[Discount %]])</f>
        <v>73000</v>
      </c>
      <c r="T17" s="7">
        <f>Table1_1[[#This Row],[Units Sold]]*Table1_1[[#This Row],[Unit Cost]]</f>
        <v>70080</v>
      </c>
      <c r="U17" s="7">
        <f>Table1_1[[#This Row],[Calculated sales]]-Table1_1[[#This Row],[Total cost]]</f>
        <v>2920</v>
      </c>
      <c r="V17" s="4">
        <f>IFERROR(Table1_1[[#This Row],[Profit/Loss]]/Table1_1[[#This Row],[Calculated sales]],0)</f>
        <v>0.04</v>
      </c>
    </row>
    <row r="18" spans="1:22" x14ac:dyDescent="0.25">
      <c r="A18" s="4" t="s">
        <v>95</v>
      </c>
      <c r="B18" s="5">
        <v>45304</v>
      </c>
      <c r="C18" s="4">
        <f>YEAR(Table1_1[[#This Row],[Order Dates]])</f>
        <v>2024</v>
      </c>
      <c r="D18" s="6">
        <f>MONTH(Table1_1[[#This Row],[Order Dates]])</f>
        <v>1</v>
      </c>
      <c r="E18" s="4" t="s">
        <v>42</v>
      </c>
      <c r="F18" s="4" t="s">
        <v>96</v>
      </c>
      <c r="G18" s="4" t="s">
        <v>97</v>
      </c>
      <c r="H18" s="4" t="str">
        <f>TRIM(CLEAN(SUBSTITUTE(Table1_1[[#This Row],[Salesperson]],"   "," ")))</f>
        <v>Rohit Malhotra</v>
      </c>
      <c r="I18" s="4" t="s">
        <v>19</v>
      </c>
      <c r="J18" s="4" t="s">
        <v>27</v>
      </c>
      <c r="K18" s="4" t="s">
        <v>28</v>
      </c>
      <c r="L18" s="4" t="s">
        <v>1668</v>
      </c>
      <c r="M18" s="4" t="s">
        <v>40</v>
      </c>
      <c r="N18" s="4" t="s">
        <v>24</v>
      </c>
      <c r="O18" s="4">
        <v>5</v>
      </c>
      <c r="P18" s="7">
        <v>28660</v>
      </c>
      <c r="Q18" s="8">
        <v>0.18</v>
      </c>
      <c r="R18" s="7">
        <v>19420</v>
      </c>
      <c r="S18" s="7">
        <f>Table1_1[[#This Row],[Units Sold]]*Table1_1[[#This Row],[Unit Price]]*(1-Table1_1[[#This Row],[Discount %]])</f>
        <v>117506.00000000001</v>
      </c>
      <c r="T18" s="7">
        <f>Table1_1[[#This Row],[Units Sold]]*Table1_1[[#This Row],[Unit Cost]]</f>
        <v>97100</v>
      </c>
      <c r="U18" s="7">
        <f>Table1_1[[#This Row],[Calculated sales]]-Table1_1[[#This Row],[Total cost]]</f>
        <v>20406.000000000015</v>
      </c>
      <c r="V18" s="4">
        <f>IFERROR(Table1_1[[#This Row],[Profit/Loss]]/Table1_1[[#This Row],[Calculated sales]],0)</f>
        <v>0.17365921740166471</v>
      </c>
    </row>
    <row r="19" spans="1:22" x14ac:dyDescent="0.25">
      <c r="A19" s="4" t="s">
        <v>98</v>
      </c>
      <c r="B19" s="5">
        <v>45304</v>
      </c>
      <c r="C19" s="4">
        <f>YEAR(Table1_1[[#This Row],[Order Dates]])</f>
        <v>2024</v>
      </c>
      <c r="D19" s="6">
        <f>MONTH(Table1_1[[#This Row],[Order Dates]])</f>
        <v>1</v>
      </c>
      <c r="E19" s="4" t="s">
        <v>76</v>
      </c>
      <c r="F19" s="4" t="s">
        <v>99</v>
      </c>
      <c r="G19" s="4" t="s">
        <v>78</v>
      </c>
      <c r="H19" s="4" t="str">
        <f>TRIM(CLEAN(SUBSTITUTE(Table1_1[[#This Row],[Salesperson]],"   "," ")))</f>
        <v>Pooja Chouhan</v>
      </c>
      <c r="I19" s="4" t="s">
        <v>19</v>
      </c>
      <c r="J19" s="4" t="s">
        <v>46</v>
      </c>
      <c r="K19" s="4" t="s">
        <v>100</v>
      </c>
      <c r="L19" s="4" t="s">
        <v>101</v>
      </c>
      <c r="M19" s="4" t="s">
        <v>40</v>
      </c>
      <c r="N19" s="4" t="s">
        <v>24</v>
      </c>
      <c r="O19" s="4">
        <v>5</v>
      </c>
      <c r="P19" s="7">
        <v>1850</v>
      </c>
      <c r="Q19" s="8">
        <v>0.18</v>
      </c>
      <c r="R19" s="7">
        <v>1390</v>
      </c>
      <c r="S19" s="7">
        <f>Table1_1[[#This Row],[Units Sold]]*Table1_1[[#This Row],[Unit Price]]*(1-Table1_1[[#This Row],[Discount %]])</f>
        <v>7585.0000000000009</v>
      </c>
      <c r="T19" s="7">
        <f>Table1_1[[#This Row],[Units Sold]]*Table1_1[[#This Row],[Unit Cost]]</f>
        <v>6950</v>
      </c>
      <c r="U19" s="7">
        <f>Table1_1[[#This Row],[Calculated sales]]-Table1_1[[#This Row],[Total cost]]</f>
        <v>635.00000000000091</v>
      </c>
      <c r="V19" s="4">
        <f>IFERROR(Table1_1[[#This Row],[Profit/Loss]]/Table1_1[[#This Row],[Calculated sales]],0)</f>
        <v>8.3717864205669193E-2</v>
      </c>
    </row>
    <row r="20" spans="1:22" x14ac:dyDescent="0.25">
      <c r="A20" s="4" t="s">
        <v>102</v>
      </c>
      <c r="B20" s="5">
        <v>45304</v>
      </c>
      <c r="C20" s="4">
        <f>YEAR(Table1_1[[#This Row],[Order Dates]])</f>
        <v>2024</v>
      </c>
      <c r="D20" s="6">
        <f>MONTH(Table1_1[[#This Row],[Order Dates]])</f>
        <v>1</v>
      </c>
      <c r="E20" s="4" t="s">
        <v>56</v>
      </c>
      <c r="F20" s="4" t="s">
        <v>103</v>
      </c>
      <c r="G20" s="4" t="s">
        <v>91</v>
      </c>
      <c r="H20" s="4" t="str">
        <f>TRIM(CLEAN(SUBSTITUTE(Table1_1[[#This Row],[Salesperson]],"   "," ")))</f>
        <v>Anjali Menon</v>
      </c>
      <c r="I20" s="4" t="s">
        <v>19</v>
      </c>
      <c r="J20" s="4" t="s">
        <v>46</v>
      </c>
      <c r="K20" s="4" t="s">
        <v>47</v>
      </c>
      <c r="L20" s="4" t="s">
        <v>48</v>
      </c>
      <c r="M20" s="4" t="s">
        <v>23</v>
      </c>
      <c r="N20" s="4" t="s">
        <v>94</v>
      </c>
      <c r="O20" s="4">
        <v>22</v>
      </c>
      <c r="P20" s="7">
        <v>1850</v>
      </c>
      <c r="Q20" s="8">
        <v>0.05</v>
      </c>
      <c r="R20" s="7">
        <v>1080</v>
      </c>
      <c r="S20" s="7">
        <f>Table1_1[[#This Row],[Units Sold]]*Table1_1[[#This Row],[Unit Price]]*(1-Table1_1[[#This Row],[Discount %]])</f>
        <v>38665</v>
      </c>
      <c r="T20" s="7">
        <f>Table1_1[[#This Row],[Units Sold]]*Table1_1[[#This Row],[Unit Cost]]</f>
        <v>23760</v>
      </c>
      <c r="U20" s="7">
        <f>Table1_1[[#This Row],[Calculated sales]]-Table1_1[[#This Row],[Total cost]]</f>
        <v>14905</v>
      </c>
      <c r="V20" s="4">
        <f>IFERROR(Table1_1[[#This Row],[Profit/Loss]]/Table1_1[[#This Row],[Calculated sales]],0)</f>
        <v>0.38549075391180654</v>
      </c>
    </row>
    <row r="21" spans="1:22" x14ac:dyDescent="0.25">
      <c r="A21" s="4" t="s">
        <v>104</v>
      </c>
      <c r="B21" s="5">
        <v>45306</v>
      </c>
      <c r="C21" s="4">
        <f>YEAR(Table1_1[[#This Row],[Order Dates]])</f>
        <v>2024</v>
      </c>
      <c r="D21" s="6">
        <f>MONTH(Table1_1[[#This Row],[Order Dates]])</f>
        <v>1</v>
      </c>
      <c r="E21" s="4" t="s">
        <v>76</v>
      </c>
      <c r="F21" s="4" t="s">
        <v>77</v>
      </c>
      <c r="G21" s="4" t="s">
        <v>78</v>
      </c>
      <c r="H21" s="4" t="str">
        <f>TRIM(CLEAN(SUBSTITUTE(Table1_1[[#This Row],[Salesperson]],"   "," ")))</f>
        <v>Pooja Chouhan</v>
      </c>
      <c r="I21" s="4" t="s">
        <v>19</v>
      </c>
      <c r="J21" s="4" t="s">
        <v>20</v>
      </c>
      <c r="K21" s="4" t="s">
        <v>87</v>
      </c>
      <c r="L21" s="4" t="s">
        <v>1674</v>
      </c>
      <c r="M21" s="4" t="s">
        <v>23</v>
      </c>
      <c r="N21" s="4" t="s">
        <v>24</v>
      </c>
      <c r="O21" s="4">
        <v>3</v>
      </c>
      <c r="P21" s="7">
        <v>50210</v>
      </c>
      <c r="Q21" s="8">
        <v>0.2</v>
      </c>
      <c r="R21" s="7">
        <v>38930</v>
      </c>
      <c r="S21" s="7">
        <f>Table1_1[[#This Row],[Units Sold]]*Table1_1[[#This Row],[Unit Price]]*(1-Table1_1[[#This Row],[Discount %]])</f>
        <v>120504</v>
      </c>
      <c r="T21" s="7">
        <f>Table1_1[[#This Row],[Units Sold]]*Table1_1[[#This Row],[Unit Cost]]</f>
        <v>116790</v>
      </c>
      <c r="U21" s="7">
        <f>Table1_1[[#This Row],[Calculated sales]]-Table1_1[[#This Row],[Total cost]]</f>
        <v>3714</v>
      </c>
      <c r="V21" s="4">
        <f>IFERROR(Table1_1[[#This Row],[Profit/Loss]]/Table1_1[[#This Row],[Calculated sales]],0)</f>
        <v>3.082055367456682E-2</v>
      </c>
    </row>
    <row r="22" spans="1:22" x14ac:dyDescent="0.25">
      <c r="A22" s="4" t="s">
        <v>106</v>
      </c>
      <c r="B22" s="5">
        <v>45306</v>
      </c>
      <c r="C22" s="4">
        <f>YEAR(Table1_1[[#This Row],[Order Dates]])</f>
        <v>2024</v>
      </c>
      <c r="D22" s="6">
        <f>MONTH(Table1_1[[#This Row],[Order Dates]])</f>
        <v>1</v>
      </c>
      <c r="E22" s="4" t="s">
        <v>16</v>
      </c>
      <c r="F22" s="4" t="s">
        <v>17</v>
      </c>
      <c r="G22" s="4" t="s">
        <v>18</v>
      </c>
      <c r="H22" s="4" t="str">
        <f>TRIM(CLEAN(SUBSTITUTE(Table1_1[[#This Row],[Salesperson]],"   "," ")))</f>
        <v>Imran Sheikh</v>
      </c>
      <c r="I22" s="4" t="s">
        <v>19</v>
      </c>
      <c r="J22" s="4" t="s">
        <v>20</v>
      </c>
      <c r="K22" s="4" t="s">
        <v>33</v>
      </c>
      <c r="L22" s="4" t="s">
        <v>34</v>
      </c>
      <c r="M22" s="4" t="s">
        <v>23</v>
      </c>
      <c r="N22" s="4" t="s">
        <v>24</v>
      </c>
      <c r="O22" s="4">
        <v>4</v>
      </c>
      <c r="P22" s="7">
        <v>56010</v>
      </c>
      <c r="Q22" s="8">
        <v>0.05</v>
      </c>
      <c r="R22" s="7">
        <v>43350</v>
      </c>
      <c r="S22" s="7">
        <f>Table1_1[[#This Row],[Units Sold]]*Table1_1[[#This Row],[Unit Price]]*(1-Table1_1[[#This Row],[Discount %]])</f>
        <v>212838</v>
      </c>
      <c r="T22" s="7">
        <f>Table1_1[[#This Row],[Units Sold]]*Table1_1[[#This Row],[Unit Cost]]</f>
        <v>173400</v>
      </c>
      <c r="U22" s="7">
        <f>Table1_1[[#This Row],[Calculated sales]]-Table1_1[[#This Row],[Total cost]]</f>
        <v>39438</v>
      </c>
      <c r="V22" s="4">
        <f>IFERROR(Table1_1[[#This Row],[Profit/Loss]]/Table1_1[[#This Row],[Calculated sales]],0)</f>
        <v>0.18529585882220281</v>
      </c>
    </row>
    <row r="23" spans="1:22" x14ac:dyDescent="0.25">
      <c r="A23" s="4" t="s">
        <v>107</v>
      </c>
      <c r="B23" s="5">
        <v>45307</v>
      </c>
      <c r="C23" s="4">
        <f>YEAR(Table1_1[[#This Row],[Order Dates]])</f>
        <v>2024</v>
      </c>
      <c r="D23" s="6">
        <f>MONTH(Table1_1[[#This Row],[Order Dates]])</f>
        <v>1</v>
      </c>
      <c r="E23" s="4" t="s">
        <v>76</v>
      </c>
      <c r="F23" s="4" t="s">
        <v>99</v>
      </c>
      <c r="G23" s="4" t="s">
        <v>78</v>
      </c>
      <c r="H23" s="4" t="str">
        <f>TRIM(CLEAN(SUBSTITUTE(Table1_1[[#This Row],[Salesperson]],"   "," ")))</f>
        <v>Pooja Chouhan</v>
      </c>
      <c r="I23" s="4" t="s">
        <v>19</v>
      </c>
      <c r="J23" s="4" t="s">
        <v>59</v>
      </c>
      <c r="K23" s="4" t="s">
        <v>73</v>
      </c>
      <c r="L23" s="4" t="s">
        <v>74</v>
      </c>
      <c r="M23" s="4" t="s">
        <v>49</v>
      </c>
      <c r="N23" s="4" t="s">
        <v>24</v>
      </c>
      <c r="O23" s="4">
        <v>1</v>
      </c>
      <c r="P23" s="7">
        <v>47150</v>
      </c>
      <c r="Q23" s="8">
        <v>0.05</v>
      </c>
      <c r="R23" s="7">
        <v>28860</v>
      </c>
      <c r="S23" s="7">
        <f>Table1_1[[#This Row],[Units Sold]]*Table1_1[[#This Row],[Unit Price]]*(1-Table1_1[[#This Row],[Discount %]])</f>
        <v>44792.5</v>
      </c>
      <c r="T23" s="7">
        <f>Table1_1[[#This Row],[Units Sold]]*Table1_1[[#This Row],[Unit Cost]]</f>
        <v>28860</v>
      </c>
      <c r="U23" s="7">
        <f>Table1_1[[#This Row],[Calculated sales]]-Table1_1[[#This Row],[Total cost]]</f>
        <v>15932.5</v>
      </c>
      <c r="V23" s="4">
        <f>IFERROR(Table1_1[[#This Row],[Profit/Loss]]/Table1_1[[#This Row],[Calculated sales]],0)</f>
        <v>0.35569570798682815</v>
      </c>
    </row>
    <row r="24" spans="1:22" x14ac:dyDescent="0.25">
      <c r="A24" s="4" t="s">
        <v>108</v>
      </c>
      <c r="B24" s="5">
        <v>45307</v>
      </c>
      <c r="C24" s="4">
        <f>YEAR(Table1_1[[#This Row],[Order Dates]])</f>
        <v>2024</v>
      </c>
      <c r="D24" s="6">
        <f>MONTH(Table1_1[[#This Row],[Order Dates]])</f>
        <v>1</v>
      </c>
      <c r="E24" s="4" t="s">
        <v>56</v>
      </c>
      <c r="F24" s="4" t="s">
        <v>57</v>
      </c>
      <c r="G24" s="4" t="s">
        <v>91</v>
      </c>
      <c r="H24" s="4" t="str">
        <f>TRIM(CLEAN(SUBSTITUTE(Table1_1[[#This Row],[Salesperson]],"   "," ")))</f>
        <v>Anjali Menon</v>
      </c>
      <c r="I24" s="4" t="s">
        <v>52</v>
      </c>
      <c r="J24" s="4" t="s">
        <v>20</v>
      </c>
      <c r="K24" s="4" t="s">
        <v>109</v>
      </c>
      <c r="L24" s="4" t="s">
        <v>1675</v>
      </c>
      <c r="M24" s="4" t="s">
        <v>40</v>
      </c>
      <c r="N24" s="4" t="s">
        <v>24</v>
      </c>
      <c r="O24" s="4">
        <v>1</v>
      </c>
      <c r="P24" s="7">
        <v>65720</v>
      </c>
      <c r="Q24" s="8">
        <v>0</v>
      </c>
      <c r="R24" s="7">
        <v>44870</v>
      </c>
      <c r="S24" s="7">
        <f>Table1_1[[#This Row],[Units Sold]]*Table1_1[[#This Row],[Unit Price]]*(1-Table1_1[[#This Row],[Discount %]])</f>
        <v>65720</v>
      </c>
      <c r="T24" s="7">
        <f>Table1_1[[#This Row],[Units Sold]]*Table1_1[[#This Row],[Unit Cost]]</f>
        <v>44870</v>
      </c>
      <c r="U24" s="7">
        <f>Table1_1[[#This Row],[Calculated sales]]-Table1_1[[#This Row],[Total cost]]</f>
        <v>20850</v>
      </c>
      <c r="V24" s="4">
        <f>IFERROR(Table1_1[[#This Row],[Profit/Loss]]/Table1_1[[#This Row],[Calculated sales]],0)</f>
        <v>0.31725502130249544</v>
      </c>
    </row>
    <row r="25" spans="1:22" x14ac:dyDescent="0.25">
      <c r="A25" s="4" t="s">
        <v>111</v>
      </c>
      <c r="B25" s="5">
        <v>45307</v>
      </c>
      <c r="C25" s="4">
        <f>YEAR(Table1_1[[#This Row],[Order Dates]])</f>
        <v>2024</v>
      </c>
      <c r="D25" s="6">
        <f>MONTH(Table1_1[[#This Row],[Order Dates]])</f>
        <v>1</v>
      </c>
      <c r="E25" s="4" t="s">
        <v>76</v>
      </c>
      <c r="F25" s="4" t="s">
        <v>112</v>
      </c>
      <c r="G25" s="4" t="s">
        <v>78</v>
      </c>
      <c r="H25" s="4" t="str">
        <f>TRIM(CLEAN(SUBSTITUTE(Table1_1[[#This Row],[Salesperson]],"   "," ")))</f>
        <v>Pooja Chouhan</v>
      </c>
      <c r="I25" s="4" t="s">
        <v>52</v>
      </c>
      <c r="J25" s="4" t="s">
        <v>59</v>
      </c>
      <c r="K25" s="4" t="s">
        <v>73</v>
      </c>
      <c r="L25" s="4" t="s">
        <v>113</v>
      </c>
      <c r="M25" s="4" t="s">
        <v>23</v>
      </c>
      <c r="N25" s="4" t="s">
        <v>24</v>
      </c>
      <c r="O25" s="4">
        <v>4</v>
      </c>
      <c r="P25" s="7">
        <v>34510</v>
      </c>
      <c r="Q25" s="8">
        <v>0.05</v>
      </c>
      <c r="R25" s="7">
        <v>23410</v>
      </c>
      <c r="S25" s="7">
        <f>Table1_1[[#This Row],[Units Sold]]*Table1_1[[#This Row],[Unit Price]]*(1-Table1_1[[#This Row],[Discount %]])</f>
        <v>131138</v>
      </c>
      <c r="T25" s="7">
        <f>Table1_1[[#This Row],[Units Sold]]*Table1_1[[#This Row],[Unit Cost]]</f>
        <v>93640</v>
      </c>
      <c r="U25" s="7">
        <f>Table1_1[[#This Row],[Calculated sales]]-Table1_1[[#This Row],[Total cost]]</f>
        <v>37498</v>
      </c>
      <c r="V25" s="4">
        <f>IFERROR(Table1_1[[#This Row],[Profit/Loss]]/Table1_1[[#This Row],[Calculated sales]],0)</f>
        <v>0.28594305235705897</v>
      </c>
    </row>
    <row r="26" spans="1:22" x14ac:dyDescent="0.25">
      <c r="A26" s="4" t="s">
        <v>114</v>
      </c>
      <c r="B26" s="5">
        <v>45308</v>
      </c>
      <c r="C26" s="4">
        <f>YEAR(Table1_1[[#This Row],[Order Dates]])</f>
        <v>2024</v>
      </c>
      <c r="D26" s="6">
        <f>MONTH(Table1_1[[#This Row],[Order Dates]])</f>
        <v>1</v>
      </c>
      <c r="E26" s="4" t="s">
        <v>37</v>
      </c>
      <c r="F26" s="4" t="s">
        <v>115</v>
      </c>
      <c r="G26" s="4" t="s">
        <v>39</v>
      </c>
      <c r="H26" s="4" t="str">
        <f>TRIM(CLEAN(SUBSTITUTE(Table1_1[[#This Row],[Salesperson]],"   "," ")))</f>
        <v>Sourav Das</v>
      </c>
      <c r="I26" s="4" t="s">
        <v>19</v>
      </c>
      <c r="J26" s="4" t="s">
        <v>59</v>
      </c>
      <c r="K26" s="4" t="s">
        <v>73</v>
      </c>
      <c r="L26" s="4" t="s">
        <v>74</v>
      </c>
      <c r="M26" s="4" t="s">
        <v>49</v>
      </c>
      <c r="N26" s="4" t="s">
        <v>24</v>
      </c>
      <c r="O26" s="4">
        <v>1</v>
      </c>
      <c r="P26" s="7">
        <v>46610</v>
      </c>
      <c r="Q26" s="8">
        <v>0.15</v>
      </c>
      <c r="R26" s="7">
        <v>27550</v>
      </c>
      <c r="S26" s="7">
        <f>Table1_1[[#This Row],[Units Sold]]*Table1_1[[#This Row],[Unit Price]]*(1-Table1_1[[#This Row],[Discount %]])</f>
        <v>39618.5</v>
      </c>
      <c r="T26" s="7">
        <f>Table1_1[[#This Row],[Units Sold]]*Table1_1[[#This Row],[Unit Cost]]</f>
        <v>27550</v>
      </c>
      <c r="U26" s="7">
        <f>Table1_1[[#This Row],[Calculated sales]]-Table1_1[[#This Row],[Total cost]]</f>
        <v>12068.5</v>
      </c>
      <c r="V26" s="4">
        <f>IFERROR(Table1_1[[#This Row],[Profit/Loss]]/Table1_1[[#This Row],[Calculated sales]],0)</f>
        <v>0.30461779219304114</v>
      </c>
    </row>
    <row r="27" spans="1:22" x14ac:dyDescent="0.25">
      <c r="A27" s="4" t="s">
        <v>116</v>
      </c>
      <c r="B27" s="5">
        <v>45308</v>
      </c>
      <c r="C27" s="4">
        <f>YEAR(Table1_1[[#This Row],[Order Dates]])</f>
        <v>2024</v>
      </c>
      <c r="D27" s="6">
        <f>MONTH(Table1_1[[#This Row],[Order Dates]])</f>
        <v>1</v>
      </c>
      <c r="E27" s="4" t="s">
        <v>42</v>
      </c>
      <c r="F27" s="4" t="s">
        <v>43</v>
      </c>
      <c r="G27" s="4" t="s">
        <v>97</v>
      </c>
      <c r="H27" s="4" t="str">
        <f>TRIM(CLEAN(SUBSTITUTE(Table1_1[[#This Row],[Salesperson]],"   "," ")))</f>
        <v>Rohit Malhotra</v>
      </c>
      <c r="I27" s="4" t="s">
        <v>19</v>
      </c>
      <c r="J27" s="4" t="s">
        <v>59</v>
      </c>
      <c r="K27" s="4" t="s">
        <v>60</v>
      </c>
      <c r="L27" s="4" t="s">
        <v>61</v>
      </c>
      <c r="M27" s="4" t="s">
        <v>40</v>
      </c>
      <c r="N27" s="4" t="s">
        <v>24</v>
      </c>
      <c r="O27" s="4">
        <v>7</v>
      </c>
      <c r="P27" s="7">
        <v>25110</v>
      </c>
      <c r="Q27" s="8">
        <v>0.15</v>
      </c>
      <c r="R27" s="7">
        <v>14930</v>
      </c>
      <c r="S27" s="7">
        <f>Table1_1[[#This Row],[Units Sold]]*Table1_1[[#This Row],[Unit Price]]*(1-Table1_1[[#This Row],[Discount %]])</f>
        <v>149404.5</v>
      </c>
      <c r="T27" s="7">
        <f>Table1_1[[#This Row],[Units Sold]]*Table1_1[[#This Row],[Unit Cost]]</f>
        <v>104510</v>
      </c>
      <c r="U27" s="7">
        <f>Table1_1[[#This Row],[Calculated sales]]-Table1_1[[#This Row],[Total cost]]</f>
        <v>44894.5</v>
      </c>
      <c r="V27" s="4">
        <f>IFERROR(Table1_1[[#This Row],[Profit/Loss]]/Table1_1[[#This Row],[Calculated sales]],0)</f>
        <v>0.30048961042003419</v>
      </c>
    </row>
    <row r="28" spans="1:22" x14ac:dyDescent="0.25">
      <c r="A28" s="4" t="s">
        <v>117</v>
      </c>
      <c r="B28" s="5">
        <v>45308</v>
      </c>
      <c r="C28" s="4">
        <f>YEAR(Table1_1[[#This Row],[Order Dates]])</f>
        <v>2024</v>
      </c>
      <c r="D28" s="6">
        <f>MONTH(Table1_1[[#This Row],[Order Dates]])</f>
        <v>1</v>
      </c>
      <c r="E28" s="4" t="s">
        <v>56</v>
      </c>
      <c r="F28" s="4" t="s">
        <v>103</v>
      </c>
      <c r="G28" s="4" t="s">
        <v>58</v>
      </c>
      <c r="H28" s="4" t="str">
        <f>TRIM(CLEAN(SUBSTITUTE(Table1_1[[#This Row],[Salesperson]],"   "," ")))</f>
        <v>Karthik Raman</v>
      </c>
      <c r="I28" s="4" t="s">
        <v>19</v>
      </c>
      <c r="J28" s="4" t="s">
        <v>27</v>
      </c>
      <c r="K28" s="4" t="s">
        <v>53</v>
      </c>
      <c r="L28" s="4" t="s">
        <v>1669</v>
      </c>
      <c r="M28" s="4" t="s">
        <v>23</v>
      </c>
      <c r="N28" s="4" t="s">
        <v>24</v>
      </c>
      <c r="O28" s="4">
        <v>4</v>
      </c>
      <c r="P28" s="7">
        <v>43380</v>
      </c>
      <c r="Q28" s="8">
        <v>0.25</v>
      </c>
      <c r="R28" s="7">
        <v>29810</v>
      </c>
      <c r="S28" s="7">
        <f>Table1_1[[#This Row],[Units Sold]]*Table1_1[[#This Row],[Unit Price]]*(1-Table1_1[[#This Row],[Discount %]])</f>
        <v>130140</v>
      </c>
      <c r="T28" s="7">
        <f>Table1_1[[#This Row],[Units Sold]]*Table1_1[[#This Row],[Unit Cost]]</f>
        <v>119240</v>
      </c>
      <c r="U28" s="7">
        <f>Table1_1[[#This Row],[Calculated sales]]-Table1_1[[#This Row],[Total cost]]</f>
        <v>10900</v>
      </c>
      <c r="V28" s="4">
        <f>IFERROR(Table1_1[[#This Row],[Profit/Loss]]/Table1_1[[#This Row],[Calculated sales]],0)</f>
        <v>8.3755955125249734E-2</v>
      </c>
    </row>
    <row r="29" spans="1:22" x14ac:dyDescent="0.25">
      <c r="A29" s="4" t="s">
        <v>118</v>
      </c>
      <c r="B29" s="5">
        <v>45309</v>
      </c>
      <c r="C29" s="4">
        <f>YEAR(Table1_1[[#This Row],[Order Dates]])</f>
        <v>2024</v>
      </c>
      <c r="D29" s="6">
        <f>MONTH(Table1_1[[#This Row],[Order Dates]])</f>
        <v>1</v>
      </c>
      <c r="E29" s="4" t="s">
        <v>56</v>
      </c>
      <c r="F29" s="4" t="s">
        <v>103</v>
      </c>
      <c r="G29" s="4" t="s">
        <v>91</v>
      </c>
      <c r="H29" s="4" t="str">
        <f>TRIM(CLEAN(SUBSTITUTE(Table1_1[[#This Row],[Salesperson]],"   "," ")))</f>
        <v>Anjali Menon</v>
      </c>
      <c r="I29" s="4" t="s">
        <v>19</v>
      </c>
      <c r="J29" s="4" t="s">
        <v>20</v>
      </c>
      <c r="K29" s="4" t="s">
        <v>87</v>
      </c>
      <c r="L29" s="4" t="s">
        <v>1674</v>
      </c>
      <c r="M29" s="4" t="s">
        <v>23</v>
      </c>
      <c r="N29" s="4" t="s">
        <v>119</v>
      </c>
      <c r="O29" s="4">
        <v>4</v>
      </c>
      <c r="P29" s="7">
        <v>54530</v>
      </c>
      <c r="Q29" s="8">
        <v>0.08</v>
      </c>
      <c r="R29" s="7">
        <v>31080</v>
      </c>
      <c r="S29" s="7">
        <f>Table1_1[[#This Row],[Units Sold]]*Table1_1[[#This Row],[Unit Price]]*(1-Table1_1[[#This Row],[Discount %]])</f>
        <v>200670.4</v>
      </c>
      <c r="T29" s="7">
        <f>Table1_1[[#This Row],[Units Sold]]*Table1_1[[#This Row],[Unit Cost]]</f>
        <v>124320</v>
      </c>
      <c r="U29" s="7">
        <f>Table1_1[[#This Row],[Calculated sales]]-Table1_1[[#This Row],[Total cost]]</f>
        <v>76350.399999999994</v>
      </c>
      <c r="V29" s="4">
        <f>IFERROR(Table1_1[[#This Row],[Profit/Loss]]/Table1_1[[#This Row],[Calculated sales]],0)</f>
        <v>0.38047664229502703</v>
      </c>
    </row>
    <row r="30" spans="1:22" x14ac:dyDescent="0.25">
      <c r="A30" s="4" t="s">
        <v>120</v>
      </c>
      <c r="B30" s="5">
        <v>45310</v>
      </c>
      <c r="C30" s="4">
        <f>YEAR(Table1_1[[#This Row],[Order Dates]])</f>
        <v>2024</v>
      </c>
      <c r="D30" s="6">
        <f>MONTH(Table1_1[[#This Row],[Order Dates]])</f>
        <v>1</v>
      </c>
      <c r="E30" s="4" t="s">
        <v>42</v>
      </c>
      <c r="F30" s="4" t="s">
        <v>43</v>
      </c>
      <c r="G30" s="4" t="s">
        <v>44</v>
      </c>
      <c r="H30" s="4" t="str">
        <f>TRIM(CLEAN(SUBSTITUTE(Table1_1[[#This Row],[Salesperson]],"   "," ")))</f>
        <v>Simran Kaur</v>
      </c>
      <c r="I30" s="4" t="s">
        <v>52</v>
      </c>
      <c r="J30" s="4" t="s">
        <v>59</v>
      </c>
      <c r="K30" s="4" t="s">
        <v>69</v>
      </c>
      <c r="L30" s="4" t="s">
        <v>121</v>
      </c>
      <c r="M30" s="4" t="s">
        <v>40</v>
      </c>
      <c r="N30" s="4" t="s">
        <v>35</v>
      </c>
      <c r="O30" s="4">
        <v>9</v>
      </c>
      <c r="P30" s="7">
        <v>3550</v>
      </c>
      <c r="Q30" s="8">
        <v>0.05</v>
      </c>
      <c r="R30" s="7">
        <v>2760</v>
      </c>
      <c r="S30" s="7">
        <f>Table1_1[[#This Row],[Units Sold]]*Table1_1[[#This Row],[Unit Price]]*(1-Table1_1[[#This Row],[Discount %]])</f>
        <v>30352.5</v>
      </c>
      <c r="T30" s="7">
        <f>Table1_1[[#This Row],[Units Sold]]*Table1_1[[#This Row],[Unit Cost]]</f>
        <v>24840</v>
      </c>
      <c r="U30" s="7">
        <f>Table1_1[[#This Row],[Calculated sales]]-Table1_1[[#This Row],[Total cost]]</f>
        <v>5512.5</v>
      </c>
      <c r="V30" s="4">
        <f>IFERROR(Table1_1[[#This Row],[Profit/Loss]]/Table1_1[[#This Row],[Calculated sales]],0)</f>
        <v>0.1816160118606375</v>
      </c>
    </row>
    <row r="31" spans="1:22" x14ac:dyDescent="0.25">
      <c r="A31" s="4" t="s">
        <v>122</v>
      </c>
      <c r="B31" s="5">
        <v>45311</v>
      </c>
      <c r="C31" s="4">
        <f>YEAR(Table1_1[[#This Row],[Order Dates]])</f>
        <v>2024</v>
      </c>
      <c r="D31" s="6">
        <f>MONTH(Table1_1[[#This Row],[Order Dates]])</f>
        <v>1</v>
      </c>
      <c r="E31" s="4" t="s">
        <v>42</v>
      </c>
      <c r="F31" s="4" t="s">
        <v>123</v>
      </c>
      <c r="G31" s="4" t="s">
        <v>44</v>
      </c>
      <c r="H31" s="4" t="str">
        <f>TRIM(CLEAN(SUBSTITUTE(Table1_1[[#This Row],[Salesperson]],"   "," ")))</f>
        <v>Simran Kaur</v>
      </c>
      <c r="I31" s="4" t="s">
        <v>19</v>
      </c>
      <c r="J31" s="4" t="s">
        <v>46</v>
      </c>
      <c r="K31" s="4" t="s">
        <v>47</v>
      </c>
      <c r="L31" s="4" t="s">
        <v>48</v>
      </c>
      <c r="M31" s="4" t="s">
        <v>23</v>
      </c>
      <c r="N31" s="4" t="s">
        <v>24</v>
      </c>
      <c r="O31" s="4">
        <v>20</v>
      </c>
      <c r="P31" s="7">
        <v>1840</v>
      </c>
      <c r="Q31" s="8">
        <v>0.1</v>
      </c>
      <c r="R31" s="7">
        <v>1320</v>
      </c>
      <c r="S31" s="7">
        <f>Table1_1[[#This Row],[Units Sold]]*Table1_1[[#This Row],[Unit Price]]*(1-Table1_1[[#This Row],[Discount %]])</f>
        <v>33120</v>
      </c>
      <c r="T31" s="7">
        <f>Table1_1[[#This Row],[Units Sold]]*Table1_1[[#This Row],[Unit Cost]]</f>
        <v>26400</v>
      </c>
      <c r="U31" s="7">
        <f>Table1_1[[#This Row],[Calculated sales]]-Table1_1[[#This Row],[Total cost]]</f>
        <v>6720</v>
      </c>
      <c r="V31" s="4">
        <f>IFERROR(Table1_1[[#This Row],[Profit/Loss]]/Table1_1[[#This Row],[Calculated sales]],0)</f>
        <v>0.20289855072463769</v>
      </c>
    </row>
    <row r="32" spans="1:22" x14ac:dyDescent="0.25">
      <c r="A32" s="4" t="s">
        <v>124</v>
      </c>
      <c r="B32" s="5">
        <v>45314</v>
      </c>
      <c r="C32" s="4">
        <f>YEAR(Table1_1[[#This Row],[Order Dates]])</f>
        <v>2024</v>
      </c>
      <c r="D32" s="6">
        <f>MONTH(Table1_1[[#This Row],[Order Dates]])</f>
        <v>1</v>
      </c>
      <c r="E32" s="4" t="s">
        <v>76</v>
      </c>
      <c r="F32" s="4" t="s">
        <v>125</v>
      </c>
      <c r="G32" s="4" t="s">
        <v>78</v>
      </c>
      <c r="H32" s="4" t="str">
        <f>TRIM(CLEAN(SUBSTITUTE(Table1_1[[#This Row],[Salesperson]],"   "," ")))</f>
        <v>Pooja Chouhan</v>
      </c>
      <c r="I32" s="4" t="s">
        <v>92</v>
      </c>
      <c r="J32" s="4" t="s">
        <v>20</v>
      </c>
      <c r="K32" s="4" t="s">
        <v>21</v>
      </c>
      <c r="L32" s="4" t="s">
        <v>1670</v>
      </c>
      <c r="M32" s="4" t="s">
        <v>23</v>
      </c>
      <c r="N32" s="4" t="s">
        <v>24</v>
      </c>
      <c r="O32" s="4">
        <v>22</v>
      </c>
      <c r="P32" s="7">
        <v>8470</v>
      </c>
      <c r="Q32" s="8">
        <v>0.2</v>
      </c>
      <c r="R32" s="7">
        <v>6470</v>
      </c>
      <c r="S32" s="7">
        <f>Table1_1[[#This Row],[Units Sold]]*Table1_1[[#This Row],[Unit Price]]*(1-Table1_1[[#This Row],[Discount %]])</f>
        <v>149072</v>
      </c>
      <c r="T32" s="7">
        <f>Table1_1[[#This Row],[Units Sold]]*Table1_1[[#This Row],[Unit Cost]]</f>
        <v>142340</v>
      </c>
      <c r="U32" s="7">
        <f>Table1_1[[#This Row],[Calculated sales]]-Table1_1[[#This Row],[Total cost]]</f>
        <v>6732</v>
      </c>
      <c r="V32" s="4">
        <f>IFERROR(Table1_1[[#This Row],[Profit/Loss]]/Table1_1[[#This Row],[Calculated sales]],0)</f>
        <v>4.5159386068476977E-2</v>
      </c>
    </row>
    <row r="33" spans="1:22" x14ac:dyDescent="0.25">
      <c r="A33" s="4" t="s">
        <v>126</v>
      </c>
      <c r="B33" s="5">
        <v>45314</v>
      </c>
      <c r="C33" s="4">
        <f>YEAR(Table1_1[[#This Row],[Order Dates]])</f>
        <v>2024</v>
      </c>
      <c r="D33" s="6">
        <f>MONTH(Table1_1[[#This Row],[Order Dates]])</f>
        <v>1</v>
      </c>
      <c r="E33" s="4" t="s">
        <v>56</v>
      </c>
      <c r="F33" s="4" t="s">
        <v>127</v>
      </c>
      <c r="G33" s="4" t="s">
        <v>91</v>
      </c>
      <c r="H33" s="4" t="str">
        <f>TRIM(CLEAN(SUBSTITUTE(Table1_1[[#This Row],[Salesperson]],"   "," ")))</f>
        <v>Anjali Menon</v>
      </c>
      <c r="I33" s="4" t="s">
        <v>52</v>
      </c>
      <c r="J33" s="4" t="s">
        <v>46</v>
      </c>
      <c r="K33" s="4" t="s">
        <v>47</v>
      </c>
      <c r="L33" s="4" t="s">
        <v>48</v>
      </c>
      <c r="M33" s="4" t="s">
        <v>23</v>
      </c>
      <c r="N33" s="4" t="s">
        <v>35</v>
      </c>
      <c r="O33" s="4">
        <v>15</v>
      </c>
      <c r="P33" s="7">
        <v>1730</v>
      </c>
      <c r="Q33" s="8">
        <v>0.12</v>
      </c>
      <c r="R33" s="7">
        <v>1130</v>
      </c>
      <c r="S33" s="7">
        <f>Table1_1[[#This Row],[Units Sold]]*Table1_1[[#This Row],[Unit Price]]*(1-Table1_1[[#This Row],[Discount %]])</f>
        <v>22836</v>
      </c>
      <c r="T33" s="7">
        <f>Table1_1[[#This Row],[Units Sold]]*Table1_1[[#This Row],[Unit Cost]]</f>
        <v>16950</v>
      </c>
      <c r="U33" s="7">
        <f>Table1_1[[#This Row],[Calculated sales]]-Table1_1[[#This Row],[Total cost]]</f>
        <v>5886</v>
      </c>
      <c r="V33" s="4">
        <f>IFERROR(Table1_1[[#This Row],[Profit/Loss]]/Table1_1[[#This Row],[Calculated sales]],0)</f>
        <v>0.25775091960063057</v>
      </c>
    </row>
    <row r="34" spans="1:22" x14ac:dyDescent="0.25">
      <c r="A34" s="4" t="s">
        <v>128</v>
      </c>
      <c r="B34" s="5">
        <v>45315</v>
      </c>
      <c r="C34" s="4">
        <f>YEAR(Table1_1[[#This Row],[Order Dates]])</f>
        <v>2024</v>
      </c>
      <c r="D34" s="6">
        <f>MONTH(Table1_1[[#This Row],[Order Dates]])</f>
        <v>1</v>
      </c>
      <c r="E34" s="4" t="s">
        <v>42</v>
      </c>
      <c r="F34" s="4" t="s">
        <v>43</v>
      </c>
      <c r="G34" s="4" t="s">
        <v>64</v>
      </c>
      <c r="H34" s="4" t="str">
        <f>TRIM(CLEAN(SUBSTITUTE(Table1_1[[#This Row],[Salesperson]],"   "," ")))</f>
        <v>Aditya Verma</v>
      </c>
      <c r="I34" s="4" t="s">
        <v>19</v>
      </c>
      <c r="J34" s="4" t="s">
        <v>46</v>
      </c>
      <c r="K34" s="4" t="s">
        <v>47</v>
      </c>
      <c r="L34" s="4" t="s">
        <v>1673</v>
      </c>
      <c r="M34" s="4" t="s">
        <v>23</v>
      </c>
      <c r="N34" s="4" t="s">
        <v>35</v>
      </c>
      <c r="O34" s="4">
        <v>27</v>
      </c>
      <c r="P34" s="7">
        <v>1260</v>
      </c>
      <c r="Q34" s="8">
        <v>0.18</v>
      </c>
      <c r="R34" s="7">
        <v>770</v>
      </c>
      <c r="S34" s="7">
        <f>Table1_1[[#This Row],[Units Sold]]*Table1_1[[#This Row],[Unit Price]]*(1-Table1_1[[#This Row],[Discount %]])</f>
        <v>27896.400000000001</v>
      </c>
      <c r="T34" s="7">
        <f>Table1_1[[#This Row],[Units Sold]]*Table1_1[[#This Row],[Unit Cost]]</f>
        <v>20790</v>
      </c>
      <c r="U34" s="7">
        <f>Table1_1[[#This Row],[Calculated sales]]-Table1_1[[#This Row],[Total cost]]</f>
        <v>7106.4000000000015</v>
      </c>
      <c r="V34" s="4">
        <f>IFERROR(Table1_1[[#This Row],[Profit/Loss]]/Table1_1[[#This Row],[Calculated sales]],0)</f>
        <v>0.25474254742547431</v>
      </c>
    </row>
    <row r="35" spans="1:22" x14ac:dyDescent="0.25">
      <c r="A35" s="4" t="s">
        <v>129</v>
      </c>
      <c r="B35" s="5">
        <v>45315</v>
      </c>
      <c r="C35" s="4">
        <f>YEAR(Table1_1[[#This Row],[Order Dates]])</f>
        <v>2024</v>
      </c>
      <c r="D35" s="6">
        <f>MONTH(Table1_1[[#This Row],[Order Dates]])</f>
        <v>1</v>
      </c>
      <c r="E35" s="4" t="s">
        <v>42</v>
      </c>
      <c r="F35" s="4" t="s">
        <v>130</v>
      </c>
      <c r="G35" s="4" t="s">
        <v>97</v>
      </c>
      <c r="H35" s="4" t="str">
        <f>TRIM(CLEAN(SUBSTITUTE(Table1_1[[#This Row],[Salesperson]],"   "," ")))</f>
        <v>Rohit Malhotra</v>
      </c>
      <c r="I35" s="4" t="s">
        <v>19</v>
      </c>
      <c r="J35" s="4" t="s">
        <v>27</v>
      </c>
      <c r="K35" s="4" t="s">
        <v>53</v>
      </c>
      <c r="L35" s="4" t="s">
        <v>1676</v>
      </c>
      <c r="M35" s="4" t="s">
        <v>23</v>
      </c>
      <c r="N35" s="4" t="s">
        <v>24</v>
      </c>
      <c r="O35" s="4">
        <v>2</v>
      </c>
      <c r="P35" s="7">
        <v>36120</v>
      </c>
      <c r="Q35" s="8">
        <v>0.18</v>
      </c>
      <c r="R35" s="7">
        <v>27540</v>
      </c>
      <c r="S35" s="7">
        <f>Table1_1[[#This Row],[Units Sold]]*Table1_1[[#This Row],[Unit Price]]*(1-Table1_1[[#This Row],[Discount %]])</f>
        <v>59236.800000000003</v>
      </c>
      <c r="T35" s="7">
        <f>Table1_1[[#This Row],[Units Sold]]*Table1_1[[#This Row],[Unit Cost]]</f>
        <v>55080</v>
      </c>
      <c r="U35" s="7">
        <f>Table1_1[[#This Row],[Calculated sales]]-Table1_1[[#This Row],[Total cost]]</f>
        <v>4156.8000000000029</v>
      </c>
      <c r="V35" s="4">
        <f>IFERROR(Table1_1[[#This Row],[Profit/Loss]]/Table1_1[[#This Row],[Calculated sales]],0)</f>
        <v>7.0172595413661817E-2</v>
      </c>
    </row>
    <row r="36" spans="1:22" x14ac:dyDescent="0.25">
      <c r="A36" s="4" t="s">
        <v>132</v>
      </c>
      <c r="B36" s="5">
        <v>45315</v>
      </c>
      <c r="C36" s="4">
        <f>YEAR(Table1_1[[#This Row],[Order Dates]])</f>
        <v>2024</v>
      </c>
      <c r="D36" s="6">
        <f>MONTH(Table1_1[[#This Row],[Order Dates]])</f>
        <v>1</v>
      </c>
      <c r="E36" s="4" t="s">
        <v>56</v>
      </c>
      <c r="F36" s="4" t="s">
        <v>133</v>
      </c>
      <c r="G36" s="4" t="s">
        <v>134</v>
      </c>
      <c r="H36" s="4" t="str">
        <f>TRIM(CLEAN(SUBSTITUTE(Table1_1[[#This Row],[Salesperson]],"   "," ")))</f>
        <v>Divya Nair</v>
      </c>
      <c r="I36" s="4" t="s">
        <v>92</v>
      </c>
      <c r="J36" s="4" t="s">
        <v>46</v>
      </c>
      <c r="K36" s="4" t="s">
        <v>47</v>
      </c>
      <c r="L36" s="4" t="s">
        <v>1673</v>
      </c>
      <c r="M36" s="4" t="s">
        <v>23</v>
      </c>
      <c r="N36" s="4" t="s">
        <v>35</v>
      </c>
      <c r="O36" s="4">
        <v>14</v>
      </c>
      <c r="P36" s="7">
        <v>1220</v>
      </c>
      <c r="Q36" s="8">
        <v>0.05</v>
      </c>
      <c r="R36" s="7">
        <v>930</v>
      </c>
      <c r="S36" s="7">
        <f>Table1_1[[#This Row],[Units Sold]]*Table1_1[[#This Row],[Unit Price]]*(1-Table1_1[[#This Row],[Discount %]])</f>
        <v>16226</v>
      </c>
      <c r="T36" s="7">
        <f>Table1_1[[#This Row],[Units Sold]]*Table1_1[[#This Row],[Unit Cost]]</f>
        <v>13020</v>
      </c>
      <c r="U36" s="7">
        <f>Table1_1[[#This Row],[Calculated sales]]-Table1_1[[#This Row],[Total cost]]</f>
        <v>3206</v>
      </c>
      <c r="V36" s="4">
        <f>IFERROR(Table1_1[[#This Row],[Profit/Loss]]/Table1_1[[#This Row],[Calculated sales]],0)</f>
        <v>0.19758412424503882</v>
      </c>
    </row>
    <row r="37" spans="1:22" x14ac:dyDescent="0.25">
      <c r="A37" s="4" t="s">
        <v>135</v>
      </c>
      <c r="B37" s="5">
        <v>45315</v>
      </c>
      <c r="C37" s="4">
        <f>YEAR(Table1_1[[#This Row],[Order Dates]])</f>
        <v>2024</v>
      </c>
      <c r="D37" s="6">
        <f>MONTH(Table1_1[[#This Row],[Order Dates]])</f>
        <v>1</v>
      </c>
      <c r="E37" s="4" t="s">
        <v>16</v>
      </c>
      <c r="F37" s="4" t="s">
        <v>17</v>
      </c>
      <c r="G37" s="4" t="s">
        <v>26</v>
      </c>
      <c r="H37" s="4" t="str">
        <f>TRIM(CLEAN(SUBSTITUTE(Table1_1[[#This Row],[Salesperson]],"   "," ")))</f>
        <v>Prateek Shah</v>
      </c>
      <c r="I37" s="4" t="s">
        <v>19</v>
      </c>
      <c r="J37" s="4" t="s">
        <v>83</v>
      </c>
      <c r="K37" s="4" t="s">
        <v>136</v>
      </c>
      <c r="L37" s="4" t="s">
        <v>137</v>
      </c>
      <c r="M37" s="4" t="s">
        <v>49</v>
      </c>
      <c r="N37" s="4" t="s">
        <v>24</v>
      </c>
      <c r="O37" s="4">
        <v>23</v>
      </c>
      <c r="P37" s="7">
        <v>1670</v>
      </c>
      <c r="Q37" s="8">
        <v>0.15</v>
      </c>
      <c r="R37" s="7">
        <v>1260</v>
      </c>
      <c r="S37" s="7">
        <f>Table1_1[[#This Row],[Units Sold]]*Table1_1[[#This Row],[Unit Price]]*(1-Table1_1[[#This Row],[Discount %]])</f>
        <v>32648.5</v>
      </c>
      <c r="T37" s="7">
        <f>Table1_1[[#This Row],[Units Sold]]*Table1_1[[#This Row],[Unit Cost]]</f>
        <v>28980</v>
      </c>
      <c r="U37" s="7">
        <f>Table1_1[[#This Row],[Calculated sales]]-Table1_1[[#This Row],[Total cost]]</f>
        <v>3668.5</v>
      </c>
      <c r="V37" s="4">
        <f>IFERROR(Table1_1[[#This Row],[Profit/Loss]]/Table1_1[[#This Row],[Calculated sales]],0)</f>
        <v>0.11236350827756252</v>
      </c>
    </row>
    <row r="38" spans="1:22" x14ac:dyDescent="0.25">
      <c r="A38" s="4" t="s">
        <v>138</v>
      </c>
      <c r="B38" s="5">
        <v>45316</v>
      </c>
      <c r="C38" s="4">
        <f>YEAR(Table1_1[[#This Row],[Order Dates]])</f>
        <v>2024</v>
      </c>
      <c r="D38" s="6">
        <f>MONTH(Table1_1[[#This Row],[Order Dates]])</f>
        <v>1</v>
      </c>
      <c r="E38" s="4" t="s">
        <v>16</v>
      </c>
      <c r="F38" s="4" t="s">
        <v>31</v>
      </c>
      <c r="G38" s="4" t="s">
        <v>18</v>
      </c>
      <c r="H38" s="4" t="str">
        <f>TRIM(CLEAN(SUBSTITUTE(Table1_1[[#This Row],[Salesperson]],"   "," ")))</f>
        <v>Imran Sheikh</v>
      </c>
      <c r="I38" s="4" t="s">
        <v>19</v>
      </c>
      <c r="J38" s="4" t="s">
        <v>20</v>
      </c>
      <c r="K38" s="4" t="s">
        <v>33</v>
      </c>
      <c r="L38" s="4" t="s">
        <v>1677</v>
      </c>
      <c r="M38" s="4" t="s">
        <v>49</v>
      </c>
      <c r="N38" s="4" t="s">
        <v>119</v>
      </c>
      <c r="O38" s="4">
        <v>4</v>
      </c>
      <c r="P38" s="7">
        <v>65160</v>
      </c>
      <c r="Q38" s="8">
        <v>0</v>
      </c>
      <c r="R38" s="7">
        <v>51390</v>
      </c>
      <c r="S38" s="7">
        <f>Table1_1[[#This Row],[Units Sold]]*Table1_1[[#This Row],[Unit Price]]*(1-Table1_1[[#This Row],[Discount %]])</f>
        <v>260640</v>
      </c>
      <c r="T38" s="7">
        <f>Table1_1[[#This Row],[Units Sold]]*Table1_1[[#This Row],[Unit Cost]]</f>
        <v>205560</v>
      </c>
      <c r="U38" s="7">
        <f>Table1_1[[#This Row],[Calculated sales]]-Table1_1[[#This Row],[Total cost]]</f>
        <v>55080</v>
      </c>
      <c r="V38" s="4">
        <f>IFERROR(Table1_1[[#This Row],[Profit/Loss]]/Table1_1[[#This Row],[Calculated sales]],0)</f>
        <v>0.21132596685082872</v>
      </c>
    </row>
    <row r="39" spans="1:22" x14ac:dyDescent="0.25">
      <c r="A39" s="4" t="s">
        <v>140</v>
      </c>
      <c r="B39" s="5">
        <v>45316</v>
      </c>
      <c r="C39" s="4">
        <f>YEAR(Table1_1[[#This Row],[Order Dates]])</f>
        <v>2024</v>
      </c>
      <c r="D39" s="6">
        <f>MONTH(Table1_1[[#This Row],[Order Dates]])</f>
        <v>1</v>
      </c>
      <c r="E39" s="4" t="s">
        <v>16</v>
      </c>
      <c r="F39" s="4" t="s">
        <v>31</v>
      </c>
      <c r="G39" s="4" t="s">
        <v>18</v>
      </c>
      <c r="H39" s="4" t="str">
        <f>TRIM(CLEAN(SUBSTITUTE(Table1_1[[#This Row],[Salesperson]],"   "," ")))</f>
        <v>Imran Sheikh</v>
      </c>
      <c r="I39" s="4" t="s">
        <v>19</v>
      </c>
      <c r="J39" s="4" t="s">
        <v>27</v>
      </c>
      <c r="K39" s="4" t="s">
        <v>28</v>
      </c>
      <c r="L39" s="4" t="s">
        <v>141</v>
      </c>
      <c r="M39" s="4" t="s">
        <v>40</v>
      </c>
      <c r="N39" s="4" t="s">
        <v>24</v>
      </c>
      <c r="O39" s="4">
        <v>1</v>
      </c>
      <c r="P39" s="7">
        <v>15200</v>
      </c>
      <c r="Q39" s="8">
        <v>0</v>
      </c>
      <c r="R39" s="7">
        <v>11670</v>
      </c>
      <c r="S39" s="7">
        <f>Table1_1[[#This Row],[Units Sold]]*Table1_1[[#This Row],[Unit Price]]*(1-Table1_1[[#This Row],[Discount %]])</f>
        <v>15200</v>
      </c>
      <c r="T39" s="7">
        <f>Table1_1[[#This Row],[Units Sold]]*Table1_1[[#This Row],[Unit Cost]]</f>
        <v>11670</v>
      </c>
      <c r="U39" s="7">
        <f>Table1_1[[#This Row],[Calculated sales]]-Table1_1[[#This Row],[Total cost]]</f>
        <v>3530</v>
      </c>
      <c r="V39" s="4">
        <f>IFERROR(Table1_1[[#This Row],[Profit/Loss]]/Table1_1[[#This Row],[Calculated sales]],0)</f>
        <v>0.23223684210526316</v>
      </c>
    </row>
    <row r="40" spans="1:22" x14ac:dyDescent="0.25">
      <c r="A40" s="4" t="s">
        <v>142</v>
      </c>
      <c r="B40" s="5">
        <v>45316</v>
      </c>
      <c r="C40" s="4">
        <f>YEAR(Table1_1[[#This Row],[Order Dates]])</f>
        <v>2024</v>
      </c>
      <c r="D40" s="6">
        <f>MONTH(Table1_1[[#This Row],[Order Dates]])</f>
        <v>1</v>
      </c>
      <c r="E40" s="4" t="s">
        <v>56</v>
      </c>
      <c r="F40" s="4" t="s">
        <v>143</v>
      </c>
      <c r="G40" s="4" t="s">
        <v>134</v>
      </c>
      <c r="H40" s="4" t="str">
        <f>TRIM(CLEAN(SUBSTITUTE(Table1_1[[#This Row],[Salesperson]],"   "," ")))</f>
        <v>Divya Nair</v>
      </c>
      <c r="I40" s="4" t="s">
        <v>19</v>
      </c>
      <c r="J40" s="4" t="s">
        <v>20</v>
      </c>
      <c r="K40" s="4" t="s">
        <v>87</v>
      </c>
      <c r="L40" s="4" t="s">
        <v>1672</v>
      </c>
      <c r="M40" s="4" t="s">
        <v>40</v>
      </c>
      <c r="N40" s="4" t="s">
        <v>94</v>
      </c>
      <c r="O40" s="4">
        <v>4</v>
      </c>
      <c r="P40" s="7">
        <v>34040</v>
      </c>
      <c r="Q40" s="8">
        <v>0.1</v>
      </c>
      <c r="R40" s="7">
        <v>22450</v>
      </c>
      <c r="S40" s="7">
        <f>Table1_1[[#This Row],[Units Sold]]*Table1_1[[#This Row],[Unit Price]]*(1-Table1_1[[#This Row],[Discount %]])</f>
        <v>122544</v>
      </c>
      <c r="T40" s="7">
        <f>Table1_1[[#This Row],[Units Sold]]*Table1_1[[#This Row],[Unit Cost]]</f>
        <v>89800</v>
      </c>
      <c r="U40" s="7">
        <f>Table1_1[[#This Row],[Calculated sales]]-Table1_1[[#This Row],[Total cost]]</f>
        <v>32744</v>
      </c>
      <c r="V40" s="4">
        <f>IFERROR(Table1_1[[#This Row],[Profit/Loss]]/Table1_1[[#This Row],[Calculated sales]],0)</f>
        <v>0.26720198459328892</v>
      </c>
    </row>
    <row r="41" spans="1:22" x14ac:dyDescent="0.25">
      <c r="A41" s="4" t="s">
        <v>144</v>
      </c>
      <c r="B41" s="5">
        <v>45316</v>
      </c>
      <c r="C41" s="4">
        <f>YEAR(Table1_1[[#This Row],[Order Dates]])</f>
        <v>2024</v>
      </c>
      <c r="D41" s="6">
        <f>MONTH(Table1_1[[#This Row],[Order Dates]])</f>
        <v>1</v>
      </c>
      <c r="E41" s="4" t="s">
        <v>37</v>
      </c>
      <c r="F41" s="4" t="s">
        <v>115</v>
      </c>
      <c r="G41" s="4" t="s">
        <v>39</v>
      </c>
      <c r="H41" s="4" t="str">
        <f>TRIM(CLEAN(SUBSTITUTE(Table1_1[[#This Row],[Salesperson]],"   "," ")))</f>
        <v>Sourav Das</v>
      </c>
      <c r="I41" s="4" t="s">
        <v>19</v>
      </c>
      <c r="J41" s="4" t="s">
        <v>83</v>
      </c>
      <c r="K41" s="4" t="s">
        <v>84</v>
      </c>
      <c r="L41" s="4" t="s">
        <v>1671</v>
      </c>
      <c r="M41" s="4" t="s">
        <v>23</v>
      </c>
      <c r="N41" s="4" t="s">
        <v>35</v>
      </c>
      <c r="O41" s="4">
        <v>29</v>
      </c>
      <c r="P41" s="7">
        <v>2440</v>
      </c>
      <c r="Q41" s="8">
        <v>0.08</v>
      </c>
      <c r="R41" s="7">
        <v>1790</v>
      </c>
      <c r="S41" s="7">
        <f>Table1_1[[#This Row],[Units Sold]]*Table1_1[[#This Row],[Unit Price]]*(1-Table1_1[[#This Row],[Discount %]])</f>
        <v>65099.200000000004</v>
      </c>
      <c r="T41" s="7">
        <f>Table1_1[[#This Row],[Units Sold]]*Table1_1[[#This Row],[Unit Cost]]</f>
        <v>51910</v>
      </c>
      <c r="U41" s="7">
        <f>Table1_1[[#This Row],[Calculated sales]]-Table1_1[[#This Row],[Total cost]]</f>
        <v>13189.200000000004</v>
      </c>
      <c r="V41" s="4">
        <f>IFERROR(Table1_1[[#This Row],[Profit/Loss]]/Table1_1[[#This Row],[Calculated sales]],0)</f>
        <v>0.20260156806842486</v>
      </c>
    </row>
    <row r="42" spans="1:22" x14ac:dyDescent="0.25">
      <c r="A42" s="4" t="s">
        <v>145</v>
      </c>
      <c r="B42" s="5">
        <v>45317</v>
      </c>
      <c r="C42" s="4">
        <f>YEAR(Table1_1[[#This Row],[Order Dates]])</f>
        <v>2024</v>
      </c>
      <c r="D42" s="6">
        <f>MONTH(Table1_1[[#This Row],[Order Dates]])</f>
        <v>1</v>
      </c>
      <c r="E42" s="4" t="s">
        <v>42</v>
      </c>
      <c r="F42" s="4" t="s">
        <v>146</v>
      </c>
      <c r="G42" s="4" t="s">
        <v>147</v>
      </c>
      <c r="H42" s="4" t="str">
        <f>TRIM(CLEAN(SUBSTITUTE(Table1_1[[#This Row],[Salesperson]],"   "," ")))</f>
        <v>Simran Kaur</v>
      </c>
      <c r="I42" s="4" t="s">
        <v>45</v>
      </c>
      <c r="J42" s="4" t="s">
        <v>27</v>
      </c>
      <c r="K42" s="4" t="s">
        <v>53</v>
      </c>
      <c r="L42" s="4" t="s">
        <v>1669</v>
      </c>
      <c r="M42" s="4" t="s">
        <v>40</v>
      </c>
      <c r="N42" s="4" t="s">
        <v>24</v>
      </c>
      <c r="O42" s="4">
        <v>8</v>
      </c>
      <c r="P42" s="7">
        <v>40410</v>
      </c>
      <c r="Q42" s="8">
        <v>0.08</v>
      </c>
      <c r="R42" s="7">
        <v>24830</v>
      </c>
      <c r="S42" s="7">
        <f>Table1_1[[#This Row],[Units Sold]]*Table1_1[[#This Row],[Unit Price]]*(1-Table1_1[[#This Row],[Discount %]])</f>
        <v>297417.60000000003</v>
      </c>
      <c r="T42" s="7">
        <f>Table1_1[[#This Row],[Units Sold]]*Table1_1[[#This Row],[Unit Cost]]</f>
        <v>198640</v>
      </c>
      <c r="U42" s="7">
        <f>Table1_1[[#This Row],[Calculated sales]]-Table1_1[[#This Row],[Total cost]]</f>
        <v>98777.600000000035</v>
      </c>
      <c r="V42" s="4">
        <f>IFERROR(Table1_1[[#This Row],[Profit/Loss]]/Table1_1[[#This Row],[Calculated sales]],0)</f>
        <v>0.33211753440280611</v>
      </c>
    </row>
    <row r="43" spans="1:22" x14ac:dyDescent="0.25">
      <c r="A43" s="4" t="s">
        <v>148</v>
      </c>
      <c r="B43" s="5">
        <v>45317</v>
      </c>
      <c r="C43" s="4">
        <f>YEAR(Table1_1[[#This Row],[Order Dates]])</f>
        <v>2024</v>
      </c>
      <c r="D43" s="6">
        <f>MONTH(Table1_1[[#This Row],[Order Dates]])</f>
        <v>1</v>
      </c>
      <c r="E43" s="4" t="s">
        <v>42</v>
      </c>
      <c r="F43" s="4" t="s">
        <v>146</v>
      </c>
      <c r="G43" s="4" t="s">
        <v>64</v>
      </c>
      <c r="H43" s="4" t="str">
        <f>TRIM(CLEAN(SUBSTITUTE(Table1_1[[#This Row],[Salesperson]],"   "," ")))</f>
        <v>Aditya Verma</v>
      </c>
      <c r="I43" s="4" t="s">
        <v>52</v>
      </c>
      <c r="J43" s="4" t="s">
        <v>46</v>
      </c>
      <c r="K43" s="4" t="s">
        <v>100</v>
      </c>
      <c r="L43" s="4" t="s">
        <v>101</v>
      </c>
      <c r="M43" s="4" t="s">
        <v>23</v>
      </c>
      <c r="N43" s="4" t="s">
        <v>24</v>
      </c>
      <c r="O43" s="4">
        <v>14</v>
      </c>
      <c r="P43" s="7">
        <v>1850</v>
      </c>
      <c r="Q43" s="8">
        <v>0.18</v>
      </c>
      <c r="R43" s="7">
        <v>1450</v>
      </c>
      <c r="S43" s="7">
        <f>Table1_1[[#This Row],[Units Sold]]*Table1_1[[#This Row],[Unit Price]]*(1-Table1_1[[#This Row],[Discount %]])</f>
        <v>21238</v>
      </c>
      <c r="T43" s="7">
        <f>Table1_1[[#This Row],[Units Sold]]*Table1_1[[#This Row],[Unit Cost]]</f>
        <v>20300</v>
      </c>
      <c r="U43" s="7">
        <f>Table1_1[[#This Row],[Calculated sales]]-Table1_1[[#This Row],[Total cost]]</f>
        <v>938</v>
      </c>
      <c r="V43" s="4">
        <f>IFERROR(Table1_1[[#This Row],[Profit/Loss]]/Table1_1[[#This Row],[Calculated sales]],0)</f>
        <v>4.4166117336849046E-2</v>
      </c>
    </row>
    <row r="44" spans="1:22" x14ac:dyDescent="0.25">
      <c r="A44" s="4" t="s">
        <v>149</v>
      </c>
      <c r="B44" s="5">
        <v>45318</v>
      </c>
      <c r="C44" s="4">
        <f>YEAR(Table1_1[[#This Row],[Order Dates]])</f>
        <v>2024</v>
      </c>
      <c r="D44" s="6">
        <f>MONTH(Table1_1[[#This Row],[Order Dates]])</f>
        <v>1</v>
      </c>
      <c r="E44" s="4" t="s">
        <v>76</v>
      </c>
      <c r="F44" s="4" t="s">
        <v>150</v>
      </c>
      <c r="G44" s="4" t="s">
        <v>170</v>
      </c>
      <c r="H44" s="4" t="str">
        <f>TRIM(CLEAN(SUBSTITUTE(Table1_1[[#This Row],[Salesperson]],"   "," ")))</f>
        <v>Manish Tiwari</v>
      </c>
      <c r="I44" s="4" t="s">
        <v>92</v>
      </c>
      <c r="J44" s="4" t="s">
        <v>20</v>
      </c>
      <c r="K44" s="4" t="s">
        <v>21</v>
      </c>
      <c r="L44" s="4" t="s">
        <v>1670</v>
      </c>
      <c r="M44" s="4" t="s">
        <v>40</v>
      </c>
      <c r="N44" s="4" t="s">
        <v>24</v>
      </c>
      <c r="O44" s="4">
        <v>20</v>
      </c>
      <c r="P44" s="7">
        <v>8300</v>
      </c>
      <c r="Q44" s="8">
        <v>0.12</v>
      </c>
      <c r="R44" s="7">
        <v>5350</v>
      </c>
      <c r="S44" s="7">
        <f>Table1_1[[#This Row],[Units Sold]]*Table1_1[[#This Row],[Unit Price]]*(1-Table1_1[[#This Row],[Discount %]])</f>
        <v>146080</v>
      </c>
      <c r="T44" s="7">
        <f>Table1_1[[#This Row],[Units Sold]]*Table1_1[[#This Row],[Unit Cost]]</f>
        <v>107000</v>
      </c>
      <c r="U44" s="7">
        <f>Table1_1[[#This Row],[Calculated sales]]-Table1_1[[#This Row],[Total cost]]</f>
        <v>39080</v>
      </c>
      <c r="V44" s="4">
        <f>IFERROR(Table1_1[[#This Row],[Profit/Loss]]/Table1_1[[#This Row],[Calculated sales]],0)</f>
        <v>0.26752464403066811</v>
      </c>
    </row>
    <row r="45" spans="1:22" x14ac:dyDescent="0.25">
      <c r="A45" s="4" t="s">
        <v>152</v>
      </c>
      <c r="B45" s="5">
        <v>45320</v>
      </c>
      <c r="C45" s="4">
        <f>YEAR(Table1_1[[#This Row],[Order Dates]])</f>
        <v>2024</v>
      </c>
      <c r="D45" s="6">
        <f>MONTH(Table1_1[[#This Row],[Order Dates]])</f>
        <v>1</v>
      </c>
      <c r="E45" s="4" t="s">
        <v>16</v>
      </c>
      <c r="F45" s="4" t="s">
        <v>153</v>
      </c>
      <c r="G45" s="4" t="s">
        <v>26</v>
      </c>
      <c r="H45" s="4" t="str">
        <f>TRIM(CLEAN(SUBSTITUTE(Table1_1[[#This Row],[Salesperson]],"   "," ")))</f>
        <v>Prateek Shah</v>
      </c>
      <c r="I45" s="4" t="s">
        <v>19</v>
      </c>
      <c r="J45" s="4" t="s">
        <v>59</v>
      </c>
      <c r="K45" s="4" t="s">
        <v>154</v>
      </c>
      <c r="L45" s="4" t="s">
        <v>155</v>
      </c>
      <c r="M45" s="4" t="s">
        <v>23</v>
      </c>
      <c r="N45" s="4" t="s">
        <v>24</v>
      </c>
      <c r="O45" s="4">
        <v>4</v>
      </c>
      <c r="P45" s="7">
        <v>12180</v>
      </c>
      <c r="Q45" s="8">
        <v>0.15</v>
      </c>
      <c r="R45" s="7">
        <v>8650</v>
      </c>
      <c r="S45" s="7">
        <f>Table1_1[[#This Row],[Units Sold]]*Table1_1[[#This Row],[Unit Price]]*(1-Table1_1[[#This Row],[Discount %]])</f>
        <v>41412</v>
      </c>
      <c r="T45" s="7">
        <f>Table1_1[[#This Row],[Units Sold]]*Table1_1[[#This Row],[Unit Cost]]</f>
        <v>34600</v>
      </c>
      <c r="U45" s="7">
        <f>Table1_1[[#This Row],[Calculated sales]]-Table1_1[[#This Row],[Total cost]]</f>
        <v>6812</v>
      </c>
      <c r="V45" s="4">
        <f>IFERROR(Table1_1[[#This Row],[Profit/Loss]]/Table1_1[[#This Row],[Calculated sales]],0)</f>
        <v>0.16449338356032067</v>
      </c>
    </row>
    <row r="46" spans="1:22" x14ac:dyDescent="0.25">
      <c r="A46" s="4" t="s">
        <v>156</v>
      </c>
      <c r="B46" s="5">
        <v>45320</v>
      </c>
      <c r="C46" s="4">
        <f>YEAR(Table1_1[[#This Row],[Order Dates]])</f>
        <v>2024</v>
      </c>
      <c r="D46" s="6">
        <f>MONTH(Table1_1[[#This Row],[Order Dates]])</f>
        <v>1</v>
      </c>
      <c r="E46" s="4" t="s">
        <v>56</v>
      </c>
      <c r="F46" s="4" t="s">
        <v>133</v>
      </c>
      <c r="G46" s="4" t="s">
        <v>58</v>
      </c>
      <c r="H46" s="4" t="str">
        <f>TRIM(CLEAN(SUBSTITUTE(Table1_1[[#This Row],[Salesperson]],"   "," ")))</f>
        <v>Karthik Raman</v>
      </c>
      <c r="I46" s="4" t="s">
        <v>92</v>
      </c>
      <c r="J46" s="4" t="s">
        <v>20</v>
      </c>
      <c r="K46" s="4" t="s">
        <v>33</v>
      </c>
      <c r="L46" s="4" t="s">
        <v>1677</v>
      </c>
      <c r="M46" s="4" t="s">
        <v>23</v>
      </c>
      <c r="N46" s="4" t="s">
        <v>24</v>
      </c>
      <c r="O46" s="4">
        <v>2</v>
      </c>
      <c r="P46" s="7">
        <v>61050</v>
      </c>
      <c r="Q46" s="8">
        <v>0</v>
      </c>
      <c r="R46" s="7">
        <v>45280</v>
      </c>
      <c r="S46" s="7">
        <f>Table1_1[[#This Row],[Units Sold]]*Table1_1[[#This Row],[Unit Price]]*(1-Table1_1[[#This Row],[Discount %]])</f>
        <v>122100</v>
      </c>
      <c r="T46" s="7">
        <f>Table1_1[[#This Row],[Units Sold]]*Table1_1[[#This Row],[Unit Cost]]</f>
        <v>90560</v>
      </c>
      <c r="U46" s="7">
        <f>Table1_1[[#This Row],[Calculated sales]]-Table1_1[[#This Row],[Total cost]]</f>
        <v>31540</v>
      </c>
      <c r="V46" s="4">
        <f>IFERROR(Table1_1[[#This Row],[Profit/Loss]]/Table1_1[[#This Row],[Calculated sales]],0)</f>
        <v>0.25831285831285833</v>
      </c>
    </row>
    <row r="47" spans="1:22" x14ac:dyDescent="0.25">
      <c r="A47" s="4" t="s">
        <v>157</v>
      </c>
      <c r="B47" s="5">
        <v>45322</v>
      </c>
      <c r="C47" s="4">
        <f>YEAR(Table1_1[[#This Row],[Order Dates]])</f>
        <v>2024</v>
      </c>
      <c r="D47" s="6">
        <f>MONTH(Table1_1[[#This Row],[Order Dates]])</f>
        <v>1</v>
      </c>
      <c r="E47" s="4" t="s">
        <v>56</v>
      </c>
      <c r="F47" s="4" t="s">
        <v>57</v>
      </c>
      <c r="G47" s="4" t="s">
        <v>134</v>
      </c>
      <c r="H47" s="4" t="str">
        <f>TRIM(CLEAN(SUBSTITUTE(Table1_1[[#This Row],[Salesperson]],"   "," ")))</f>
        <v>Divya Nair</v>
      </c>
      <c r="I47" s="4" t="s">
        <v>19</v>
      </c>
      <c r="J47" s="4" t="s">
        <v>46</v>
      </c>
      <c r="K47" s="4" t="s">
        <v>47</v>
      </c>
      <c r="L47" s="4" t="s">
        <v>1673</v>
      </c>
      <c r="M47" s="4" t="s">
        <v>40</v>
      </c>
      <c r="N47" s="4" t="s">
        <v>24</v>
      </c>
      <c r="O47" s="4">
        <v>35</v>
      </c>
      <c r="P47" s="7">
        <v>1290</v>
      </c>
      <c r="Q47" s="8">
        <v>0.1</v>
      </c>
      <c r="R47" s="7">
        <v>750</v>
      </c>
      <c r="S47" s="7">
        <f>Table1_1[[#This Row],[Units Sold]]*Table1_1[[#This Row],[Unit Price]]*(1-Table1_1[[#This Row],[Discount %]])</f>
        <v>40635</v>
      </c>
      <c r="T47" s="7">
        <f>Table1_1[[#This Row],[Units Sold]]*Table1_1[[#This Row],[Unit Cost]]</f>
        <v>26250</v>
      </c>
      <c r="U47" s="7">
        <f>Table1_1[[#This Row],[Calculated sales]]-Table1_1[[#This Row],[Total cost]]</f>
        <v>14385</v>
      </c>
      <c r="V47" s="4">
        <f>IFERROR(Table1_1[[#This Row],[Profit/Loss]]/Table1_1[[#This Row],[Calculated sales]],0)</f>
        <v>0.35400516795865633</v>
      </c>
    </row>
    <row r="48" spans="1:22" x14ac:dyDescent="0.25">
      <c r="A48" s="4" t="s">
        <v>158</v>
      </c>
      <c r="B48" s="5">
        <v>45324</v>
      </c>
      <c r="C48" s="4">
        <f>YEAR(Table1_1[[#This Row],[Order Dates]])</f>
        <v>2024</v>
      </c>
      <c r="D48" s="6">
        <f>MONTH(Table1_1[[#This Row],[Order Dates]])</f>
        <v>2</v>
      </c>
      <c r="E48" s="4" t="s">
        <v>56</v>
      </c>
      <c r="F48" s="4" t="s">
        <v>133</v>
      </c>
      <c r="G48" s="4" t="s">
        <v>134</v>
      </c>
      <c r="H48" s="4" t="str">
        <f>TRIM(CLEAN(SUBSTITUTE(Table1_1[[#This Row],[Salesperson]],"   "," ")))</f>
        <v>Divya Nair</v>
      </c>
      <c r="I48" s="4" t="s">
        <v>52</v>
      </c>
      <c r="J48" s="4" t="s">
        <v>20</v>
      </c>
      <c r="K48" s="4" t="s">
        <v>109</v>
      </c>
      <c r="L48" s="4" t="s">
        <v>159</v>
      </c>
      <c r="M48" s="4" t="s">
        <v>23</v>
      </c>
      <c r="N48" s="4" t="s">
        <v>24</v>
      </c>
      <c r="O48" s="4">
        <v>6</v>
      </c>
      <c r="P48" s="7">
        <v>18340</v>
      </c>
      <c r="Q48" s="8">
        <v>0</v>
      </c>
      <c r="R48" s="7">
        <v>10960</v>
      </c>
      <c r="S48" s="7">
        <f>Table1_1[[#This Row],[Units Sold]]*Table1_1[[#This Row],[Unit Price]]*(1-Table1_1[[#This Row],[Discount %]])</f>
        <v>110040</v>
      </c>
      <c r="T48" s="7">
        <f>Table1_1[[#This Row],[Units Sold]]*Table1_1[[#This Row],[Unit Cost]]</f>
        <v>65760</v>
      </c>
      <c r="U48" s="7">
        <f>Table1_1[[#This Row],[Calculated sales]]-Table1_1[[#This Row],[Total cost]]</f>
        <v>44280</v>
      </c>
      <c r="V48" s="4">
        <f>IFERROR(Table1_1[[#This Row],[Profit/Loss]]/Table1_1[[#This Row],[Calculated sales]],0)</f>
        <v>0.40239912758996726</v>
      </c>
    </row>
    <row r="49" spans="1:22" x14ac:dyDescent="0.25">
      <c r="A49" s="4" t="s">
        <v>160</v>
      </c>
      <c r="B49" s="5">
        <v>45324</v>
      </c>
      <c r="C49" s="4">
        <f>YEAR(Table1_1[[#This Row],[Order Dates]])</f>
        <v>2024</v>
      </c>
      <c r="D49" s="6">
        <f>MONTH(Table1_1[[#This Row],[Order Dates]])</f>
        <v>2</v>
      </c>
      <c r="E49" s="4" t="s">
        <v>37</v>
      </c>
      <c r="F49" s="4" t="s">
        <v>161</v>
      </c>
      <c r="G49" s="4" t="s">
        <v>39</v>
      </c>
      <c r="H49" s="4" t="str">
        <f>TRIM(CLEAN(SUBSTITUTE(Table1_1[[#This Row],[Salesperson]],"   "," ")))</f>
        <v>Sourav Das</v>
      </c>
      <c r="I49" s="4" t="s">
        <v>92</v>
      </c>
      <c r="J49" s="4" t="s">
        <v>27</v>
      </c>
      <c r="K49" s="4" t="s">
        <v>53</v>
      </c>
      <c r="L49" s="4" t="s">
        <v>1676</v>
      </c>
      <c r="M49" s="4" t="s">
        <v>23</v>
      </c>
      <c r="N49" s="4" t="s">
        <v>35</v>
      </c>
      <c r="O49" s="4">
        <v>7</v>
      </c>
      <c r="P49" s="7">
        <v>35270</v>
      </c>
      <c r="Q49" s="8">
        <v>0.15</v>
      </c>
      <c r="R49" s="7">
        <v>20800</v>
      </c>
      <c r="S49" s="7">
        <f>Table1_1[[#This Row],[Units Sold]]*Table1_1[[#This Row],[Unit Price]]*(1-Table1_1[[#This Row],[Discount %]])</f>
        <v>209856.5</v>
      </c>
      <c r="T49" s="7">
        <f>Table1_1[[#This Row],[Units Sold]]*Table1_1[[#This Row],[Unit Cost]]</f>
        <v>145600</v>
      </c>
      <c r="U49" s="7">
        <f>Table1_1[[#This Row],[Calculated sales]]-Table1_1[[#This Row],[Total cost]]</f>
        <v>64256.5</v>
      </c>
      <c r="V49" s="4">
        <f>IFERROR(Table1_1[[#This Row],[Profit/Loss]]/Table1_1[[#This Row],[Calculated sales]],0)</f>
        <v>0.30619256491936159</v>
      </c>
    </row>
    <row r="50" spans="1:22" x14ac:dyDescent="0.25">
      <c r="A50" s="4" t="s">
        <v>162</v>
      </c>
      <c r="B50" s="5">
        <v>45324</v>
      </c>
      <c r="C50" s="4">
        <f>YEAR(Table1_1[[#This Row],[Order Dates]])</f>
        <v>2024</v>
      </c>
      <c r="D50" s="6">
        <f>MONTH(Table1_1[[#This Row],[Order Dates]])</f>
        <v>2</v>
      </c>
      <c r="E50" s="4" t="s">
        <v>56</v>
      </c>
      <c r="F50" s="4" t="s">
        <v>72</v>
      </c>
      <c r="G50" s="4" t="s">
        <v>91</v>
      </c>
      <c r="H50" s="4" t="str">
        <f>TRIM(CLEAN(SUBSTITUTE(Table1_1[[#This Row],[Salesperson]],"   "," ")))</f>
        <v>Anjali Menon</v>
      </c>
      <c r="I50" s="4" t="s">
        <v>19</v>
      </c>
      <c r="J50" s="4" t="s">
        <v>20</v>
      </c>
      <c r="K50" s="4" t="s">
        <v>21</v>
      </c>
      <c r="L50" s="4" t="s">
        <v>1667</v>
      </c>
      <c r="M50" s="4" t="s">
        <v>49</v>
      </c>
      <c r="N50" s="4" t="s">
        <v>24</v>
      </c>
      <c r="O50" s="4">
        <v>35</v>
      </c>
      <c r="P50" s="7">
        <v>1720</v>
      </c>
      <c r="Q50" s="8">
        <v>0.12</v>
      </c>
      <c r="R50" s="7">
        <v>1200</v>
      </c>
      <c r="S50" s="7">
        <f>Table1_1[[#This Row],[Units Sold]]*Table1_1[[#This Row],[Unit Price]]*(1-Table1_1[[#This Row],[Discount %]])</f>
        <v>52976</v>
      </c>
      <c r="T50" s="7">
        <f>Table1_1[[#This Row],[Units Sold]]*Table1_1[[#This Row],[Unit Cost]]</f>
        <v>42000</v>
      </c>
      <c r="U50" s="7">
        <f>Table1_1[[#This Row],[Calculated sales]]-Table1_1[[#This Row],[Total cost]]</f>
        <v>10976</v>
      </c>
      <c r="V50" s="4">
        <f>IFERROR(Table1_1[[#This Row],[Profit/Loss]]/Table1_1[[#This Row],[Calculated sales]],0)</f>
        <v>0.20718816067653276</v>
      </c>
    </row>
    <row r="51" spans="1:22" x14ac:dyDescent="0.25">
      <c r="A51" s="4" t="s">
        <v>163</v>
      </c>
      <c r="B51" s="5">
        <v>45325</v>
      </c>
      <c r="C51" s="4">
        <f>YEAR(Table1_1[[#This Row],[Order Dates]])</f>
        <v>2024</v>
      </c>
      <c r="D51" s="6">
        <f>MONTH(Table1_1[[#This Row],[Order Dates]])</f>
        <v>2</v>
      </c>
      <c r="E51" s="4" t="s">
        <v>56</v>
      </c>
      <c r="F51" s="4" t="s">
        <v>57</v>
      </c>
      <c r="G51" s="4" t="s">
        <v>91</v>
      </c>
      <c r="H51" s="4" t="str">
        <f>TRIM(CLEAN(SUBSTITUTE(Table1_1[[#This Row],[Salesperson]],"   "," ")))</f>
        <v>Anjali Menon</v>
      </c>
      <c r="I51" s="4" t="s">
        <v>19</v>
      </c>
      <c r="J51" s="4" t="s">
        <v>20</v>
      </c>
      <c r="K51" s="4" t="s">
        <v>33</v>
      </c>
      <c r="L51" s="4" t="s">
        <v>34</v>
      </c>
      <c r="M51" s="4" t="s">
        <v>49</v>
      </c>
      <c r="N51" s="4" t="s">
        <v>24</v>
      </c>
      <c r="O51" s="4">
        <v>4</v>
      </c>
      <c r="P51" s="7">
        <v>55710</v>
      </c>
      <c r="Q51" s="8">
        <v>0.18</v>
      </c>
      <c r="R51" s="7">
        <v>32900</v>
      </c>
      <c r="S51" s="7">
        <f>Table1_1[[#This Row],[Units Sold]]*Table1_1[[#This Row],[Unit Price]]*(1-Table1_1[[#This Row],[Discount %]])</f>
        <v>182728.80000000002</v>
      </c>
      <c r="T51" s="7">
        <f>Table1_1[[#This Row],[Units Sold]]*Table1_1[[#This Row],[Unit Cost]]</f>
        <v>131600</v>
      </c>
      <c r="U51" s="7">
        <f>Table1_1[[#This Row],[Calculated sales]]-Table1_1[[#This Row],[Total cost]]</f>
        <v>51128.800000000017</v>
      </c>
      <c r="V51" s="4">
        <f>IFERROR(Table1_1[[#This Row],[Profit/Loss]]/Table1_1[[#This Row],[Calculated sales]],0)</f>
        <v>0.27980701454833617</v>
      </c>
    </row>
    <row r="52" spans="1:22" x14ac:dyDescent="0.25">
      <c r="A52" s="4" t="s">
        <v>164</v>
      </c>
      <c r="B52" s="5">
        <v>45325</v>
      </c>
      <c r="C52" s="4">
        <f>YEAR(Table1_1[[#This Row],[Order Dates]])</f>
        <v>2024</v>
      </c>
      <c r="D52" s="6">
        <f>MONTH(Table1_1[[#This Row],[Order Dates]])</f>
        <v>2</v>
      </c>
      <c r="E52" s="4" t="s">
        <v>16</v>
      </c>
      <c r="F52" s="4" t="s">
        <v>51</v>
      </c>
      <c r="G52" s="4" t="s">
        <v>32</v>
      </c>
      <c r="H52" s="4" t="str">
        <f>TRIM(CLEAN(SUBSTITUTE(Table1_1[[#This Row],[Salesperson]],"   "," ")))</f>
        <v>Neha Deshpande</v>
      </c>
      <c r="I52" s="4" t="s">
        <v>19</v>
      </c>
      <c r="J52" s="4" t="s">
        <v>27</v>
      </c>
      <c r="K52" s="4" t="s">
        <v>28</v>
      </c>
      <c r="L52" s="4" t="s">
        <v>1668</v>
      </c>
      <c r="M52" s="4" t="s">
        <v>49</v>
      </c>
      <c r="N52" s="4" t="s">
        <v>35</v>
      </c>
      <c r="O52" s="4">
        <v>6</v>
      </c>
      <c r="P52" s="7">
        <v>27990</v>
      </c>
      <c r="Q52" s="8">
        <v>0</v>
      </c>
      <c r="R52" s="7">
        <v>18930</v>
      </c>
      <c r="S52" s="7">
        <f>Table1_1[[#This Row],[Units Sold]]*Table1_1[[#This Row],[Unit Price]]*(1-Table1_1[[#This Row],[Discount %]])</f>
        <v>167940</v>
      </c>
      <c r="T52" s="7">
        <f>Table1_1[[#This Row],[Units Sold]]*Table1_1[[#This Row],[Unit Cost]]</f>
        <v>113580</v>
      </c>
      <c r="U52" s="7">
        <f>Table1_1[[#This Row],[Calculated sales]]-Table1_1[[#This Row],[Total cost]]</f>
        <v>54360</v>
      </c>
      <c r="V52" s="4">
        <f>IFERROR(Table1_1[[#This Row],[Profit/Loss]]/Table1_1[[#This Row],[Calculated sales]],0)</f>
        <v>0.3236870310825295</v>
      </c>
    </row>
    <row r="53" spans="1:22" x14ac:dyDescent="0.25">
      <c r="A53" s="4" t="s">
        <v>165</v>
      </c>
      <c r="B53" s="5">
        <v>45325</v>
      </c>
      <c r="C53" s="4">
        <f>YEAR(Table1_1[[#This Row],[Order Dates]])</f>
        <v>2024</v>
      </c>
      <c r="D53" s="6">
        <f>MONTH(Table1_1[[#This Row],[Order Dates]])</f>
        <v>2</v>
      </c>
      <c r="E53" s="4" t="s">
        <v>37</v>
      </c>
      <c r="F53" s="4" t="s">
        <v>166</v>
      </c>
      <c r="G53" s="4" t="s">
        <v>68</v>
      </c>
      <c r="H53" s="4" t="str">
        <f>TRIM(CLEAN(SUBSTITUTE(Table1_1[[#This Row],[Salesperson]],"   "," ")))</f>
        <v>Ritika Ghosh</v>
      </c>
      <c r="I53" s="4" t="s">
        <v>92</v>
      </c>
      <c r="J53" s="4" t="s">
        <v>59</v>
      </c>
      <c r="K53" s="4" t="s">
        <v>69</v>
      </c>
      <c r="L53" s="4" t="s">
        <v>121</v>
      </c>
      <c r="M53" s="4" t="s">
        <v>49</v>
      </c>
      <c r="N53" s="4" t="s">
        <v>94</v>
      </c>
      <c r="O53" s="4">
        <v>18</v>
      </c>
      <c r="P53" s="7">
        <v>3650</v>
      </c>
      <c r="Q53" s="8">
        <v>0.15</v>
      </c>
      <c r="R53" s="7">
        <v>2720</v>
      </c>
      <c r="S53" s="7">
        <f>Table1_1[[#This Row],[Units Sold]]*Table1_1[[#This Row],[Unit Price]]*(1-Table1_1[[#This Row],[Discount %]])</f>
        <v>55845</v>
      </c>
      <c r="T53" s="7">
        <f>Table1_1[[#This Row],[Units Sold]]*Table1_1[[#This Row],[Unit Cost]]</f>
        <v>48960</v>
      </c>
      <c r="U53" s="7">
        <f>Table1_1[[#This Row],[Calculated sales]]-Table1_1[[#This Row],[Total cost]]</f>
        <v>6885</v>
      </c>
      <c r="V53" s="4">
        <f>IFERROR(Table1_1[[#This Row],[Profit/Loss]]/Table1_1[[#This Row],[Calculated sales]],0)</f>
        <v>0.12328767123287671</v>
      </c>
    </row>
    <row r="54" spans="1:22" x14ac:dyDescent="0.25">
      <c r="A54" s="4" t="s">
        <v>167</v>
      </c>
      <c r="B54" s="5">
        <v>45326</v>
      </c>
      <c r="C54" s="4">
        <f>YEAR(Table1_1[[#This Row],[Order Dates]])</f>
        <v>2024</v>
      </c>
      <c r="D54" s="6">
        <f>MONTH(Table1_1[[#This Row],[Order Dates]])</f>
        <v>2</v>
      </c>
      <c r="E54" s="4" t="s">
        <v>16</v>
      </c>
      <c r="F54" s="4" t="s">
        <v>31</v>
      </c>
      <c r="G54" s="4" t="s">
        <v>18</v>
      </c>
      <c r="H54" s="4" t="str">
        <f>TRIM(CLEAN(SUBSTITUTE(Table1_1[[#This Row],[Salesperson]],"   "," ")))</f>
        <v>Imran Sheikh</v>
      </c>
      <c r="I54" s="4" t="s">
        <v>19</v>
      </c>
      <c r="J54" s="4" t="s">
        <v>27</v>
      </c>
      <c r="K54" s="4" t="s">
        <v>79</v>
      </c>
      <c r="L54" s="4" t="s">
        <v>168</v>
      </c>
      <c r="M54" s="4" t="s">
        <v>49</v>
      </c>
      <c r="N54" s="4" t="s">
        <v>24</v>
      </c>
      <c r="O54" s="4">
        <v>14</v>
      </c>
      <c r="P54" s="7">
        <v>9750</v>
      </c>
      <c r="Q54" s="8">
        <v>0.08</v>
      </c>
      <c r="R54" s="7">
        <v>6790</v>
      </c>
      <c r="S54" s="7">
        <f>Table1_1[[#This Row],[Units Sold]]*Table1_1[[#This Row],[Unit Price]]*(1-Table1_1[[#This Row],[Discount %]])</f>
        <v>125580</v>
      </c>
      <c r="T54" s="7">
        <f>Table1_1[[#This Row],[Units Sold]]*Table1_1[[#This Row],[Unit Cost]]</f>
        <v>95060</v>
      </c>
      <c r="U54" s="7">
        <f>Table1_1[[#This Row],[Calculated sales]]-Table1_1[[#This Row],[Total cost]]</f>
        <v>30520</v>
      </c>
      <c r="V54" s="4">
        <f>IFERROR(Table1_1[[#This Row],[Profit/Loss]]/Table1_1[[#This Row],[Calculated sales]],0)</f>
        <v>0.24303232998885171</v>
      </c>
    </row>
    <row r="55" spans="1:22" x14ac:dyDescent="0.25">
      <c r="A55" s="4" t="s">
        <v>169</v>
      </c>
      <c r="B55" s="5">
        <v>45327</v>
      </c>
      <c r="C55" s="4">
        <f>YEAR(Table1_1[[#This Row],[Order Dates]])</f>
        <v>2024</v>
      </c>
      <c r="D55" s="6">
        <f>MONTH(Table1_1[[#This Row],[Order Dates]])</f>
        <v>2</v>
      </c>
      <c r="E55" s="4" t="s">
        <v>76</v>
      </c>
      <c r="F55" s="4" t="s">
        <v>99</v>
      </c>
      <c r="G55" s="4" t="s">
        <v>170</v>
      </c>
      <c r="H55" s="4" t="str">
        <f>TRIM(CLEAN(SUBSTITUTE(Table1_1[[#This Row],[Salesperson]],"   "," ")))</f>
        <v>Manish Tiwari</v>
      </c>
      <c r="I55" s="4" t="s">
        <v>19</v>
      </c>
      <c r="J55" s="4" t="s">
        <v>20</v>
      </c>
      <c r="K55" s="4" t="s">
        <v>109</v>
      </c>
      <c r="L55" s="4" t="s">
        <v>171</v>
      </c>
      <c r="M55" s="4" t="s">
        <v>40</v>
      </c>
      <c r="N55" s="4" t="s">
        <v>35</v>
      </c>
      <c r="O55" s="4">
        <v>7</v>
      </c>
      <c r="P55" s="7">
        <v>21360</v>
      </c>
      <c r="Q55" s="8">
        <v>0</v>
      </c>
      <c r="R55" s="7">
        <v>14570</v>
      </c>
      <c r="S55" s="7">
        <f>Table1_1[[#This Row],[Units Sold]]*Table1_1[[#This Row],[Unit Price]]*(1-Table1_1[[#This Row],[Discount %]])</f>
        <v>149520</v>
      </c>
      <c r="T55" s="7">
        <f>Table1_1[[#This Row],[Units Sold]]*Table1_1[[#This Row],[Unit Cost]]</f>
        <v>101990</v>
      </c>
      <c r="U55" s="7">
        <f>Table1_1[[#This Row],[Calculated sales]]-Table1_1[[#This Row],[Total cost]]</f>
        <v>47530</v>
      </c>
      <c r="V55" s="4">
        <f>IFERROR(Table1_1[[#This Row],[Profit/Loss]]/Table1_1[[#This Row],[Calculated sales]],0)</f>
        <v>0.31788389513108617</v>
      </c>
    </row>
    <row r="56" spans="1:22" x14ac:dyDescent="0.25">
      <c r="A56" s="4" t="s">
        <v>172</v>
      </c>
      <c r="B56" s="5">
        <v>45329</v>
      </c>
      <c r="C56" s="4">
        <f>YEAR(Table1_1[[#This Row],[Order Dates]])</f>
        <v>2024</v>
      </c>
      <c r="D56" s="6">
        <f>MONTH(Table1_1[[#This Row],[Order Dates]])</f>
        <v>2</v>
      </c>
      <c r="E56" s="4" t="s">
        <v>56</v>
      </c>
      <c r="F56" s="4" t="s">
        <v>57</v>
      </c>
      <c r="G56" s="4" t="s">
        <v>91</v>
      </c>
      <c r="H56" s="4" t="str">
        <f>TRIM(CLEAN(SUBSTITUTE(Table1_1[[#This Row],[Salesperson]],"   "," ")))</f>
        <v>Anjali Menon</v>
      </c>
      <c r="I56" s="4" t="s">
        <v>92</v>
      </c>
      <c r="J56" s="4" t="s">
        <v>20</v>
      </c>
      <c r="K56" s="4" t="s">
        <v>21</v>
      </c>
      <c r="L56" s="4" t="s">
        <v>1670</v>
      </c>
      <c r="M56" s="4" t="s">
        <v>40</v>
      </c>
      <c r="N56" s="4" t="s">
        <v>94</v>
      </c>
      <c r="O56" s="4">
        <v>17</v>
      </c>
      <c r="P56" s="7">
        <v>8910</v>
      </c>
      <c r="Q56" s="8">
        <v>0.05</v>
      </c>
      <c r="R56" s="7">
        <v>6350</v>
      </c>
      <c r="S56" s="7">
        <f>Table1_1[[#This Row],[Units Sold]]*Table1_1[[#This Row],[Unit Price]]*(1-Table1_1[[#This Row],[Discount %]])</f>
        <v>143896.5</v>
      </c>
      <c r="T56" s="7">
        <f>Table1_1[[#This Row],[Units Sold]]*Table1_1[[#This Row],[Unit Cost]]</f>
        <v>107950</v>
      </c>
      <c r="U56" s="7">
        <f>Table1_1[[#This Row],[Calculated sales]]-Table1_1[[#This Row],[Total cost]]</f>
        <v>35946.5</v>
      </c>
      <c r="V56" s="4">
        <f>IFERROR(Table1_1[[#This Row],[Profit/Loss]]/Table1_1[[#This Row],[Calculated sales]],0)</f>
        <v>0.2498080217378463</v>
      </c>
    </row>
    <row r="57" spans="1:22" x14ac:dyDescent="0.25">
      <c r="A57" s="4" t="s">
        <v>173</v>
      </c>
      <c r="B57" s="5">
        <v>45329</v>
      </c>
      <c r="C57" s="4">
        <f>YEAR(Table1_1[[#This Row],[Order Dates]])</f>
        <v>2024</v>
      </c>
      <c r="D57" s="6">
        <f>MONTH(Table1_1[[#This Row],[Order Dates]])</f>
        <v>2</v>
      </c>
      <c r="E57" s="4" t="s">
        <v>16</v>
      </c>
      <c r="F57" s="4" t="s">
        <v>17</v>
      </c>
      <c r="G57" s="4" t="s">
        <v>32</v>
      </c>
      <c r="H57" s="4" t="str">
        <f>TRIM(CLEAN(SUBSTITUTE(Table1_1[[#This Row],[Salesperson]],"   "," ")))</f>
        <v>Neha Deshpande</v>
      </c>
      <c r="I57" s="4" t="s">
        <v>92</v>
      </c>
      <c r="J57" s="4" t="s">
        <v>46</v>
      </c>
      <c r="K57" s="4" t="s">
        <v>100</v>
      </c>
      <c r="L57" s="4" t="s">
        <v>101</v>
      </c>
      <c r="M57" s="4" t="s">
        <v>40</v>
      </c>
      <c r="N57" s="4" t="s">
        <v>35</v>
      </c>
      <c r="O57" s="4">
        <v>26</v>
      </c>
      <c r="P57" s="7">
        <v>1950</v>
      </c>
      <c r="Q57" s="8">
        <v>0.05</v>
      </c>
      <c r="R57" s="7">
        <v>1430</v>
      </c>
      <c r="S57" s="7">
        <f>Table1_1[[#This Row],[Units Sold]]*Table1_1[[#This Row],[Unit Price]]*(1-Table1_1[[#This Row],[Discount %]])</f>
        <v>48165</v>
      </c>
      <c r="T57" s="7">
        <f>Table1_1[[#This Row],[Units Sold]]*Table1_1[[#This Row],[Unit Cost]]</f>
        <v>37180</v>
      </c>
      <c r="U57" s="7">
        <f>Table1_1[[#This Row],[Calculated sales]]-Table1_1[[#This Row],[Total cost]]</f>
        <v>10985</v>
      </c>
      <c r="V57" s="4">
        <f>IFERROR(Table1_1[[#This Row],[Profit/Loss]]/Table1_1[[#This Row],[Calculated sales]],0)</f>
        <v>0.22807017543859648</v>
      </c>
    </row>
    <row r="58" spans="1:22" x14ac:dyDescent="0.25">
      <c r="A58" s="4" t="s">
        <v>174</v>
      </c>
      <c r="B58" s="5">
        <v>45330</v>
      </c>
      <c r="C58" s="4">
        <f>YEAR(Table1_1[[#This Row],[Order Dates]])</f>
        <v>2024</v>
      </c>
      <c r="D58" s="6">
        <f>MONTH(Table1_1[[#This Row],[Order Dates]])</f>
        <v>2</v>
      </c>
      <c r="E58" s="4" t="s">
        <v>56</v>
      </c>
      <c r="F58" s="4" t="s">
        <v>72</v>
      </c>
      <c r="G58" s="4" t="s">
        <v>134</v>
      </c>
      <c r="H58" s="4" t="str">
        <f>TRIM(CLEAN(SUBSTITUTE(Table1_1[[#This Row],[Salesperson]],"   "," ")))</f>
        <v>Divya Nair</v>
      </c>
      <c r="I58" s="4" t="s">
        <v>19</v>
      </c>
      <c r="J58" s="4" t="s">
        <v>59</v>
      </c>
      <c r="K58" s="4" t="s">
        <v>73</v>
      </c>
      <c r="L58" s="4" t="s">
        <v>74</v>
      </c>
      <c r="M58" s="4" t="s">
        <v>49</v>
      </c>
      <c r="N58" s="4" t="s">
        <v>24</v>
      </c>
      <c r="O58" s="4">
        <v>3</v>
      </c>
      <c r="P58" s="7">
        <v>48550</v>
      </c>
      <c r="Q58" s="8">
        <v>0</v>
      </c>
      <c r="R58" s="7">
        <v>34160</v>
      </c>
      <c r="S58" s="7">
        <f>Table1_1[[#This Row],[Units Sold]]*Table1_1[[#This Row],[Unit Price]]*(1-Table1_1[[#This Row],[Discount %]])</f>
        <v>145650</v>
      </c>
      <c r="T58" s="7">
        <f>Table1_1[[#This Row],[Units Sold]]*Table1_1[[#This Row],[Unit Cost]]</f>
        <v>102480</v>
      </c>
      <c r="U58" s="7">
        <f>Table1_1[[#This Row],[Calculated sales]]-Table1_1[[#This Row],[Total cost]]</f>
        <v>43170</v>
      </c>
      <c r="V58" s="4">
        <f>IFERROR(Table1_1[[#This Row],[Profit/Loss]]/Table1_1[[#This Row],[Calculated sales]],0)</f>
        <v>0.29639546858908344</v>
      </c>
    </row>
    <row r="59" spans="1:22" x14ac:dyDescent="0.25">
      <c r="A59" s="4" t="s">
        <v>175</v>
      </c>
      <c r="B59" s="5">
        <v>45334</v>
      </c>
      <c r="C59" s="4">
        <f>YEAR(Table1_1[[#This Row],[Order Dates]])</f>
        <v>2024</v>
      </c>
      <c r="D59" s="6">
        <f>MONTH(Table1_1[[#This Row],[Order Dates]])</f>
        <v>2</v>
      </c>
      <c r="E59" s="4" t="s">
        <v>42</v>
      </c>
      <c r="F59" s="4" t="s">
        <v>96</v>
      </c>
      <c r="G59" s="4" t="s">
        <v>176</v>
      </c>
      <c r="H59" s="4" t="str">
        <f>TRIM(CLEAN(SUBSTITUTE(Table1_1[[#This Row],[Salesperson]],"   "," ")))</f>
        <v>Aditya Verma</v>
      </c>
      <c r="I59" s="4" t="s">
        <v>52</v>
      </c>
      <c r="J59" s="4" t="s">
        <v>46</v>
      </c>
      <c r="K59" s="4" t="s">
        <v>100</v>
      </c>
      <c r="L59" s="4" t="s">
        <v>177</v>
      </c>
      <c r="M59" s="4" t="s">
        <v>23</v>
      </c>
      <c r="N59" s="4" t="s">
        <v>24</v>
      </c>
      <c r="O59" s="4">
        <v>27</v>
      </c>
      <c r="P59" s="7">
        <v>2470</v>
      </c>
      <c r="Q59" s="8">
        <v>0.15</v>
      </c>
      <c r="R59" s="7">
        <v>1660</v>
      </c>
      <c r="S59" s="7">
        <f>Table1_1[[#This Row],[Units Sold]]*Table1_1[[#This Row],[Unit Price]]*(1-Table1_1[[#This Row],[Discount %]])</f>
        <v>56686.5</v>
      </c>
      <c r="T59" s="7">
        <f>Table1_1[[#This Row],[Units Sold]]*Table1_1[[#This Row],[Unit Cost]]</f>
        <v>44820</v>
      </c>
      <c r="U59" s="7">
        <f>Table1_1[[#This Row],[Calculated sales]]-Table1_1[[#This Row],[Total cost]]</f>
        <v>11866.5</v>
      </c>
      <c r="V59" s="4">
        <f>IFERROR(Table1_1[[#This Row],[Profit/Loss]]/Table1_1[[#This Row],[Calculated sales]],0)</f>
        <v>0.2093355560847821</v>
      </c>
    </row>
    <row r="60" spans="1:22" x14ac:dyDescent="0.25">
      <c r="A60" s="4" t="s">
        <v>178</v>
      </c>
      <c r="B60" s="5">
        <v>45334</v>
      </c>
      <c r="C60" s="4">
        <f>YEAR(Table1_1[[#This Row],[Order Dates]])</f>
        <v>2024</v>
      </c>
      <c r="D60" s="6">
        <f>MONTH(Table1_1[[#This Row],[Order Dates]])</f>
        <v>2</v>
      </c>
      <c r="E60" s="4" t="s">
        <v>16</v>
      </c>
      <c r="F60" s="4" t="s">
        <v>51</v>
      </c>
      <c r="G60" s="4" t="s">
        <v>26</v>
      </c>
      <c r="H60" s="4" t="str">
        <f>TRIM(CLEAN(SUBSTITUTE(Table1_1[[#This Row],[Salesperson]],"   "," ")))</f>
        <v>Prateek Shah</v>
      </c>
      <c r="I60" s="4" t="s">
        <v>45</v>
      </c>
      <c r="J60" s="4" t="s">
        <v>46</v>
      </c>
      <c r="K60" s="4" t="s">
        <v>179</v>
      </c>
      <c r="L60" s="4" t="s">
        <v>180</v>
      </c>
      <c r="M60" s="4" t="s">
        <v>23</v>
      </c>
      <c r="N60" s="4" t="s">
        <v>24</v>
      </c>
      <c r="O60" s="4">
        <v>9</v>
      </c>
      <c r="P60" s="7">
        <v>3960</v>
      </c>
      <c r="Q60" s="8">
        <v>0.05</v>
      </c>
      <c r="R60" s="7">
        <v>2580</v>
      </c>
      <c r="S60" s="7">
        <f>Table1_1[[#This Row],[Units Sold]]*Table1_1[[#This Row],[Unit Price]]*(1-Table1_1[[#This Row],[Discount %]])</f>
        <v>33858</v>
      </c>
      <c r="T60" s="7">
        <f>Table1_1[[#This Row],[Units Sold]]*Table1_1[[#This Row],[Unit Cost]]</f>
        <v>23220</v>
      </c>
      <c r="U60" s="7">
        <f>Table1_1[[#This Row],[Calculated sales]]-Table1_1[[#This Row],[Total cost]]</f>
        <v>10638</v>
      </c>
      <c r="V60" s="4">
        <f>IFERROR(Table1_1[[#This Row],[Profit/Loss]]/Table1_1[[#This Row],[Calculated sales]],0)</f>
        <v>0.31419457735247208</v>
      </c>
    </row>
    <row r="61" spans="1:22" x14ac:dyDescent="0.25">
      <c r="A61" s="4" t="s">
        <v>181</v>
      </c>
      <c r="B61" s="5">
        <v>45335</v>
      </c>
      <c r="C61" s="4">
        <f>YEAR(Table1_1[[#This Row],[Order Dates]])</f>
        <v>2024</v>
      </c>
      <c r="D61" s="6">
        <f>MONTH(Table1_1[[#This Row],[Order Dates]])</f>
        <v>2</v>
      </c>
      <c r="E61" s="4" t="s">
        <v>16</v>
      </c>
      <c r="F61" s="4" t="s">
        <v>31</v>
      </c>
      <c r="G61" s="4" t="s">
        <v>26</v>
      </c>
      <c r="H61" s="4" t="str">
        <f>TRIM(CLEAN(SUBSTITUTE(Table1_1[[#This Row],[Salesperson]],"   "," ")))</f>
        <v>Prateek Shah</v>
      </c>
      <c r="I61" s="4" t="s">
        <v>19</v>
      </c>
      <c r="J61" s="4" t="s">
        <v>20</v>
      </c>
      <c r="K61" s="4" t="s">
        <v>33</v>
      </c>
      <c r="L61" s="4" t="s">
        <v>1678</v>
      </c>
      <c r="M61" s="4" t="s">
        <v>40</v>
      </c>
      <c r="N61" s="4" t="s">
        <v>24</v>
      </c>
      <c r="O61" s="4">
        <v>2</v>
      </c>
      <c r="P61" s="7">
        <v>101570</v>
      </c>
      <c r="Q61" s="8">
        <v>0.08</v>
      </c>
      <c r="R61" s="7">
        <v>72550</v>
      </c>
      <c r="S61" s="7">
        <f>Table1_1[[#This Row],[Units Sold]]*Table1_1[[#This Row],[Unit Price]]*(1-Table1_1[[#This Row],[Discount %]])</f>
        <v>186888.80000000002</v>
      </c>
      <c r="T61" s="7">
        <f>Table1_1[[#This Row],[Units Sold]]*Table1_1[[#This Row],[Unit Cost]]</f>
        <v>145100</v>
      </c>
      <c r="U61" s="7">
        <f>Table1_1[[#This Row],[Calculated sales]]-Table1_1[[#This Row],[Total cost]]</f>
        <v>41788.800000000017</v>
      </c>
      <c r="V61" s="4">
        <f>IFERROR(Table1_1[[#This Row],[Profit/Loss]]/Table1_1[[#This Row],[Calculated sales]],0)</f>
        <v>0.22360248447204975</v>
      </c>
    </row>
    <row r="62" spans="1:22" x14ac:dyDescent="0.25">
      <c r="A62" s="4" t="s">
        <v>183</v>
      </c>
      <c r="B62" s="5">
        <v>45336</v>
      </c>
      <c r="C62" s="4">
        <f>YEAR(Table1_1[[#This Row],[Order Dates]])</f>
        <v>2024</v>
      </c>
      <c r="D62" s="6">
        <f>MONTH(Table1_1[[#This Row],[Order Dates]])</f>
        <v>2</v>
      </c>
      <c r="E62" s="4" t="s">
        <v>37</v>
      </c>
      <c r="F62" s="4" t="s">
        <v>67</v>
      </c>
      <c r="G62" s="4" t="s">
        <v>39</v>
      </c>
      <c r="H62" s="4" t="str">
        <f>TRIM(CLEAN(SUBSTITUTE(Table1_1[[#This Row],[Salesperson]],"   "," ")))</f>
        <v>Sourav Das</v>
      </c>
      <c r="I62" s="4" t="s">
        <v>19</v>
      </c>
      <c r="J62" s="4" t="s">
        <v>83</v>
      </c>
      <c r="K62" s="4" t="s">
        <v>184</v>
      </c>
      <c r="L62" s="4" t="s">
        <v>1679</v>
      </c>
      <c r="M62" s="4" t="s">
        <v>49</v>
      </c>
      <c r="N62" s="4" t="s">
        <v>35</v>
      </c>
      <c r="O62" s="4">
        <v>13</v>
      </c>
      <c r="P62" s="7">
        <v>4570</v>
      </c>
      <c r="Q62" s="8">
        <v>0.2</v>
      </c>
      <c r="R62" s="7">
        <v>3570</v>
      </c>
      <c r="S62" s="7">
        <f>Table1_1[[#This Row],[Units Sold]]*Table1_1[[#This Row],[Unit Price]]*(1-Table1_1[[#This Row],[Discount %]])</f>
        <v>47528</v>
      </c>
      <c r="T62" s="7">
        <f>Table1_1[[#This Row],[Units Sold]]*Table1_1[[#This Row],[Unit Cost]]</f>
        <v>46410</v>
      </c>
      <c r="U62" s="7">
        <f>Table1_1[[#This Row],[Calculated sales]]-Table1_1[[#This Row],[Total cost]]</f>
        <v>1118</v>
      </c>
      <c r="V62" s="4">
        <f>IFERROR(Table1_1[[#This Row],[Profit/Loss]]/Table1_1[[#This Row],[Calculated sales]],0)</f>
        <v>2.3522975929978117E-2</v>
      </c>
    </row>
    <row r="63" spans="1:22" x14ac:dyDescent="0.25">
      <c r="A63" s="4" t="s">
        <v>186</v>
      </c>
      <c r="B63" s="5">
        <v>45337</v>
      </c>
      <c r="C63" s="4">
        <f>YEAR(Table1_1[[#This Row],[Order Dates]])</f>
        <v>2024</v>
      </c>
      <c r="D63" s="6">
        <f>MONTH(Table1_1[[#This Row],[Order Dates]])</f>
        <v>2</v>
      </c>
      <c r="E63" s="4" t="s">
        <v>16</v>
      </c>
      <c r="F63" s="4" t="s">
        <v>31</v>
      </c>
      <c r="G63" s="4" t="s">
        <v>32</v>
      </c>
      <c r="H63" s="4" t="str">
        <f>TRIM(CLEAN(SUBSTITUTE(Table1_1[[#This Row],[Salesperson]],"   "," ")))</f>
        <v>Neha Deshpande</v>
      </c>
      <c r="I63" s="4" t="s">
        <v>52</v>
      </c>
      <c r="J63" s="4" t="s">
        <v>20</v>
      </c>
      <c r="K63" s="4" t="s">
        <v>21</v>
      </c>
      <c r="L63" s="4" t="s">
        <v>1670</v>
      </c>
      <c r="M63" s="4" t="s">
        <v>49</v>
      </c>
      <c r="N63" s="4" t="s">
        <v>24</v>
      </c>
      <c r="O63" s="4">
        <v>15</v>
      </c>
      <c r="P63" s="7">
        <v>8460</v>
      </c>
      <c r="Q63" s="8">
        <v>0.08</v>
      </c>
      <c r="R63" s="7">
        <v>6380</v>
      </c>
      <c r="S63" s="7">
        <f>Table1_1[[#This Row],[Units Sold]]*Table1_1[[#This Row],[Unit Price]]*(1-Table1_1[[#This Row],[Discount %]])</f>
        <v>116748</v>
      </c>
      <c r="T63" s="7">
        <f>Table1_1[[#This Row],[Units Sold]]*Table1_1[[#This Row],[Unit Cost]]</f>
        <v>95700</v>
      </c>
      <c r="U63" s="7">
        <f>Table1_1[[#This Row],[Calculated sales]]-Table1_1[[#This Row],[Total cost]]</f>
        <v>21048</v>
      </c>
      <c r="V63" s="4">
        <f>IFERROR(Table1_1[[#This Row],[Profit/Loss]]/Table1_1[[#This Row],[Calculated sales]],0)</f>
        <v>0.18028574365299618</v>
      </c>
    </row>
    <row r="64" spans="1:22" x14ac:dyDescent="0.25">
      <c r="A64" s="4" t="s">
        <v>187</v>
      </c>
      <c r="B64" s="5">
        <v>45337</v>
      </c>
      <c r="C64" s="4">
        <f>YEAR(Table1_1[[#This Row],[Order Dates]])</f>
        <v>2024</v>
      </c>
      <c r="D64" s="6">
        <f>MONTH(Table1_1[[#This Row],[Order Dates]])</f>
        <v>2</v>
      </c>
      <c r="E64" s="4" t="s">
        <v>42</v>
      </c>
      <c r="F64" s="4" t="s">
        <v>96</v>
      </c>
      <c r="G64" s="4" t="s">
        <v>44</v>
      </c>
      <c r="H64" s="4" t="str">
        <f>TRIM(CLEAN(SUBSTITUTE(Table1_1[[#This Row],[Salesperson]],"   "," ")))</f>
        <v>Simran Kaur</v>
      </c>
      <c r="I64" s="4" t="s">
        <v>92</v>
      </c>
      <c r="J64" s="4" t="s">
        <v>20</v>
      </c>
      <c r="K64" s="4" t="s">
        <v>21</v>
      </c>
      <c r="L64" s="4" t="s">
        <v>1667</v>
      </c>
      <c r="M64" s="4" t="s">
        <v>40</v>
      </c>
      <c r="N64" s="4" t="s">
        <v>24</v>
      </c>
      <c r="O64" s="4">
        <v>67</v>
      </c>
      <c r="P64" s="7">
        <v>1770</v>
      </c>
      <c r="Q64" s="8">
        <v>0.18</v>
      </c>
      <c r="R64" s="7">
        <v>1170</v>
      </c>
      <c r="S64" s="7">
        <f>Table1_1[[#This Row],[Units Sold]]*Table1_1[[#This Row],[Unit Price]]*(1-Table1_1[[#This Row],[Discount %]])</f>
        <v>97243.8</v>
      </c>
      <c r="T64" s="7">
        <f>Table1_1[[#This Row],[Units Sold]]*Table1_1[[#This Row],[Unit Cost]]</f>
        <v>78390</v>
      </c>
      <c r="U64" s="7">
        <f>Table1_1[[#This Row],[Calculated sales]]-Table1_1[[#This Row],[Total cost]]</f>
        <v>18853.800000000003</v>
      </c>
      <c r="V64" s="4">
        <f>IFERROR(Table1_1[[#This Row],[Profit/Loss]]/Table1_1[[#This Row],[Calculated sales]],0)</f>
        <v>0.19388176932616785</v>
      </c>
    </row>
    <row r="65" spans="1:22" x14ac:dyDescent="0.25">
      <c r="A65" s="4" t="s">
        <v>188</v>
      </c>
      <c r="B65" s="5">
        <v>45337</v>
      </c>
      <c r="C65" s="4">
        <f>YEAR(Table1_1[[#This Row],[Order Dates]])</f>
        <v>2024</v>
      </c>
      <c r="D65" s="6">
        <f>MONTH(Table1_1[[#This Row],[Order Dates]])</f>
        <v>2</v>
      </c>
      <c r="E65" s="4" t="s">
        <v>56</v>
      </c>
      <c r="F65" s="4" t="s">
        <v>133</v>
      </c>
      <c r="G65" s="4" t="s">
        <v>134</v>
      </c>
      <c r="H65" s="4" t="str">
        <f>TRIM(CLEAN(SUBSTITUTE(Table1_1[[#This Row],[Salesperson]],"   "," ")))</f>
        <v>Divya Nair</v>
      </c>
      <c r="I65" s="4" t="s">
        <v>19</v>
      </c>
      <c r="J65" s="4" t="s">
        <v>46</v>
      </c>
      <c r="K65" s="4" t="s">
        <v>100</v>
      </c>
      <c r="L65" s="4" t="s">
        <v>177</v>
      </c>
      <c r="M65" s="4" t="s">
        <v>49</v>
      </c>
      <c r="N65" s="4" t="s">
        <v>24</v>
      </c>
      <c r="O65" s="4">
        <v>14</v>
      </c>
      <c r="P65" s="7">
        <v>2510</v>
      </c>
      <c r="Q65" s="8">
        <v>0.25</v>
      </c>
      <c r="R65" s="7">
        <v>1690</v>
      </c>
      <c r="S65" s="7">
        <f>Table1_1[[#This Row],[Units Sold]]*Table1_1[[#This Row],[Unit Price]]*(1-Table1_1[[#This Row],[Discount %]])</f>
        <v>26355</v>
      </c>
      <c r="T65" s="7">
        <f>Table1_1[[#This Row],[Units Sold]]*Table1_1[[#This Row],[Unit Cost]]</f>
        <v>23660</v>
      </c>
      <c r="U65" s="7">
        <f>Table1_1[[#This Row],[Calculated sales]]-Table1_1[[#This Row],[Total cost]]</f>
        <v>2695</v>
      </c>
      <c r="V65" s="4">
        <f>IFERROR(Table1_1[[#This Row],[Profit/Loss]]/Table1_1[[#This Row],[Calculated sales]],0)</f>
        <v>0.10225763612217796</v>
      </c>
    </row>
    <row r="66" spans="1:22" x14ac:dyDescent="0.25">
      <c r="A66" s="4" t="s">
        <v>189</v>
      </c>
      <c r="B66" s="5">
        <v>45338</v>
      </c>
      <c r="C66" s="4">
        <f>YEAR(Table1_1[[#This Row],[Order Dates]])</f>
        <v>2024</v>
      </c>
      <c r="D66" s="6">
        <f>MONTH(Table1_1[[#This Row],[Order Dates]])</f>
        <v>2</v>
      </c>
      <c r="E66" s="4" t="s">
        <v>76</v>
      </c>
      <c r="F66" s="4" t="s">
        <v>99</v>
      </c>
      <c r="G66" s="4" t="s">
        <v>170</v>
      </c>
      <c r="H66" s="4" t="str">
        <f>TRIM(CLEAN(SUBSTITUTE(Table1_1[[#This Row],[Salesperson]],"   "," ")))</f>
        <v>Manish Tiwari</v>
      </c>
      <c r="I66" s="4" t="s">
        <v>92</v>
      </c>
      <c r="J66" s="4" t="s">
        <v>46</v>
      </c>
      <c r="K66" s="4" t="s">
        <v>47</v>
      </c>
      <c r="L66" s="4" t="s">
        <v>48</v>
      </c>
      <c r="M66" s="4" t="s">
        <v>40</v>
      </c>
      <c r="N66" s="4" t="s">
        <v>24</v>
      </c>
      <c r="O66" s="4">
        <v>16</v>
      </c>
      <c r="P66" s="7">
        <v>1850</v>
      </c>
      <c r="Q66" s="8">
        <v>0</v>
      </c>
      <c r="R66" s="7">
        <v>1210</v>
      </c>
      <c r="S66" s="7">
        <f>Table1_1[[#This Row],[Units Sold]]*Table1_1[[#This Row],[Unit Price]]*(1-Table1_1[[#This Row],[Discount %]])</f>
        <v>29600</v>
      </c>
      <c r="T66" s="7">
        <f>Table1_1[[#This Row],[Units Sold]]*Table1_1[[#This Row],[Unit Cost]]</f>
        <v>19360</v>
      </c>
      <c r="U66" s="7">
        <f>Table1_1[[#This Row],[Calculated sales]]-Table1_1[[#This Row],[Total cost]]</f>
        <v>10240</v>
      </c>
      <c r="V66" s="4">
        <f>IFERROR(Table1_1[[#This Row],[Profit/Loss]]/Table1_1[[#This Row],[Calculated sales]],0)</f>
        <v>0.34594594594594597</v>
      </c>
    </row>
    <row r="67" spans="1:22" x14ac:dyDescent="0.25">
      <c r="A67" s="4" t="s">
        <v>190</v>
      </c>
      <c r="B67" s="5">
        <v>45338</v>
      </c>
      <c r="C67" s="4">
        <f>YEAR(Table1_1[[#This Row],[Order Dates]])</f>
        <v>2024</v>
      </c>
      <c r="D67" s="6">
        <f>MONTH(Table1_1[[#This Row],[Order Dates]])</f>
        <v>2</v>
      </c>
      <c r="E67" s="4" t="s">
        <v>16</v>
      </c>
      <c r="F67" s="4" t="s">
        <v>191</v>
      </c>
      <c r="G67" s="4" t="s">
        <v>26</v>
      </c>
      <c r="H67" s="4" t="str">
        <f>TRIM(CLEAN(SUBSTITUTE(Table1_1[[#This Row],[Salesperson]],"   "," ")))</f>
        <v>Prateek Shah</v>
      </c>
      <c r="I67" s="4" t="s">
        <v>92</v>
      </c>
      <c r="J67" s="4" t="s">
        <v>46</v>
      </c>
      <c r="K67" s="4" t="s">
        <v>100</v>
      </c>
      <c r="L67" s="4" t="s">
        <v>101</v>
      </c>
      <c r="M67" s="4" t="s">
        <v>49</v>
      </c>
      <c r="N67" s="4" t="s">
        <v>24</v>
      </c>
      <c r="O67" s="4">
        <v>29</v>
      </c>
      <c r="P67" s="7">
        <v>1830</v>
      </c>
      <c r="Q67" s="8">
        <v>0.05</v>
      </c>
      <c r="R67" s="7">
        <v>1060</v>
      </c>
      <c r="S67" s="7">
        <f>Table1_1[[#This Row],[Units Sold]]*Table1_1[[#This Row],[Unit Price]]*(1-Table1_1[[#This Row],[Discount %]])</f>
        <v>50416.5</v>
      </c>
      <c r="T67" s="7">
        <f>Table1_1[[#This Row],[Units Sold]]*Table1_1[[#This Row],[Unit Cost]]</f>
        <v>30740</v>
      </c>
      <c r="U67" s="7">
        <f>Table1_1[[#This Row],[Calculated sales]]-Table1_1[[#This Row],[Total cost]]</f>
        <v>19676.5</v>
      </c>
      <c r="V67" s="4">
        <f>IFERROR(Table1_1[[#This Row],[Profit/Loss]]/Table1_1[[#This Row],[Calculated sales]],0)</f>
        <v>0.39027897612884671</v>
      </c>
    </row>
    <row r="68" spans="1:22" x14ac:dyDescent="0.25">
      <c r="A68" s="4" t="s">
        <v>192</v>
      </c>
      <c r="B68" s="5">
        <v>45338</v>
      </c>
      <c r="C68" s="4">
        <f>YEAR(Table1_1[[#This Row],[Order Dates]])</f>
        <v>2024</v>
      </c>
      <c r="D68" s="6">
        <f>MONTH(Table1_1[[#This Row],[Order Dates]])</f>
        <v>2</v>
      </c>
      <c r="E68" s="4" t="s">
        <v>76</v>
      </c>
      <c r="F68" s="4" t="s">
        <v>77</v>
      </c>
      <c r="G68" s="4" t="s">
        <v>170</v>
      </c>
      <c r="H68" s="4" t="str">
        <f>TRIM(CLEAN(SUBSTITUTE(Table1_1[[#This Row],[Salesperson]],"   "," ")))</f>
        <v>Manish Tiwari</v>
      </c>
      <c r="I68" s="4" t="s">
        <v>45</v>
      </c>
      <c r="J68" s="4" t="s">
        <v>59</v>
      </c>
      <c r="K68" s="4" t="s">
        <v>69</v>
      </c>
      <c r="L68" s="4" t="s">
        <v>121</v>
      </c>
      <c r="M68" s="4" t="s">
        <v>23</v>
      </c>
      <c r="N68" s="4" t="s">
        <v>24</v>
      </c>
      <c r="O68" s="4">
        <v>17</v>
      </c>
      <c r="P68" s="7">
        <v>3640</v>
      </c>
      <c r="Q68" s="8">
        <v>0.2</v>
      </c>
      <c r="R68" s="7">
        <v>2840</v>
      </c>
      <c r="S68" s="7">
        <f>Table1_1[[#This Row],[Units Sold]]*Table1_1[[#This Row],[Unit Price]]*(1-Table1_1[[#This Row],[Discount %]])</f>
        <v>49504</v>
      </c>
      <c r="T68" s="7">
        <f>Table1_1[[#This Row],[Units Sold]]*Table1_1[[#This Row],[Unit Cost]]</f>
        <v>48280</v>
      </c>
      <c r="U68" s="7">
        <f>Table1_1[[#This Row],[Calculated sales]]-Table1_1[[#This Row],[Total cost]]</f>
        <v>1224</v>
      </c>
      <c r="V68" s="4">
        <f>IFERROR(Table1_1[[#This Row],[Profit/Loss]]/Table1_1[[#This Row],[Calculated sales]],0)</f>
        <v>2.4725274725274724E-2</v>
      </c>
    </row>
    <row r="69" spans="1:22" x14ac:dyDescent="0.25">
      <c r="A69" s="4" t="s">
        <v>193</v>
      </c>
      <c r="B69" s="5">
        <v>45339</v>
      </c>
      <c r="C69" s="4">
        <f>YEAR(Table1_1[[#This Row],[Order Dates]])</f>
        <v>2024</v>
      </c>
      <c r="D69" s="6">
        <f>MONTH(Table1_1[[#This Row],[Order Dates]])</f>
        <v>2</v>
      </c>
      <c r="E69" s="4" t="s">
        <v>56</v>
      </c>
      <c r="F69" s="4" t="s">
        <v>127</v>
      </c>
      <c r="G69" s="4" t="s">
        <v>58</v>
      </c>
      <c r="H69" s="4" t="str">
        <f>TRIM(CLEAN(SUBSTITUTE(Table1_1[[#This Row],[Salesperson]],"   "," ")))</f>
        <v>Karthik Raman</v>
      </c>
      <c r="I69" s="4" t="s">
        <v>45</v>
      </c>
      <c r="J69" s="4" t="s">
        <v>59</v>
      </c>
      <c r="K69" s="4" t="s">
        <v>69</v>
      </c>
      <c r="L69" s="4" t="s">
        <v>121</v>
      </c>
      <c r="M69" s="4" t="s">
        <v>40</v>
      </c>
      <c r="N69" s="4" t="s">
        <v>24</v>
      </c>
      <c r="O69" s="4">
        <v>29</v>
      </c>
      <c r="P69" s="7">
        <v>3660</v>
      </c>
      <c r="Q69" s="8">
        <v>0.18</v>
      </c>
      <c r="R69" s="7">
        <v>2520</v>
      </c>
      <c r="S69" s="7">
        <f>Table1_1[[#This Row],[Units Sold]]*Table1_1[[#This Row],[Unit Price]]*(1-Table1_1[[#This Row],[Discount %]])</f>
        <v>87034.8</v>
      </c>
      <c r="T69" s="7">
        <f>Table1_1[[#This Row],[Units Sold]]*Table1_1[[#This Row],[Unit Cost]]</f>
        <v>73080</v>
      </c>
      <c r="U69" s="7">
        <f>Table1_1[[#This Row],[Calculated sales]]-Table1_1[[#This Row],[Total cost]]</f>
        <v>13954.800000000003</v>
      </c>
      <c r="V69" s="4">
        <f>IFERROR(Table1_1[[#This Row],[Profit/Loss]]/Table1_1[[#This Row],[Calculated sales]],0)</f>
        <v>0.16033586565373853</v>
      </c>
    </row>
    <row r="70" spans="1:22" x14ac:dyDescent="0.25">
      <c r="A70" s="4" t="s">
        <v>194</v>
      </c>
      <c r="B70" s="5">
        <v>45340</v>
      </c>
      <c r="C70" s="4">
        <f>YEAR(Table1_1[[#This Row],[Order Dates]])</f>
        <v>2024</v>
      </c>
      <c r="D70" s="6">
        <f>MONTH(Table1_1[[#This Row],[Order Dates]])</f>
        <v>2</v>
      </c>
      <c r="E70" s="4" t="s">
        <v>16</v>
      </c>
      <c r="F70" s="4" t="s">
        <v>51</v>
      </c>
      <c r="G70" s="4" t="s">
        <v>195</v>
      </c>
      <c r="H70" s="4" t="str">
        <f>TRIM(CLEAN(SUBSTITUTE(Table1_1[[#This Row],[Salesperson]],"   "," ")))</f>
        <v>Neha Deshpande</v>
      </c>
      <c r="I70" s="4" t="s">
        <v>19</v>
      </c>
      <c r="J70" s="4" t="s">
        <v>83</v>
      </c>
      <c r="K70" s="4" t="s">
        <v>184</v>
      </c>
      <c r="L70" s="4" t="s">
        <v>196</v>
      </c>
      <c r="M70" s="4" t="s">
        <v>40</v>
      </c>
      <c r="N70" s="4" t="s">
        <v>24</v>
      </c>
      <c r="O70" s="4">
        <v>8</v>
      </c>
      <c r="P70" s="7">
        <v>3070</v>
      </c>
      <c r="Q70" s="8">
        <v>0.18</v>
      </c>
      <c r="R70" s="7">
        <v>2260</v>
      </c>
      <c r="S70" s="7">
        <f>Table1_1[[#This Row],[Units Sold]]*Table1_1[[#This Row],[Unit Price]]*(1-Table1_1[[#This Row],[Discount %]])</f>
        <v>20139.2</v>
      </c>
      <c r="T70" s="7">
        <f>Table1_1[[#This Row],[Units Sold]]*Table1_1[[#This Row],[Unit Cost]]</f>
        <v>18080</v>
      </c>
      <c r="U70" s="7">
        <f>Table1_1[[#This Row],[Calculated sales]]-Table1_1[[#This Row],[Total cost]]</f>
        <v>2059.2000000000007</v>
      </c>
      <c r="V70" s="4">
        <f>IFERROR(Table1_1[[#This Row],[Profit/Loss]]/Table1_1[[#This Row],[Calculated sales]],0)</f>
        <v>0.10224835147374278</v>
      </c>
    </row>
    <row r="71" spans="1:22" x14ac:dyDescent="0.25">
      <c r="A71" s="4" t="s">
        <v>197</v>
      </c>
      <c r="B71" s="5">
        <v>45340</v>
      </c>
      <c r="C71" s="4">
        <f>YEAR(Table1_1[[#This Row],[Order Dates]])</f>
        <v>2024</v>
      </c>
      <c r="D71" s="6">
        <f>MONTH(Table1_1[[#This Row],[Order Dates]])</f>
        <v>2</v>
      </c>
      <c r="E71" s="4" t="s">
        <v>42</v>
      </c>
      <c r="F71" s="4" t="s">
        <v>130</v>
      </c>
      <c r="G71" s="4" t="s">
        <v>97</v>
      </c>
      <c r="H71" s="4" t="str">
        <f>TRIM(CLEAN(SUBSTITUTE(Table1_1[[#This Row],[Salesperson]],"   "," ")))</f>
        <v>Rohit Malhotra</v>
      </c>
      <c r="I71" s="4" t="s">
        <v>92</v>
      </c>
      <c r="J71" s="4" t="s">
        <v>46</v>
      </c>
      <c r="K71" s="4" t="s">
        <v>100</v>
      </c>
      <c r="L71" s="4" t="s">
        <v>101</v>
      </c>
      <c r="M71" s="4" t="s">
        <v>23</v>
      </c>
      <c r="N71" s="4" t="s">
        <v>35</v>
      </c>
      <c r="O71" s="4">
        <v>17</v>
      </c>
      <c r="P71" s="7">
        <v>1820</v>
      </c>
      <c r="Q71" s="8">
        <v>0.2</v>
      </c>
      <c r="R71" s="7">
        <v>1210</v>
      </c>
      <c r="S71" s="7">
        <f>Table1_1[[#This Row],[Units Sold]]*Table1_1[[#This Row],[Unit Price]]*(1-Table1_1[[#This Row],[Discount %]])</f>
        <v>24752</v>
      </c>
      <c r="T71" s="7">
        <f>Table1_1[[#This Row],[Units Sold]]*Table1_1[[#This Row],[Unit Cost]]</f>
        <v>20570</v>
      </c>
      <c r="U71" s="7">
        <f>Table1_1[[#This Row],[Calculated sales]]-Table1_1[[#This Row],[Total cost]]</f>
        <v>4182</v>
      </c>
      <c r="V71" s="4">
        <f>IFERROR(Table1_1[[#This Row],[Profit/Loss]]/Table1_1[[#This Row],[Calculated sales]],0)</f>
        <v>0.16895604395604397</v>
      </c>
    </row>
    <row r="72" spans="1:22" x14ac:dyDescent="0.25">
      <c r="A72" s="4" t="s">
        <v>198</v>
      </c>
      <c r="B72" s="5">
        <v>45340</v>
      </c>
      <c r="C72" s="4">
        <f>YEAR(Table1_1[[#This Row],[Order Dates]])</f>
        <v>2024</v>
      </c>
      <c r="D72" s="6">
        <f>MONTH(Table1_1[[#This Row],[Order Dates]])</f>
        <v>2</v>
      </c>
      <c r="E72" s="4" t="s">
        <v>16</v>
      </c>
      <c r="F72" s="4" t="s">
        <v>153</v>
      </c>
      <c r="G72" s="4" t="s">
        <v>26</v>
      </c>
      <c r="H72" s="4" t="str">
        <f>TRIM(CLEAN(SUBSTITUTE(Table1_1[[#This Row],[Salesperson]],"   "," ")))</f>
        <v>Prateek Shah</v>
      </c>
      <c r="I72" s="4" t="s">
        <v>52</v>
      </c>
      <c r="J72" s="4" t="s">
        <v>20</v>
      </c>
      <c r="K72" s="4" t="s">
        <v>21</v>
      </c>
      <c r="L72" s="4" t="s">
        <v>1670</v>
      </c>
      <c r="M72" s="4" t="s">
        <v>40</v>
      </c>
      <c r="N72" s="4" t="s">
        <v>24</v>
      </c>
      <c r="O72" s="4">
        <v>6</v>
      </c>
      <c r="P72" s="7">
        <v>8880</v>
      </c>
      <c r="Q72" s="8">
        <v>0</v>
      </c>
      <c r="R72" s="7">
        <v>6530</v>
      </c>
      <c r="S72" s="7">
        <f>Table1_1[[#This Row],[Units Sold]]*Table1_1[[#This Row],[Unit Price]]*(1-Table1_1[[#This Row],[Discount %]])</f>
        <v>53280</v>
      </c>
      <c r="T72" s="7">
        <f>Table1_1[[#This Row],[Units Sold]]*Table1_1[[#This Row],[Unit Cost]]</f>
        <v>39180</v>
      </c>
      <c r="U72" s="7">
        <f>Table1_1[[#This Row],[Calculated sales]]-Table1_1[[#This Row],[Total cost]]</f>
        <v>14100</v>
      </c>
      <c r="V72" s="4">
        <f>IFERROR(Table1_1[[#This Row],[Profit/Loss]]/Table1_1[[#This Row],[Calculated sales]],0)</f>
        <v>0.26463963963963966</v>
      </c>
    </row>
    <row r="73" spans="1:22" x14ac:dyDescent="0.25">
      <c r="A73" s="4" t="s">
        <v>199</v>
      </c>
      <c r="B73" s="5">
        <v>45340</v>
      </c>
      <c r="C73" s="4">
        <f>YEAR(Table1_1[[#This Row],[Order Dates]])</f>
        <v>2024</v>
      </c>
      <c r="D73" s="6">
        <f>MONTH(Table1_1[[#This Row],[Order Dates]])</f>
        <v>2</v>
      </c>
      <c r="E73" s="4" t="s">
        <v>56</v>
      </c>
      <c r="F73" s="4" t="s">
        <v>72</v>
      </c>
      <c r="G73" s="4" t="s">
        <v>58</v>
      </c>
      <c r="H73" s="4" t="str">
        <f>TRIM(CLEAN(SUBSTITUTE(Table1_1[[#This Row],[Salesperson]],"   "," ")))</f>
        <v>Karthik Raman</v>
      </c>
      <c r="I73" s="4" t="s">
        <v>45</v>
      </c>
      <c r="J73" s="4" t="s">
        <v>59</v>
      </c>
      <c r="K73" s="4" t="s">
        <v>60</v>
      </c>
      <c r="L73" s="4" t="s">
        <v>200</v>
      </c>
      <c r="M73" s="4" t="s">
        <v>49</v>
      </c>
      <c r="N73" s="4" t="s">
        <v>24</v>
      </c>
      <c r="O73" s="4">
        <v>6</v>
      </c>
      <c r="P73" s="7">
        <v>9040</v>
      </c>
      <c r="Q73" s="8">
        <v>0</v>
      </c>
      <c r="R73" s="7">
        <v>5770</v>
      </c>
      <c r="S73" s="7">
        <f>Table1_1[[#This Row],[Units Sold]]*Table1_1[[#This Row],[Unit Price]]*(1-Table1_1[[#This Row],[Discount %]])</f>
        <v>54240</v>
      </c>
      <c r="T73" s="7">
        <f>Table1_1[[#This Row],[Units Sold]]*Table1_1[[#This Row],[Unit Cost]]</f>
        <v>34620</v>
      </c>
      <c r="U73" s="7">
        <f>Table1_1[[#This Row],[Calculated sales]]-Table1_1[[#This Row],[Total cost]]</f>
        <v>19620</v>
      </c>
      <c r="V73" s="4">
        <f>IFERROR(Table1_1[[#This Row],[Profit/Loss]]/Table1_1[[#This Row],[Calculated sales]],0)</f>
        <v>0.36172566371681414</v>
      </c>
    </row>
    <row r="74" spans="1:22" x14ac:dyDescent="0.25">
      <c r="A74" s="4" t="s">
        <v>201</v>
      </c>
      <c r="B74" s="5">
        <v>45342</v>
      </c>
      <c r="C74" s="4">
        <f>YEAR(Table1_1[[#This Row],[Order Dates]])</f>
        <v>2024</v>
      </c>
      <c r="D74" s="6">
        <f>MONTH(Table1_1[[#This Row],[Order Dates]])</f>
        <v>2</v>
      </c>
      <c r="E74" s="4" t="s">
        <v>56</v>
      </c>
      <c r="F74" s="4" t="s">
        <v>57</v>
      </c>
      <c r="G74" s="4" t="s">
        <v>134</v>
      </c>
      <c r="H74" s="4" t="str">
        <f>TRIM(CLEAN(SUBSTITUTE(Table1_1[[#This Row],[Salesperson]],"   "," ")))</f>
        <v>Divya Nair</v>
      </c>
      <c r="I74" s="4" t="s">
        <v>45</v>
      </c>
      <c r="J74" s="4" t="s">
        <v>27</v>
      </c>
      <c r="K74" s="4" t="s">
        <v>79</v>
      </c>
      <c r="L74" s="4" t="s">
        <v>80</v>
      </c>
      <c r="M74" s="4" t="s">
        <v>40</v>
      </c>
      <c r="N74" s="4" t="s">
        <v>24</v>
      </c>
      <c r="O74" s="4">
        <v>30</v>
      </c>
      <c r="P74" s="7">
        <v>4850</v>
      </c>
      <c r="Q74" s="8">
        <v>0.12</v>
      </c>
      <c r="R74" s="7">
        <v>3370</v>
      </c>
      <c r="S74" s="7">
        <f>Table1_1[[#This Row],[Units Sold]]*Table1_1[[#This Row],[Unit Price]]*(1-Table1_1[[#This Row],[Discount %]])</f>
        <v>128040</v>
      </c>
      <c r="T74" s="7">
        <f>Table1_1[[#This Row],[Units Sold]]*Table1_1[[#This Row],[Unit Cost]]</f>
        <v>101100</v>
      </c>
      <c r="U74" s="7">
        <f>Table1_1[[#This Row],[Calculated sales]]-Table1_1[[#This Row],[Total cost]]</f>
        <v>26940</v>
      </c>
      <c r="V74" s="4">
        <f>IFERROR(Table1_1[[#This Row],[Profit/Loss]]/Table1_1[[#This Row],[Calculated sales]],0)</f>
        <v>0.21040299906279289</v>
      </c>
    </row>
    <row r="75" spans="1:22" x14ac:dyDescent="0.25">
      <c r="A75" s="4" t="s">
        <v>202</v>
      </c>
      <c r="B75" s="5">
        <v>45343</v>
      </c>
      <c r="C75" s="4">
        <f>YEAR(Table1_1[[#This Row],[Order Dates]])</f>
        <v>2024</v>
      </c>
      <c r="D75" s="6">
        <f>MONTH(Table1_1[[#This Row],[Order Dates]])</f>
        <v>2</v>
      </c>
      <c r="E75" s="4" t="s">
        <v>16</v>
      </c>
      <c r="F75" s="4" t="s">
        <v>191</v>
      </c>
      <c r="G75" s="4" t="s">
        <v>18</v>
      </c>
      <c r="H75" s="4" t="str">
        <f>TRIM(CLEAN(SUBSTITUTE(Table1_1[[#This Row],[Salesperson]],"   "," ")))</f>
        <v>Imran Sheikh</v>
      </c>
      <c r="I75" s="4" t="s">
        <v>52</v>
      </c>
      <c r="J75" s="4" t="s">
        <v>59</v>
      </c>
      <c r="K75" s="4" t="s">
        <v>154</v>
      </c>
      <c r="L75" s="4" t="s">
        <v>155</v>
      </c>
      <c r="M75" s="4" t="s">
        <v>49</v>
      </c>
      <c r="N75" s="4" t="s">
        <v>24</v>
      </c>
      <c r="O75" s="4">
        <v>8</v>
      </c>
      <c r="P75" s="7">
        <v>12580</v>
      </c>
      <c r="Q75" s="8">
        <v>0.08</v>
      </c>
      <c r="R75" s="7">
        <v>7360</v>
      </c>
      <c r="S75" s="7">
        <f>Table1_1[[#This Row],[Units Sold]]*Table1_1[[#This Row],[Unit Price]]*(1-Table1_1[[#This Row],[Discount %]])</f>
        <v>92588.800000000003</v>
      </c>
      <c r="T75" s="7">
        <f>Table1_1[[#This Row],[Units Sold]]*Table1_1[[#This Row],[Unit Cost]]</f>
        <v>58880</v>
      </c>
      <c r="U75" s="7">
        <f>Table1_1[[#This Row],[Calculated sales]]-Table1_1[[#This Row],[Total cost]]</f>
        <v>33708.800000000003</v>
      </c>
      <c r="V75" s="4">
        <f>IFERROR(Table1_1[[#This Row],[Profit/Loss]]/Table1_1[[#This Row],[Calculated sales]],0)</f>
        <v>0.36406995230524647</v>
      </c>
    </row>
    <row r="76" spans="1:22" x14ac:dyDescent="0.25">
      <c r="A76" s="4" t="s">
        <v>203</v>
      </c>
      <c r="B76" s="5">
        <v>45343</v>
      </c>
      <c r="C76" s="4">
        <f>YEAR(Table1_1[[#This Row],[Order Dates]])</f>
        <v>2024</v>
      </c>
      <c r="D76" s="6">
        <f>MONTH(Table1_1[[#This Row],[Order Dates]])</f>
        <v>2</v>
      </c>
      <c r="E76" s="4" t="s">
        <v>56</v>
      </c>
      <c r="F76" s="4" t="s">
        <v>57</v>
      </c>
      <c r="G76" s="4" t="s">
        <v>91</v>
      </c>
      <c r="H76" s="4" t="str">
        <f>TRIM(CLEAN(SUBSTITUTE(Table1_1[[#This Row],[Salesperson]],"   "," ")))</f>
        <v>Anjali Menon</v>
      </c>
      <c r="I76" s="4" t="s">
        <v>92</v>
      </c>
      <c r="J76" s="4" t="s">
        <v>20</v>
      </c>
      <c r="K76" s="4" t="s">
        <v>33</v>
      </c>
      <c r="L76" s="4" t="s">
        <v>34</v>
      </c>
      <c r="M76" s="4" t="s">
        <v>49</v>
      </c>
      <c r="N76" s="4" t="s">
        <v>24</v>
      </c>
      <c r="O76" s="4">
        <v>2</v>
      </c>
      <c r="P76" s="7">
        <v>53630</v>
      </c>
      <c r="Q76" s="8">
        <v>0</v>
      </c>
      <c r="R76" s="7">
        <v>37420</v>
      </c>
      <c r="S76" s="7">
        <f>Table1_1[[#This Row],[Units Sold]]*Table1_1[[#This Row],[Unit Price]]*(1-Table1_1[[#This Row],[Discount %]])</f>
        <v>107260</v>
      </c>
      <c r="T76" s="7">
        <f>Table1_1[[#This Row],[Units Sold]]*Table1_1[[#This Row],[Unit Cost]]</f>
        <v>74840</v>
      </c>
      <c r="U76" s="7">
        <f>Table1_1[[#This Row],[Calculated sales]]-Table1_1[[#This Row],[Total cost]]</f>
        <v>32420</v>
      </c>
      <c r="V76" s="4">
        <f>IFERROR(Table1_1[[#This Row],[Profit/Loss]]/Table1_1[[#This Row],[Calculated sales]],0)</f>
        <v>0.3022561998881223</v>
      </c>
    </row>
    <row r="77" spans="1:22" x14ac:dyDescent="0.25">
      <c r="A77" s="4" t="s">
        <v>204</v>
      </c>
      <c r="B77" s="5">
        <v>45343</v>
      </c>
      <c r="C77" s="4">
        <f>YEAR(Table1_1[[#This Row],[Order Dates]])</f>
        <v>2024</v>
      </c>
      <c r="D77" s="6">
        <f>MONTH(Table1_1[[#This Row],[Order Dates]])</f>
        <v>2</v>
      </c>
      <c r="E77" s="4" t="s">
        <v>16</v>
      </c>
      <c r="F77" s="4" t="s">
        <v>31</v>
      </c>
      <c r="G77" s="4" t="s">
        <v>32</v>
      </c>
      <c r="H77" s="4" t="str">
        <f>TRIM(CLEAN(SUBSTITUTE(Table1_1[[#This Row],[Salesperson]],"   "," ")))</f>
        <v>Neha Deshpande</v>
      </c>
      <c r="I77" s="4" t="s">
        <v>45</v>
      </c>
      <c r="J77" s="4" t="s">
        <v>59</v>
      </c>
      <c r="K77" s="4" t="s">
        <v>73</v>
      </c>
      <c r="L77" s="4" t="s">
        <v>74</v>
      </c>
      <c r="M77" s="4" t="s">
        <v>49</v>
      </c>
      <c r="N77" s="4" t="s">
        <v>24</v>
      </c>
      <c r="O77" s="4">
        <v>3</v>
      </c>
      <c r="P77" s="7">
        <v>43420</v>
      </c>
      <c r="Q77" s="8">
        <v>0.12</v>
      </c>
      <c r="R77" s="7">
        <v>33750</v>
      </c>
      <c r="S77" s="7">
        <f>Table1_1[[#This Row],[Units Sold]]*Table1_1[[#This Row],[Unit Price]]*(1-Table1_1[[#This Row],[Discount %]])</f>
        <v>114628.8</v>
      </c>
      <c r="T77" s="7">
        <f>Table1_1[[#This Row],[Units Sold]]*Table1_1[[#This Row],[Unit Cost]]</f>
        <v>101250</v>
      </c>
      <c r="U77" s="7">
        <f>Table1_1[[#This Row],[Calculated sales]]-Table1_1[[#This Row],[Total cost]]</f>
        <v>13378.800000000003</v>
      </c>
      <c r="V77" s="4">
        <f>IFERROR(Table1_1[[#This Row],[Profit/Loss]]/Table1_1[[#This Row],[Calculated sales]],0)</f>
        <v>0.11671412419915417</v>
      </c>
    </row>
    <row r="78" spans="1:22" x14ac:dyDescent="0.25">
      <c r="A78" s="4" t="s">
        <v>205</v>
      </c>
      <c r="B78" s="5">
        <v>45344</v>
      </c>
      <c r="C78" s="4">
        <f>YEAR(Table1_1[[#This Row],[Order Dates]])</f>
        <v>2024</v>
      </c>
      <c r="D78" s="6">
        <f>MONTH(Table1_1[[#This Row],[Order Dates]])</f>
        <v>2</v>
      </c>
      <c r="E78" s="4" t="s">
        <v>56</v>
      </c>
      <c r="F78" s="4" t="s">
        <v>133</v>
      </c>
      <c r="G78" s="4" t="s">
        <v>91</v>
      </c>
      <c r="H78" s="4" t="str">
        <f>TRIM(CLEAN(SUBSTITUTE(Table1_1[[#This Row],[Salesperson]],"   "," ")))</f>
        <v>Anjali Menon</v>
      </c>
      <c r="I78" s="4" t="s">
        <v>45</v>
      </c>
      <c r="J78" s="4" t="s">
        <v>20</v>
      </c>
      <c r="K78" s="4" t="s">
        <v>109</v>
      </c>
      <c r="L78" s="4" t="s">
        <v>1675</v>
      </c>
      <c r="M78" s="4" t="s">
        <v>49</v>
      </c>
      <c r="N78" s="4" t="s">
        <v>94</v>
      </c>
      <c r="O78" s="4">
        <v>6</v>
      </c>
      <c r="P78" s="7">
        <v>68440</v>
      </c>
      <c r="Q78" s="8">
        <v>0.18</v>
      </c>
      <c r="R78" s="7">
        <v>54040</v>
      </c>
      <c r="S78" s="7">
        <f>Table1_1[[#This Row],[Units Sold]]*Table1_1[[#This Row],[Unit Price]]*(1-Table1_1[[#This Row],[Discount %]])</f>
        <v>336724.80000000005</v>
      </c>
      <c r="T78" s="7">
        <f>Table1_1[[#This Row],[Units Sold]]*Table1_1[[#This Row],[Unit Cost]]</f>
        <v>324240</v>
      </c>
      <c r="U78" s="7">
        <f>Table1_1[[#This Row],[Calculated sales]]-Table1_1[[#This Row],[Total cost]]</f>
        <v>12484.800000000047</v>
      </c>
      <c r="V78" s="4">
        <f>IFERROR(Table1_1[[#This Row],[Profit/Loss]]/Table1_1[[#This Row],[Calculated sales]],0)</f>
        <v>3.7077162121709022E-2</v>
      </c>
    </row>
    <row r="79" spans="1:22" x14ac:dyDescent="0.25">
      <c r="A79" s="4" t="s">
        <v>206</v>
      </c>
      <c r="B79" s="5">
        <v>45344</v>
      </c>
      <c r="C79" s="4">
        <f>YEAR(Table1_1[[#This Row],[Order Dates]])</f>
        <v>2024</v>
      </c>
      <c r="D79" s="6">
        <f>MONTH(Table1_1[[#This Row],[Order Dates]])</f>
        <v>2</v>
      </c>
      <c r="E79" s="4" t="s">
        <v>56</v>
      </c>
      <c r="F79" s="4" t="s">
        <v>72</v>
      </c>
      <c r="G79" s="4" t="s">
        <v>134</v>
      </c>
      <c r="H79" s="4" t="str">
        <f>TRIM(CLEAN(SUBSTITUTE(Table1_1[[#This Row],[Salesperson]],"   "," ")))</f>
        <v>Divya Nair</v>
      </c>
      <c r="I79" s="4" t="s">
        <v>19</v>
      </c>
      <c r="J79" s="4" t="s">
        <v>20</v>
      </c>
      <c r="K79" s="4" t="s">
        <v>109</v>
      </c>
      <c r="L79" s="4" t="s">
        <v>1675</v>
      </c>
      <c r="M79" s="4" t="s">
        <v>23</v>
      </c>
      <c r="N79" s="4" t="s">
        <v>119</v>
      </c>
      <c r="O79" s="4">
        <v>4</v>
      </c>
      <c r="P79" s="7">
        <v>72520</v>
      </c>
      <c r="Q79" s="8">
        <v>0.1</v>
      </c>
      <c r="R79" s="7">
        <v>56120</v>
      </c>
      <c r="S79" s="7">
        <f>Table1_1[[#This Row],[Units Sold]]*Table1_1[[#This Row],[Unit Price]]*(1-Table1_1[[#This Row],[Discount %]])</f>
        <v>261072</v>
      </c>
      <c r="T79" s="7">
        <f>Table1_1[[#This Row],[Units Sold]]*Table1_1[[#This Row],[Unit Cost]]</f>
        <v>224480</v>
      </c>
      <c r="U79" s="7">
        <f>Table1_1[[#This Row],[Calculated sales]]-Table1_1[[#This Row],[Total cost]]</f>
        <v>36592</v>
      </c>
      <c r="V79" s="4">
        <f>IFERROR(Table1_1[[#This Row],[Profit/Loss]]/Table1_1[[#This Row],[Calculated sales]],0)</f>
        <v>0.14016056873199731</v>
      </c>
    </row>
    <row r="80" spans="1:22" x14ac:dyDescent="0.25">
      <c r="A80" s="4" t="s">
        <v>207</v>
      </c>
      <c r="B80" s="5">
        <v>45344</v>
      </c>
      <c r="C80" s="4">
        <f>YEAR(Table1_1[[#This Row],[Order Dates]])</f>
        <v>2024</v>
      </c>
      <c r="D80" s="6">
        <f>MONTH(Table1_1[[#This Row],[Order Dates]])</f>
        <v>2</v>
      </c>
      <c r="E80" s="4" t="s">
        <v>37</v>
      </c>
      <c r="F80" s="4" t="s">
        <v>38</v>
      </c>
      <c r="G80" s="4" t="s">
        <v>39</v>
      </c>
      <c r="H80" s="4" t="str">
        <f>TRIM(CLEAN(SUBSTITUTE(Table1_1[[#This Row],[Salesperson]],"   "," ")))</f>
        <v>Sourav Das</v>
      </c>
      <c r="I80" s="4" t="s">
        <v>19</v>
      </c>
      <c r="J80" s="4" t="s">
        <v>46</v>
      </c>
      <c r="K80" s="4" t="s">
        <v>100</v>
      </c>
      <c r="L80" s="4" t="s">
        <v>101</v>
      </c>
      <c r="M80" s="4" t="s">
        <v>40</v>
      </c>
      <c r="N80" s="4" t="s">
        <v>24</v>
      </c>
      <c r="O80" s="4">
        <v>26</v>
      </c>
      <c r="P80" s="7">
        <v>1920</v>
      </c>
      <c r="Q80" s="8">
        <v>0.25</v>
      </c>
      <c r="R80" s="7">
        <v>1230</v>
      </c>
      <c r="S80" s="7">
        <f>Table1_1[[#This Row],[Units Sold]]*Table1_1[[#This Row],[Unit Price]]*(1-Table1_1[[#This Row],[Discount %]])</f>
        <v>37440</v>
      </c>
      <c r="T80" s="7">
        <f>Table1_1[[#This Row],[Units Sold]]*Table1_1[[#This Row],[Unit Cost]]</f>
        <v>31980</v>
      </c>
      <c r="U80" s="7">
        <f>Table1_1[[#This Row],[Calculated sales]]-Table1_1[[#This Row],[Total cost]]</f>
        <v>5460</v>
      </c>
      <c r="V80" s="4">
        <f>IFERROR(Table1_1[[#This Row],[Profit/Loss]]/Table1_1[[#This Row],[Calculated sales]],0)</f>
        <v>0.14583333333333334</v>
      </c>
    </row>
    <row r="81" spans="1:22" x14ac:dyDescent="0.25">
      <c r="A81" s="4" t="s">
        <v>208</v>
      </c>
      <c r="B81" s="5">
        <v>45344</v>
      </c>
      <c r="C81" s="4">
        <f>YEAR(Table1_1[[#This Row],[Order Dates]])</f>
        <v>2024</v>
      </c>
      <c r="D81" s="6">
        <f>MONTH(Table1_1[[#This Row],[Order Dates]])</f>
        <v>2</v>
      </c>
      <c r="E81" s="4" t="s">
        <v>76</v>
      </c>
      <c r="F81" s="4" t="s">
        <v>125</v>
      </c>
      <c r="G81" s="4" t="s">
        <v>78</v>
      </c>
      <c r="H81" s="4" t="str">
        <f>TRIM(CLEAN(SUBSTITUTE(Table1_1[[#This Row],[Salesperson]],"   "," ")))</f>
        <v>Pooja Chouhan</v>
      </c>
      <c r="I81" s="4" t="s">
        <v>19</v>
      </c>
      <c r="J81" s="4" t="s">
        <v>20</v>
      </c>
      <c r="K81" s="4" t="s">
        <v>21</v>
      </c>
      <c r="L81" s="4" t="s">
        <v>1667</v>
      </c>
      <c r="M81" s="4" t="s">
        <v>49</v>
      </c>
      <c r="N81" s="4" t="s">
        <v>94</v>
      </c>
      <c r="O81" s="4">
        <v>5</v>
      </c>
      <c r="P81" s="7">
        <v>1930</v>
      </c>
      <c r="Q81" s="8">
        <v>0.15</v>
      </c>
      <c r="R81" s="7">
        <v>1150</v>
      </c>
      <c r="S81" s="7">
        <f>Table1_1[[#This Row],[Units Sold]]*Table1_1[[#This Row],[Unit Price]]*(1-Table1_1[[#This Row],[Discount %]])</f>
        <v>8202.5</v>
      </c>
      <c r="T81" s="7">
        <f>Table1_1[[#This Row],[Units Sold]]*Table1_1[[#This Row],[Unit Cost]]</f>
        <v>5750</v>
      </c>
      <c r="U81" s="7">
        <f>Table1_1[[#This Row],[Calculated sales]]-Table1_1[[#This Row],[Total cost]]</f>
        <v>2452.5</v>
      </c>
      <c r="V81" s="4">
        <f>IFERROR(Table1_1[[#This Row],[Profit/Loss]]/Table1_1[[#This Row],[Calculated sales]],0)</f>
        <v>0.29899420908259677</v>
      </c>
    </row>
    <row r="82" spans="1:22" x14ac:dyDescent="0.25">
      <c r="A82" s="4" t="s">
        <v>209</v>
      </c>
      <c r="B82" s="5">
        <v>45345</v>
      </c>
      <c r="C82" s="4">
        <f>YEAR(Table1_1[[#This Row],[Order Dates]])</f>
        <v>2024</v>
      </c>
      <c r="D82" s="6">
        <f>MONTH(Table1_1[[#This Row],[Order Dates]])</f>
        <v>2</v>
      </c>
      <c r="E82" s="4" t="s">
        <v>56</v>
      </c>
      <c r="F82" s="4" t="s">
        <v>127</v>
      </c>
      <c r="G82" s="4" t="s">
        <v>134</v>
      </c>
      <c r="H82" s="4" t="str">
        <f>TRIM(CLEAN(SUBSTITUTE(Table1_1[[#This Row],[Salesperson]],"   "," ")))</f>
        <v>Divya Nair</v>
      </c>
      <c r="I82" s="4" t="s">
        <v>19</v>
      </c>
      <c r="J82" s="4" t="s">
        <v>20</v>
      </c>
      <c r="K82" s="4" t="s">
        <v>109</v>
      </c>
      <c r="L82" s="4" t="s">
        <v>159</v>
      </c>
      <c r="M82" s="4" t="s">
        <v>49</v>
      </c>
      <c r="N82" s="4" t="s">
        <v>94</v>
      </c>
      <c r="O82" s="4">
        <v>7</v>
      </c>
      <c r="P82" s="7">
        <v>17430</v>
      </c>
      <c r="Q82" s="8">
        <v>0.05</v>
      </c>
      <c r="R82" s="7">
        <v>12680</v>
      </c>
      <c r="S82" s="7">
        <f>Table1_1[[#This Row],[Units Sold]]*Table1_1[[#This Row],[Unit Price]]*(1-Table1_1[[#This Row],[Discount %]])</f>
        <v>115909.5</v>
      </c>
      <c r="T82" s="7">
        <f>Table1_1[[#This Row],[Units Sold]]*Table1_1[[#This Row],[Unit Cost]]</f>
        <v>88760</v>
      </c>
      <c r="U82" s="7">
        <f>Table1_1[[#This Row],[Calculated sales]]-Table1_1[[#This Row],[Total cost]]</f>
        <v>27149.5</v>
      </c>
      <c r="V82" s="4">
        <f>IFERROR(Table1_1[[#This Row],[Profit/Loss]]/Table1_1[[#This Row],[Calculated sales]],0)</f>
        <v>0.23423015369749675</v>
      </c>
    </row>
    <row r="83" spans="1:22" x14ac:dyDescent="0.25">
      <c r="A83" s="4" t="s">
        <v>210</v>
      </c>
      <c r="B83" s="5">
        <v>45345</v>
      </c>
      <c r="C83" s="4">
        <f>YEAR(Table1_1[[#This Row],[Order Dates]])</f>
        <v>2024</v>
      </c>
      <c r="D83" s="6">
        <f>MONTH(Table1_1[[#This Row],[Order Dates]])</f>
        <v>2</v>
      </c>
      <c r="E83" s="4" t="s">
        <v>56</v>
      </c>
      <c r="F83" s="4" t="s">
        <v>72</v>
      </c>
      <c r="G83" s="4" t="s">
        <v>134</v>
      </c>
      <c r="H83" s="4" t="str">
        <f>TRIM(CLEAN(SUBSTITUTE(Table1_1[[#This Row],[Salesperson]],"   "," ")))</f>
        <v>Divya Nair</v>
      </c>
      <c r="I83" s="4" t="s">
        <v>19</v>
      </c>
      <c r="J83" s="4" t="s">
        <v>83</v>
      </c>
      <c r="K83" s="4" t="s">
        <v>184</v>
      </c>
      <c r="L83" s="4" t="s">
        <v>196</v>
      </c>
      <c r="M83" s="4" t="s">
        <v>40</v>
      </c>
      <c r="N83" s="4" t="s">
        <v>24</v>
      </c>
      <c r="O83" s="4">
        <v>7</v>
      </c>
      <c r="P83" s="7">
        <v>3380</v>
      </c>
      <c r="Q83" s="8">
        <v>0.08</v>
      </c>
      <c r="R83" s="7">
        <v>2180</v>
      </c>
      <c r="S83" s="7">
        <f>Table1_1[[#This Row],[Units Sold]]*Table1_1[[#This Row],[Unit Price]]*(1-Table1_1[[#This Row],[Discount %]])</f>
        <v>21767.200000000001</v>
      </c>
      <c r="T83" s="7">
        <f>Table1_1[[#This Row],[Units Sold]]*Table1_1[[#This Row],[Unit Cost]]</f>
        <v>15260</v>
      </c>
      <c r="U83" s="7">
        <f>Table1_1[[#This Row],[Calculated sales]]-Table1_1[[#This Row],[Total cost]]</f>
        <v>6507.2000000000007</v>
      </c>
      <c r="V83" s="4">
        <f>IFERROR(Table1_1[[#This Row],[Profit/Loss]]/Table1_1[[#This Row],[Calculated sales]],0)</f>
        <v>0.29894520195523544</v>
      </c>
    </row>
    <row r="84" spans="1:22" x14ac:dyDescent="0.25">
      <c r="A84" s="4" t="s">
        <v>211</v>
      </c>
      <c r="B84" s="5">
        <v>45346</v>
      </c>
      <c r="C84" s="4">
        <f>YEAR(Table1_1[[#This Row],[Order Dates]])</f>
        <v>2024</v>
      </c>
      <c r="D84" s="6">
        <f>MONTH(Table1_1[[#This Row],[Order Dates]])</f>
        <v>2</v>
      </c>
      <c r="E84" s="4" t="s">
        <v>42</v>
      </c>
      <c r="F84" s="4" t="s">
        <v>96</v>
      </c>
      <c r="G84" s="4" t="s">
        <v>97</v>
      </c>
      <c r="H84" s="4" t="str">
        <f>TRIM(CLEAN(SUBSTITUTE(Table1_1[[#This Row],[Salesperson]],"   "," ")))</f>
        <v>Rohit Malhotra</v>
      </c>
      <c r="I84" s="4" t="s">
        <v>52</v>
      </c>
      <c r="J84" s="4" t="s">
        <v>46</v>
      </c>
      <c r="K84" s="4" t="s">
        <v>100</v>
      </c>
      <c r="L84" s="4" t="s">
        <v>177</v>
      </c>
      <c r="M84" s="4" t="s">
        <v>49</v>
      </c>
      <c r="N84" s="4" t="s">
        <v>24</v>
      </c>
      <c r="O84" s="4">
        <v>32</v>
      </c>
      <c r="P84" s="7">
        <v>2480</v>
      </c>
      <c r="Q84" s="8">
        <v>0.18</v>
      </c>
      <c r="R84" s="7">
        <v>1520</v>
      </c>
      <c r="S84" s="7">
        <f>Table1_1[[#This Row],[Units Sold]]*Table1_1[[#This Row],[Unit Price]]*(1-Table1_1[[#This Row],[Discount %]])</f>
        <v>65075.200000000004</v>
      </c>
      <c r="T84" s="7">
        <f>Table1_1[[#This Row],[Units Sold]]*Table1_1[[#This Row],[Unit Cost]]</f>
        <v>48640</v>
      </c>
      <c r="U84" s="7">
        <f>Table1_1[[#This Row],[Calculated sales]]-Table1_1[[#This Row],[Total cost]]</f>
        <v>16435.200000000004</v>
      </c>
      <c r="V84" s="4">
        <f>IFERROR(Table1_1[[#This Row],[Profit/Loss]]/Table1_1[[#This Row],[Calculated sales]],0)</f>
        <v>0.25255704169944931</v>
      </c>
    </row>
    <row r="85" spans="1:22" x14ac:dyDescent="0.25">
      <c r="A85" s="4" t="s">
        <v>212</v>
      </c>
      <c r="B85" s="5">
        <v>45346</v>
      </c>
      <c r="C85" s="4">
        <f>YEAR(Table1_1[[#This Row],[Order Dates]])</f>
        <v>2024</v>
      </c>
      <c r="D85" s="6">
        <f>MONTH(Table1_1[[#This Row],[Order Dates]])</f>
        <v>2</v>
      </c>
      <c r="E85" s="4" t="s">
        <v>37</v>
      </c>
      <c r="F85" s="4" t="s">
        <v>213</v>
      </c>
      <c r="G85" s="4" t="s">
        <v>68</v>
      </c>
      <c r="H85" s="4" t="str">
        <f>TRIM(CLEAN(SUBSTITUTE(Table1_1[[#This Row],[Salesperson]],"   "," ")))</f>
        <v>Ritika Ghosh</v>
      </c>
      <c r="I85" s="4" t="s">
        <v>45</v>
      </c>
      <c r="J85" s="4" t="s">
        <v>27</v>
      </c>
      <c r="K85" s="4" t="s">
        <v>214</v>
      </c>
      <c r="L85" s="4" t="s">
        <v>1680</v>
      </c>
      <c r="M85" s="4" t="s">
        <v>40</v>
      </c>
      <c r="N85" s="4" t="s">
        <v>24</v>
      </c>
      <c r="O85" s="4">
        <v>2</v>
      </c>
      <c r="P85" s="7">
        <v>34100</v>
      </c>
      <c r="Q85" s="8">
        <v>0.12</v>
      </c>
      <c r="R85" s="7">
        <v>26210</v>
      </c>
      <c r="S85" s="7">
        <f>Table1_1[[#This Row],[Units Sold]]*Table1_1[[#This Row],[Unit Price]]*(1-Table1_1[[#This Row],[Discount %]])</f>
        <v>60016</v>
      </c>
      <c r="T85" s="7">
        <f>Table1_1[[#This Row],[Units Sold]]*Table1_1[[#This Row],[Unit Cost]]</f>
        <v>52420</v>
      </c>
      <c r="U85" s="7">
        <f>Table1_1[[#This Row],[Calculated sales]]-Table1_1[[#This Row],[Total cost]]</f>
        <v>7596</v>
      </c>
      <c r="V85" s="4">
        <f>IFERROR(Table1_1[[#This Row],[Profit/Loss]]/Table1_1[[#This Row],[Calculated sales]],0)</f>
        <v>0.12656624900026658</v>
      </c>
    </row>
    <row r="86" spans="1:22" x14ac:dyDescent="0.25">
      <c r="A86" s="4" t="s">
        <v>216</v>
      </c>
      <c r="B86" s="5">
        <v>45346</v>
      </c>
      <c r="C86" s="4">
        <f>YEAR(Table1_1[[#This Row],[Order Dates]])</f>
        <v>2024</v>
      </c>
      <c r="D86" s="6">
        <f>MONTH(Table1_1[[#This Row],[Order Dates]])</f>
        <v>2</v>
      </c>
      <c r="E86" s="4" t="s">
        <v>76</v>
      </c>
      <c r="F86" s="4" t="s">
        <v>217</v>
      </c>
      <c r="G86" s="4" t="s">
        <v>170</v>
      </c>
      <c r="H86" s="4" t="str">
        <f>TRIM(CLEAN(SUBSTITUTE(Table1_1[[#This Row],[Salesperson]],"   "," ")))</f>
        <v>Manish Tiwari</v>
      </c>
      <c r="I86" s="4" t="s">
        <v>19</v>
      </c>
      <c r="J86" s="4" t="s">
        <v>46</v>
      </c>
      <c r="K86" s="4" t="s">
        <v>100</v>
      </c>
      <c r="L86" s="4" t="s">
        <v>101</v>
      </c>
      <c r="M86" s="4" t="s">
        <v>23</v>
      </c>
      <c r="N86" s="4" t="s">
        <v>24</v>
      </c>
      <c r="O86" s="4">
        <v>24</v>
      </c>
      <c r="P86" s="7">
        <v>1900</v>
      </c>
      <c r="Q86" s="8">
        <v>0.12</v>
      </c>
      <c r="R86" s="7">
        <v>1410</v>
      </c>
      <c r="S86" s="7">
        <f>Table1_1[[#This Row],[Units Sold]]*Table1_1[[#This Row],[Unit Price]]*(1-Table1_1[[#This Row],[Discount %]])</f>
        <v>40128</v>
      </c>
      <c r="T86" s="7">
        <f>Table1_1[[#This Row],[Units Sold]]*Table1_1[[#This Row],[Unit Cost]]</f>
        <v>33840</v>
      </c>
      <c r="U86" s="7">
        <f>Table1_1[[#This Row],[Calculated sales]]-Table1_1[[#This Row],[Total cost]]</f>
        <v>6288</v>
      </c>
      <c r="V86" s="4">
        <f>IFERROR(Table1_1[[#This Row],[Profit/Loss]]/Table1_1[[#This Row],[Calculated sales]],0)</f>
        <v>0.15669856459330145</v>
      </c>
    </row>
    <row r="87" spans="1:22" x14ac:dyDescent="0.25">
      <c r="A87" s="4" t="s">
        <v>218</v>
      </c>
      <c r="B87" s="5">
        <v>45347</v>
      </c>
      <c r="C87" s="4">
        <f>YEAR(Table1_1[[#This Row],[Order Dates]])</f>
        <v>2024</v>
      </c>
      <c r="D87" s="6">
        <f>MONTH(Table1_1[[#This Row],[Order Dates]])</f>
        <v>2</v>
      </c>
      <c r="E87" s="4" t="s">
        <v>42</v>
      </c>
      <c r="F87" s="4" t="s">
        <v>146</v>
      </c>
      <c r="G87" s="4" t="s">
        <v>64</v>
      </c>
      <c r="H87" s="4" t="str">
        <f>TRIM(CLEAN(SUBSTITUTE(Table1_1[[#This Row],[Salesperson]],"   "," ")))</f>
        <v>Aditya Verma</v>
      </c>
      <c r="I87" s="4" t="s">
        <v>92</v>
      </c>
      <c r="J87" s="4" t="s">
        <v>46</v>
      </c>
      <c r="K87" s="4" t="s">
        <v>47</v>
      </c>
      <c r="L87" s="4" t="s">
        <v>1673</v>
      </c>
      <c r="M87" s="4" t="s">
        <v>40</v>
      </c>
      <c r="N87" s="4" t="s">
        <v>119</v>
      </c>
      <c r="O87" s="4">
        <v>51</v>
      </c>
      <c r="P87" s="7">
        <v>1250</v>
      </c>
      <c r="Q87" s="8">
        <v>0</v>
      </c>
      <c r="R87" s="7">
        <v>920</v>
      </c>
      <c r="S87" s="7">
        <f>Table1_1[[#This Row],[Units Sold]]*Table1_1[[#This Row],[Unit Price]]*(1-Table1_1[[#This Row],[Discount %]])</f>
        <v>63750</v>
      </c>
      <c r="T87" s="7">
        <f>Table1_1[[#This Row],[Units Sold]]*Table1_1[[#This Row],[Unit Cost]]</f>
        <v>46920</v>
      </c>
      <c r="U87" s="7">
        <f>Table1_1[[#This Row],[Calculated sales]]-Table1_1[[#This Row],[Total cost]]</f>
        <v>16830</v>
      </c>
      <c r="V87" s="4">
        <f>IFERROR(Table1_1[[#This Row],[Profit/Loss]]/Table1_1[[#This Row],[Calculated sales]],0)</f>
        <v>0.26400000000000001</v>
      </c>
    </row>
    <row r="88" spans="1:22" x14ac:dyDescent="0.25">
      <c r="A88" s="4" t="s">
        <v>219</v>
      </c>
      <c r="B88" s="5">
        <v>45348</v>
      </c>
      <c r="C88" s="4">
        <f>YEAR(Table1_1[[#This Row],[Order Dates]])</f>
        <v>2024</v>
      </c>
      <c r="D88" s="6">
        <f>MONTH(Table1_1[[#This Row],[Order Dates]])</f>
        <v>2</v>
      </c>
      <c r="E88" s="4" t="s">
        <v>42</v>
      </c>
      <c r="F88" s="4" t="s">
        <v>146</v>
      </c>
      <c r="G88" s="4" t="s">
        <v>64</v>
      </c>
      <c r="H88" s="4" t="str">
        <f>TRIM(CLEAN(SUBSTITUTE(Table1_1[[#This Row],[Salesperson]],"   "," ")))</f>
        <v>Aditya Verma</v>
      </c>
      <c r="I88" s="4" t="s">
        <v>52</v>
      </c>
      <c r="J88" s="4" t="s">
        <v>46</v>
      </c>
      <c r="K88" s="4" t="s">
        <v>47</v>
      </c>
      <c r="L88" s="4" t="s">
        <v>48</v>
      </c>
      <c r="M88" s="4" t="s">
        <v>40</v>
      </c>
      <c r="N88" s="4" t="s">
        <v>35</v>
      </c>
      <c r="O88" s="4">
        <v>5</v>
      </c>
      <c r="P88" s="7">
        <v>1910</v>
      </c>
      <c r="Q88" s="8">
        <v>0.1</v>
      </c>
      <c r="R88" s="7">
        <v>1350</v>
      </c>
      <c r="S88" s="7">
        <f>Table1_1[[#This Row],[Units Sold]]*Table1_1[[#This Row],[Unit Price]]*(1-Table1_1[[#This Row],[Discount %]])</f>
        <v>8595</v>
      </c>
      <c r="T88" s="7">
        <f>Table1_1[[#This Row],[Units Sold]]*Table1_1[[#This Row],[Unit Cost]]</f>
        <v>6750</v>
      </c>
      <c r="U88" s="7">
        <f>Table1_1[[#This Row],[Calculated sales]]-Table1_1[[#This Row],[Total cost]]</f>
        <v>1845</v>
      </c>
      <c r="V88" s="4">
        <f>IFERROR(Table1_1[[#This Row],[Profit/Loss]]/Table1_1[[#This Row],[Calculated sales]],0)</f>
        <v>0.21465968586387435</v>
      </c>
    </row>
    <row r="89" spans="1:22" x14ac:dyDescent="0.25">
      <c r="A89" s="4" t="s">
        <v>220</v>
      </c>
      <c r="B89" s="5">
        <v>45348</v>
      </c>
      <c r="C89" s="4">
        <f>YEAR(Table1_1[[#This Row],[Order Dates]])</f>
        <v>2024</v>
      </c>
      <c r="D89" s="6">
        <f>MONTH(Table1_1[[#This Row],[Order Dates]])</f>
        <v>2</v>
      </c>
      <c r="E89" s="4" t="s">
        <v>42</v>
      </c>
      <c r="F89" s="4" t="s">
        <v>43</v>
      </c>
      <c r="G89" s="4" t="s">
        <v>64</v>
      </c>
      <c r="H89" s="4" t="str">
        <f>TRIM(CLEAN(SUBSTITUTE(Table1_1[[#This Row],[Salesperson]],"   "," ")))</f>
        <v>Aditya Verma</v>
      </c>
      <c r="I89" s="4" t="s">
        <v>19</v>
      </c>
      <c r="J89" s="4" t="s">
        <v>46</v>
      </c>
      <c r="K89" s="4" t="s">
        <v>179</v>
      </c>
      <c r="L89" s="4" t="s">
        <v>221</v>
      </c>
      <c r="M89" s="4" t="s">
        <v>23</v>
      </c>
      <c r="N89" s="4" t="s">
        <v>24</v>
      </c>
      <c r="O89" s="4">
        <v>25</v>
      </c>
      <c r="P89" s="7">
        <v>1580</v>
      </c>
      <c r="Q89" s="8">
        <v>0.08</v>
      </c>
      <c r="R89" s="7">
        <v>920</v>
      </c>
      <c r="S89" s="7">
        <f>Table1_1[[#This Row],[Units Sold]]*Table1_1[[#This Row],[Unit Price]]*(1-Table1_1[[#This Row],[Discount %]])</f>
        <v>36340</v>
      </c>
      <c r="T89" s="7">
        <f>Table1_1[[#This Row],[Units Sold]]*Table1_1[[#This Row],[Unit Cost]]</f>
        <v>23000</v>
      </c>
      <c r="U89" s="7">
        <f>Table1_1[[#This Row],[Calculated sales]]-Table1_1[[#This Row],[Total cost]]</f>
        <v>13340</v>
      </c>
      <c r="V89" s="4">
        <f>IFERROR(Table1_1[[#This Row],[Profit/Loss]]/Table1_1[[#This Row],[Calculated sales]],0)</f>
        <v>0.36708860759493672</v>
      </c>
    </row>
    <row r="90" spans="1:22" x14ac:dyDescent="0.25">
      <c r="A90" s="4" t="s">
        <v>222</v>
      </c>
      <c r="B90" s="5">
        <v>45350</v>
      </c>
      <c r="C90" s="4">
        <f>YEAR(Table1_1[[#This Row],[Order Dates]])</f>
        <v>2024</v>
      </c>
      <c r="D90" s="6">
        <f>MONTH(Table1_1[[#This Row],[Order Dates]])</f>
        <v>2</v>
      </c>
      <c r="E90" s="4" t="s">
        <v>42</v>
      </c>
      <c r="F90" s="4" t="s">
        <v>130</v>
      </c>
      <c r="G90" s="4" t="s">
        <v>44</v>
      </c>
      <c r="H90" s="4" t="str">
        <f>TRIM(CLEAN(SUBSTITUTE(Table1_1[[#This Row],[Salesperson]],"   "," ")))</f>
        <v>Simran Kaur</v>
      </c>
      <c r="I90" s="4" t="s">
        <v>92</v>
      </c>
      <c r="J90" s="4" t="s">
        <v>27</v>
      </c>
      <c r="K90" s="4" t="s">
        <v>53</v>
      </c>
      <c r="L90" s="4" t="s">
        <v>1676</v>
      </c>
      <c r="M90" s="4" t="s">
        <v>49</v>
      </c>
      <c r="N90" s="4" t="s">
        <v>24</v>
      </c>
      <c r="O90" s="4">
        <v>1</v>
      </c>
      <c r="P90" s="7">
        <v>34480</v>
      </c>
      <c r="Q90" s="8">
        <v>0.2</v>
      </c>
      <c r="R90" s="7">
        <v>20300</v>
      </c>
      <c r="S90" s="7">
        <f>Table1_1[[#This Row],[Units Sold]]*Table1_1[[#This Row],[Unit Price]]*(1-Table1_1[[#This Row],[Discount %]])</f>
        <v>27584</v>
      </c>
      <c r="T90" s="7">
        <f>Table1_1[[#This Row],[Units Sold]]*Table1_1[[#This Row],[Unit Cost]]</f>
        <v>20300</v>
      </c>
      <c r="U90" s="7">
        <f>Table1_1[[#This Row],[Calculated sales]]-Table1_1[[#This Row],[Total cost]]</f>
        <v>7284</v>
      </c>
      <c r="V90" s="4">
        <f>IFERROR(Table1_1[[#This Row],[Profit/Loss]]/Table1_1[[#This Row],[Calculated sales]],0)</f>
        <v>0.26406612529002321</v>
      </c>
    </row>
    <row r="91" spans="1:22" x14ac:dyDescent="0.25">
      <c r="A91" s="4" t="s">
        <v>223</v>
      </c>
      <c r="B91" s="5">
        <v>45350</v>
      </c>
      <c r="C91" s="4">
        <f>YEAR(Table1_1[[#This Row],[Order Dates]])</f>
        <v>2024</v>
      </c>
      <c r="D91" s="6">
        <f>MONTH(Table1_1[[#This Row],[Order Dates]])</f>
        <v>2</v>
      </c>
      <c r="E91" s="4" t="s">
        <v>76</v>
      </c>
      <c r="F91" s="4" t="s">
        <v>217</v>
      </c>
      <c r="G91" s="4" t="s">
        <v>78</v>
      </c>
      <c r="H91" s="4" t="str">
        <f>TRIM(CLEAN(SUBSTITUTE(Table1_1[[#This Row],[Salesperson]],"   "," ")))</f>
        <v>Pooja Chouhan</v>
      </c>
      <c r="I91" s="4" t="s">
        <v>92</v>
      </c>
      <c r="J91" s="4" t="s">
        <v>27</v>
      </c>
      <c r="K91" s="4" t="s">
        <v>28</v>
      </c>
      <c r="L91" s="4" t="s">
        <v>141</v>
      </c>
      <c r="M91" s="4" t="s">
        <v>23</v>
      </c>
      <c r="N91" s="4" t="s">
        <v>35</v>
      </c>
      <c r="O91" s="4">
        <v>8</v>
      </c>
      <c r="P91" s="7">
        <v>15700</v>
      </c>
      <c r="Q91" s="8">
        <v>0.12</v>
      </c>
      <c r="R91" s="7">
        <v>10550</v>
      </c>
      <c r="S91" s="7">
        <f>Table1_1[[#This Row],[Units Sold]]*Table1_1[[#This Row],[Unit Price]]*(1-Table1_1[[#This Row],[Discount %]])</f>
        <v>110528</v>
      </c>
      <c r="T91" s="7">
        <f>Table1_1[[#This Row],[Units Sold]]*Table1_1[[#This Row],[Unit Cost]]</f>
        <v>84400</v>
      </c>
      <c r="U91" s="7">
        <f>Table1_1[[#This Row],[Calculated sales]]-Table1_1[[#This Row],[Total cost]]</f>
        <v>26128</v>
      </c>
      <c r="V91" s="4">
        <f>IFERROR(Table1_1[[#This Row],[Profit/Loss]]/Table1_1[[#This Row],[Calculated sales]],0)</f>
        <v>0.23639258830341633</v>
      </c>
    </row>
    <row r="92" spans="1:22" x14ac:dyDescent="0.25">
      <c r="A92" s="4" t="s">
        <v>224</v>
      </c>
      <c r="B92" s="5">
        <v>45351</v>
      </c>
      <c r="C92" s="4">
        <f>YEAR(Table1_1[[#This Row],[Order Dates]])</f>
        <v>2024</v>
      </c>
      <c r="D92" s="6">
        <f>MONTH(Table1_1[[#This Row],[Order Dates]])</f>
        <v>2</v>
      </c>
      <c r="E92" s="4" t="s">
        <v>56</v>
      </c>
      <c r="F92" s="4" t="s">
        <v>103</v>
      </c>
      <c r="G92" s="4" t="s">
        <v>134</v>
      </c>
      <c r="H92" s="4" t="str">
        <f>TRIM(CLEAN(SUBSTITUTE(Table1_1[[#This Row],[Salesperson]],"   "," ")))</f>
        <v>Divya Nair</v>
      </c>
      <c r="I92" s="4" t="s">
        <v>92</v>
      </c>
      <c r="J92" s="4" t="s">
        <v>46</v>
      </c>
      <c r="K92" s="4" t="s">
        <v>47</v>
      </c>
      <c r="L92" s="4" t="s">
        <v>48</v>
      </c>
      <c r="M92" s="4" t="s">
        <v>23</v>
      </c>
      <c r="N92" s="4" t="s">
        <v>24</v>
      </c>
      <c r="O92" s="4">
        <v>65</v>
      </c>
      <c r="P92" s="7">
        <v>1900</v>
      </c>
      <c r="Q92" s="8">
        <v>0.1</v>
      </c>
      <c r="R92" s="7">
        <v>1160</v>
      </c>
      <c r="S92" s="7">
        <f>Table1_1[[#This Row],[Units Sold]]*Table1_1[[#This Row],[Unit Price]]*(1-Table1_1[[#This Row],[Discount %]])</f>
        <v>111150</v>
      </c>
      <c r="T92" s="7">
        <f>Table1_1[[#This Row],[Units Sold]]*Table1_1[[#This Row],[Unit Cost]]</f>
        <v>75400</v>
      </c>
      <c r="U92" s="7">
        <f>Table1_1[[#This Row],[Calculated sales]]-Table1_1[[#This Row],[Total cost]]</f>
        <v>35750</v>
      </c>
      <c r="V92" s="4">
        <f>IFERROR(Table1_1[[#This Row],[Profit/Loss]]/Table1_1[[#This Row],[Calculated sales]],0)</f>
        <v>0.32163742690058478</v>
      </c>
    </row>
    <row r="93" spans="1:22" x14ac:dyDescent="0.25">
      <c r="A93" s="4" t="s">
        <v>225</v>
      </c>
      <c r="B93" s="5">
        <v>45352</v>
      </c>
      <c r="C93" s="4">
        <f>YEAR(Table1_1[[#This Row],[Order Dates]])</f>
        <v>2024</v>
      </c>
      <c r="D93" s="6">
        <f>MONTH(Table1_1[[#This Row],[Order Dates]])</f>
        <v>3</v>
      </c>
      <c r="E93" s="4" t="s">
        <v>56</v>
      </c>
      <c r="F93" s="4" t="s">
        <v>57</v>
      </c>
      <c r="G93" s="4" t="s">
        <v>134</v>
      </c>
      <c r="H93" s="4" t="str">
        <f>TRIM(CLEAN(SUBSTITUTE(Table1_1[[#This Row],[Salesperson]],"   "," ")))</f>
        <v>Divya Nair</v>
      </c>
      <c r="I93" s="4" t="s">
        <v>45</v>
      </c>
      <c r="J93" s="4" t="s">
        <v>46</v>
      </c>
      <c r="K93" s="4" t="s">
        <v>100</v>
      </c>
      <c r="L93" s="4" t="s">
        <v>177</v>
      </c>
      <c r="M93" s="4" t="s">
        <v>23</v>
      </c>
      <c r="N93" s="4" t="s">
        <v>24</v>
      </c>
      <c r="O93" s="4">
        <v>27</v>
      </c>
      <c r="P93" s="7">
        <v>2410</v>
      </c>
      <c r="Q93" s="8">
        <v>0.08</v>
      </c>
      <c r="R93" s="7">
        <v>1470</v>
      </c>
      <c r="S93" s="7">
        <f>Table1_1[[#This Row],[Units Sold]]*Table1_1[[#This Row],[Unit Price]]*(1-Table1_1[[#This Row],[Discount %]])</f>
        <v>59864.4</v>
      </c>
      <c r="T93" s="7">
        <f>Table1_1[[#This Row],[Units Sold]]*Table1_1[[#This Row],[Unit Cost]]</f>
        <v>39690</v>
      </c>
      <c r="U93" s="7">
        <f>Table1_1[[#This Row],[Calculated sales]]-Table1_1[[#This Row],[Total cost]]</f>
        <v>20174.400000000001</v>
      </c>
      <c r="V93" s="4">
        <f>IFERROR(Table1_1[[#This Row],[Profit/Loss]]/Table1_1[[#This Row],[Calculated sales]],0)</f>
        <v>0.33700162366949304</v>
      </c>
    </row>
    <row r="94" spans="1:22" x14ac:dyDescent="0.25">
      <c r="A94" s="4" t="s">
        <v>226</v>
      </c>
      <c r="B94" s="5">
        <v>45353</v>
      </c>
      <c r="C94" s="4">
        <f>YEAR(Table1_1[[#This Row],[Order Dates]])</f>
        <v>2024</v>
      </c>
      <c r="D94" s="6">
        <f>MONTH(Table1_1[[#This Row],[Order Dates]])</f>
        <v>3</v>
      </c>
      <c r="E94" s="4" t="s">
        <v>56</v>
      </c>
      <c r="F94" s="4" t="s">
        <v>127</v>
      </c>
      <c r="G94" s="4" t="s">
        <v>134</v>
      </c>
      <c r="H94" s="4" t="str">
        <f>TRIM(CLEAN(SUBSTITUTE(Table1_1[[#This Row],[Salesperson]],"   "," ")))</f>
        <v>Divya Nair</v>
      </c>
      <c r="I94" s="4" t="s">
        <v>92</v>
      </c>
      <c r="J94" s="4" t="s">
        <v>27</v>
      </c>
      <c r="K94" s="4" t="s">
        <v>28</v>
      </c>
      <c r="L94" s="4" t="s">
        <v>141</v>
      </c>
      <c r="M94" s="4" t="s">
        <v>23</v>
      </c>
      <c r="N94" s="4" t="s">
        <v>24</v>
      </c>
      <c r="O94" s="4">
        <v>15</v>
      </c>
      <c r="P94" s="7">
        <v>16990</v>
      </c>
      <c r="Q94" s="8">
        <v>0.1</v>
      </c>
      <c r="R94" s="7">
        <v>13280</v>
      </c>
      <c r="S94" s="7">
        <f>Table1_1[[#This Row],[Units Sold]]*Table1_1[[#This Row],[Unit Price]]*(1-Table1_1[[#This Row],[Discount %]])</f>
        <v>229365</v>
      </c>
      <c r="T94" s="7">
        <f>Table1_1[[#This Row],[Units Sold]]*Table1_1[[#This Row],[Unit Cost]]</f>
        <v>199200</v>
      </c>
      <c r="U94" s="7">
        <f>Table1_1[[#This Row],[Calculated sales]]-Table1_1[[#This Row],[Total cost]]</f>
        <v>30165</v>
      </c>
      <c r="V94" s="4">
        <f>IFERROR(Table1_1[[#This Row],[Profit/Loss]]/Table1_1[[#This Row],[Calculated sales]],0)</f>
        <v>0.13151527042050878</v>
      </c>
    </row>
    <row r="95" spans="1:22" x14ac:dyDescent="0.25">
      <c r="A95" s="4" t="s">
        <v>227</v>
      </c>
      <c r="B95" s="5">
        <v>45353</v>
      </c>
      <c r="C95" s="4">
        <f>YEAR(Table1_1[[#This Row],[Order Dates]])</f>
        <v>2024</v>
      </c>
      <c r="D95" s="6">
        <f>MONTH(Table1_1[[#This Row],[Order Dates]])</f>
        <v>3</v>
      </c>
      <c r="E95" s="4" t="s">
        <v>16</v>
      </c>
      <c r="F95" s="4" t="s">
        <v>82</v>
      </c>
      <c r="G95" s="4" t="s">
        <v>18</v>
      </c>
      <c r="H95" s="4" t="str">
        <f>TRIM(CLEAN(SUBSTITUTE(Table1_1[[#This Row],[Salesperson]],"   "," ")))</f>
        <v>Imran Sheikh</v>
      </c>
      <c r="I95" s="4" t="s">
        <v>52</v>
      </c>
      <c r="J95" s="4" t="s">
        <v>20</v>
      </c>
      <c r="K95" s="4" t="s">
        <v>21</v>
      </c>
      <c r="L95" s="4" t="s">
        <v>1667</v>
      </c>
      <c r="M95" s="4" t="s">
        <v>23</v>
      </c>
      <c r="N95" s="4" t="s">
        <v>24</v>
      </c>
      <c r="O95" s="4">
        <v>4</v>
      </c>
      <c r="P95" s="7">
        <v>1860</v>
      </c>
      <c r="Q95" s="8">
        <v>0.05</v>
      </c>
      <c r="R95" s="7">
        <v>1340</v>
      </c>
      <c r="S95" s="7">
        <f>Table1_1[[#This Row],[Units Sold]]*Table1_1[[#This Row],[Unit Price]]*(1-Table1_1[[#This Row],[Discount %]])</f>
        <v>7068</v>
      </c>
      <c r="T95" s="7">
        <f>Table1_1[[#This Row],[Units Sold]]*Table1_1[[#This Row],[Unit Cost]]</f>
        <v>5360</v>
      </c>
      <c r="U95" s="7">
        <f>Table1_1[[#This Row],[Calculated sales]]-Table1_1[[#This Row],[Total cost]]</f>
        <v>1708</v>
      </c>
      <c r="V95" s="4">
        <f>IFERROR(Table1_1[[#This Row],[Profit/Loss]]/Table1_1[[#This Row],[Calculated sales]],0)</f>
        <v>0.24165251839275609</v>
      </c>
    </row>
    <row r="96" spans="1:22" x14ac:dyDescent="0.25">
      <c r="A96" s="4" t="s">
        <v>228</v>
      </c>
      <c r="B96" s="5">
        <v>45353</v>
      </c>
      <c r="C96" s="4">
        <f>YEAR(Table1_1[[#This Row],[Order Dates]])</f>
        <v>2024</v>
      </c>
      <c r="D96" s="6">
        <f>MONTH(Table1_1[[#This Row],[Order Dates]])</f>
        <v>3</v>
      </c>
      <c r="E96" s="4" t="s">
        <v>37</v>
      </c>
      <c r="F96" s="4" t="s">
        <v>213</v>
      </c>
      <c r="G96" s="4" t="s">
        <v>68</v>
      </c>
      <c r="H96" s="4" t="str">
        <f>TRIM(CLEAN(SUBSTITUTE(Table1_1[[#This Row],[Salesperson]],"   "," ")))</f>
        <v>Ritika Ghosh</v>
      </c>
      <c r="I96" s="4" t="s">
        <v>52</v>
      </c>
      <c r="J96" s="4" t="s">
        <v>20</v>
      </c>
      <c r="K96" s="4" t="s">
        <v>33</v>
      </c>
      <c r="L96" s="4" t="s">
        <v>1678</v>
      </c>
      <c r="M96" s="4" t="s">
        <v>40</v>
      </c>
      <c r="N96" s="4" t="s">
        <v>24</v>
      </c>
      <c r="O96" s="4">
        <v>3</v>
      </c>
      <c r="P96" s="7">
        <v>110940</v>
      </c>
      <c r="Q96" s="8">
        <v>0.18</v>
      </c>
      <c r="R96" s="7">
        <v>81580</v>
      </c>
      <c r="S96" s="7">
        <f>Table1_1[[#This Row],[Units Sold]]*Table1_1[[#This Row],[Unit Price]]*(1-Table1_1[[#This Row],[Discount %]])</f>
        <v>272912.40000000002</v>
      </c>
      <c r="T96" s="7">
        <f>Table1_1[[#This Row],[Units Sold]]*Table1_1[[#This Row],[Unit Cost]]</f>
        <v>244740</v>
      </c>
      <c r="U96" s="7">
        <f>Table1_1[[#This Row],[Calculated sales]]-Table1_1[[#This Row],[Total cost]]</f>
        <v>28172.400000000023</v>
      </c>
      <c r="V96" s="4">
        <f>IFERROR(Table1_1[[#This Row],[Profit/Loss]]/Table1_1[[#This Row],[Calculated sales]],0)</f>
        <v>0.10322872833920342</v>
      </c>
    </row>
    <row r="97" spans="1:22" x14ac:dyDescent="0.25">
      <c r="A97" s="4" t="s">
        <v>229</v>
      </c>
      <c r="B97" s="5">
        <v>45354</v>
      </c>
      <c r="C97" s="4">
        <f>YEAR(Table1_1[[#This Row],[Order Dates]])</f>
        <v>2024</v>
      </c>
      <c r="D97" s="6">
        <f>MONTH(Table1_1[[#This Row],[Order Dates]])</f>
        <v>3</v>
      </c>
      <c r="E97" s="4" t="s">
        <v>76</v>
      </c>
      <c r="F97" s="4" t="s">
        <v>150</v>
      </c>
      <c r="G97" s="4" t="s">
        <v>78</v>
      </c>
      <c r="H97" s="4" t="str">
        <f>TRIM(CLEAN(SUBSTITUTE(Table1_1[[#This Row],[Salesperson]],"   "," ")))</f>
        <v>Pooja Chouhan</v>
      </c>
      <c r="I97" s="4" t="s">
        <v>19</v>
      </c>
      <c r="J97" s="4" t="s">
        <v>83</v>
      </c>
      <c r="K97" s="4" t="s">
        <v>84</v>
      </c>
      <c r="L97" s="4" t="s">
        <v>1671</v>
      </c>
      <c r="M97" s="4" t="s">
        <v>23</v>
      </c>
      <c r="N97" s="4" t="s">
        <v>24</v>
      </c>
      <c r="O97" s="4">
        <v>37</v>
      </c>
      <c r="P97" s="7">
        <v>2450</v>
      </c>
      <c r="Q97" s="8">
        <v>0.05</v>
      </c>
      <c r="R97" s="7">
        <v>1870</v>
      </c>
      <c r="S97" s="7">
        <f>Table1_1[[#This Row],[Units Sold]]*Table1_1[[#This Row],[Unit Price]]*(1-Table1_1[[#This Row],[Discount %]])</f>
        <v>86117.5</v>
      </c>
      <c r="T97" s="7">
        <f>Table1_1[[#This Row],[Units Sold]]*Table1_1[[#This Row],[Unit Cost]]</f>
        <v>69190</v>
      </c>
      <c r="U97" s="7">
        <f>Table1_1[[#This Row],[Calculated sales]]-Table1_1[[#This Row],[Total cost]]</f>
        <v>16927.5</v>
      </c>
      <c r="V97" s="4">
        <f>IFERROR(Table1_1[[#This Row],[Profit/Loss]]/Table1_1[[#This Row],[Calculated sales]],0)</f>
        <v>0.19656283566058003</v>
      </c>
    </row>
    <row r="98" spans="1:22" x14ac:dyDescent="0.25">
      <c r="A98" s="4" t="s">
        <v>230</v>
      </c>
      <c r="B98" s="5">
        <v>45354</v>
      </c>
      <c r="C98" s="4">
        <f>YEAR(Table1_1[[#This Row],[Order Dates]])</f>
        <v>2024</v>
      </c>
      <c r="D98" s="6">
        <f>MONTH(Table1_1[[#This Row],[Order Dates]])</f>
        <v>3</v>
      </c>
      <c r="E98" s="4" t="s">
        <v>16</v>
      </c>
      <c r="F98" s="4" t="s">
        <v>82</v>
      </c>
      <c r="G98" s="4" t="s">
        <v>26</v>
      </c>
      <c r="H98" s="4" t="str">
        <f>TRIM(CLEAN(SUBSTITUTE(Table1_1[[#This Row],[Salesperson]],"   "," ")))</f>
        <v>Prateek Shah</v>
      </c>
      <c r="I98" s="4" t="s">
        <v>92</v>
      </c>
      <c r="J98" s="4" t="s">
        <v>83</v>
      </c>
      <c r="K98" s="4" t="s">
        <v>136</v>
      </c>
      <c r="L98" s="4" t="s">
        <v>137</v>
      </c>
      <c r="M98" s="4" t="s">
        <v>23</v>
      </c>
      <c r="N98" s="4" t="s">
        <v>24</v>
      </c>
      <c r="O98" s="4">
        <v>50</v>
      </c>
      <c r="P98" s="7">
        <v>1660</v>
      </c>
      <c r="Q98" s="8">
        <v>0.05</v>
      </c>
      <c r="R98" s="7">
        <v>1000</v>
      </c>
      <c r="S98" s="7">
        <f>Table1_1[[#This Row],[Units Sold]]*Table1_1[[#This Row],[Unit Price]]*(1-Table1_1[[#This Row],[Discount %]])</f>
        <v>78850</v>
      </c>
      <c r="T98" s="7">
        <f>Table1_1[[#This Row],[Units Sold]]*Table1_1[[#This Row],[Unit Cost]]</f>
        <v>50000</v>
      </c>
      <c r="U98" s="7">
        <f>Table1_1[[#This Row],[Calculated sales]]-Table1_1[[#This Row],[Total cost]]</f>
        <v>28850</v>
      </c>
      <c r="V98" s="4">
        <f>IFERROR(Table1_1[[#This Row],[Profit/Loss]]/Table1_1[[#This Row],[Calculated sales]],0)</f>
        <v>0.3658845909955612</v>
      </c>
    </row>
    <row r="99" spans="1:22" x14ac:dyDescent="0.25">
      <c r="A99" s="4" t="s">
        <v>231</v>
      </c>
      <c r="B99" s="5">
        <v>45354</v>
      </c>
      <c r="C99" s="4">
        <f>YEAR(Table1_1[[#This Row],[Order Dates]])</f>
        <v>2024</v>
      </c>
      <c r="D99" s="6">
        <f>MONTH(Table1_1[[#This Row],[Order Dates]])</f>
        <v>3</v>
      </c>
      <c r="E99" s="4" t="s">
        <v>37</v>
      </c>
      <c r="F99" s="4" t="s">
        <v>213</v>
      </c>
      <c r="G99" s="4" t="s">
        <v>39</v>
      </c>
      <c r="H99" s="4" t="str">
        <f>TRIM(CLEAN(SUBSTITUTE(Table1_1[[#This Row],[Salesperson]],"   "," ")))</f>
        <v>Sourav Das</v>
      </c>
      <c r="I99" s="4" t="s">
        <v>92</v>
      </c>
      <c r="J99" s="4" t="s">
        <v>59</v>
      </c>
      <c r="K99" s="4" t="s">
        <v>73</v>
      </c>
      <c r="L99" s="4" t="s">
        <v>74</v>
      </c>
      <c r="M99" s="4" t="s">
        <v>40</v>
      </c>
      <c r="N99" s="4" t="s">
        <v>24</v>
      </c>
      <c r="O99" s="4">
        <v>8</v>
      </c>
      <c r="P99" s="7">
        <v>46300</v>
      </c>
      <c r="Q99" s="8">
        <v>0.05</v>
      </c>
      <c r="R99" s="7">
        <v>30860</v>
      </c>
      <c r="S99" s="7">
        <f>Table1_1[[#This Row],[Units Sold]]*Table1_1[[#This Row],[Unit Price]]*(1-Table1_1[[#This Row],[Discount %]])</f>
        <v>351880</v>
      </c>
      <c r="T99" s="7">
        <f>Table1_1[[#This Row],[Units Sold]]*Table1_1[[#This Row],[Unit Cost]]</f>
        <v>246880</v>
      </c>
      <c r="U99" s="7">
        <f>Table1_1[[#This Row],[Calculated sales]]-Table1_1[[#This Row],[Total cost]]</f>
        <v>105000</v>
      </c>
      <c r="V99" s="4">
        <f>IFERROR(Table1_1[[#This Row],[Profit/Loss]]/Table1_1[[#This Row],[Calculated sales]],0)</f>
        <v>0.29839718085711037</v>
      </c>
    </row>
    <row r="100" spans="1:22" x14ac:dyDescent="0.25">
      <c r="A100" s="4" t="s">
        <v>232</v>
      </c>
      <c r="B100" s="5">
        <v>45356</v>
      </c>
      <c r="C100" s="4">
        <f>YEAR(Table1_1[[#This Row],[Order Dates]])</f>
        <v>2024</v>
      </c>
      <c r="D100" s="6">
        <f>MONTH(Table1_1[[#This Row],[Order Dates]])</f>
        <v>3</v>
      </c>
      <c r="E100" s="4" t="s">
        <v>76</v>
      </c>
      <c r="F100" s="4" t="s">
        <v>99</v>
      </c>
      <c r="G100" s="4" t="s">
        <v>170</v>
      </c>
      <c r="H100" s="4" t="str">
        <f>TRIM(CLEAN(SUBSTITUTE(Table1_1[[#This Row],[Salesperson]],"   "," ")))</f>
        <v>Manish Tiwari</v>
      </c>
      <c r="I100" s="4" t="s">
        <v>52</v>
      </c>
      <c r="J100" s="4" t="s">
        <v>27</v>
      </c>
      <c r="K100" s="4" t="s">
        <v>214</v>
      </c>
      <c r="L100" s="4" t="s">
        <v>1680</v>
      </c>
      <c r="M100" s="4" t="s">
        <v>23</v>
      </c>
      <c r="N100" s="4" t="s">
        <v>24</v>
      </c>
      <c r="O100" s="4">
        <v>2</v>
      </c>
      <c r="P100" s="7">
        <v>36680</v>
      </c>
      <c r="Q100" s="8">
        <v>0.08</v>
      </c>
      <c r="R100" s="7">
        <v>22240</v>
      </c>
      <c r="S100" s="7">
        <f>Table1_1[[#This Row],[Units Sold]]*Table1_1[[#This Row],[Unit Price]]*(1-Table1_1[[#This Row],[Discount %]])</f>
        <v>67491.199999999997</v>
      </c>
      <c r="T100" s="7">
        <f>Table1_1[[#This Row],[Units Sold]]*Table1_1[[#This Row],[Unit Cost]]</f>
        <v>44480</v>
      </c>
      <c r="U100" s="7">
        <f>Table1_1[[#This Row],[Calculated sales]]-Table1_1[[#This Row],[Total cost]]</f>
        <v>23011.199999999997</v>
      </c>
      <c r="V100" s="4">
        <f>IFERROR(Table1_1[[#This Row],[Profit/Loss]]/Table1_1[[#This Row],[Calculated sales]],0)</f>
        <v>0.34095111659001465</v>
      </c>
    </row>
    <row r="101" spans="1:22" x14ac:dyDescent="0.25">
      <c r="A101" s="4" t="s">
        <v>233</v>
      </c>
      <c r="B101" s="5">
        <v>45356</v>
      </c>
      <c r="C101" s="4">
        <f>YEAR(Table1_1[[#This Row],[Order Dates]])</f>
        <v>2024</v>
      </c>
      <c r="D101" s="6">
        <f>MONTH(Table1_1[[#This Row],[Order Dates]])</f>
        <v>3</v>
      </c>
      <c r="E101" s="4" t="s">
        <v>56</v>
      </c>
      <c r="F101" s="4" t="s">
        <v>57</v>
      </c>
      <c r="G101" s="4" t="s">
        <v>58</v>
      </c>
      <c r="H101" s="4" t="str">
        <f>TRIM(CLEAN(SUBSTITUTE(Table1_1[[#This Row],[Salesperson]],"   "," ")))</f>
        <v>Karthik Raman</v>
      </c>
      <c r="I101" s="4" t="s">
        <v>19</v>
      </c>
      <c r="J101" s="4" t="s">
        <v>46</v>
      </c>
      <c r="K101" s="4" t="s">
        <v>179</v>
      </c>
      <c r="L101" s="4" t="s">
        <v>221</v>
      </c>
      <c r="M101" s="4" t="s">
        <v>40</v>
      </c>
      <c r="N101" s="4" t="s">
        <v>24</v>
      </c>
      <c r="O101" s="4">
        <v>26</v>
      </c>
      <c r="P101" s="7">
        <v>1540</v>
      </c>
      <c r="Q101" s="8">
        <v>0</v>
      </c>
      <c r="R101" s="7">
        <v>890</v>
      </c>
      <c r="S101" s="7">
        <f>Table1_1[[#This Row],[Units Sold]]*Table1_1[[#This Row],[Unit Price]]*(1-Table1_1[[#This Row],[Discount %]])</f>
        <v>40040</v>
      </c>
      <c r="T101" s="7">
        <f>Table1_1[[#This Row],[Units Sold]]*Table1_1[[#This Row],[Unit Cost]]</f>
        <v>23140</v>
      </c>
      <c r="U101" s="7">
        <f>Table1_1[[#This Row],[Calculated sales]]-Table1_1[[#This Row],[Total cost]]</f>
        <v>16900</v>
      </c>
      <c r="V101" s="4">
        <f>IFERROR(Table1_1[[#This Row],[Profit/Loss]]/Table1_1[[#This Row],[Calculated sales]],0)</f>
        <v>0.42207792207792205</v>
      </c>
    </row>
    <row r="102" spans="1:22" x14ac:dyDescent="0.25">
      <c r="A102" s="4" t="s">
        <v>234</v>
      </c>
      <c r="B102" s="5">
        <v>45356</v>
      </c>
      <c r="C102" s="4">
        <f>YEAR(Table1_1[[#This Row],[Order Dates]])</f>
        <v>2024</v>
      </c>
      <c r="D102" s="6">
        <f>MONTH(Table1_1[[#This Row],[Order Dates]])</f>
        <v>3</v>
      </c>
      <c r="E102" s="4" t="s">
        <v>76</v>
      </c>
      <c r="F102" s="4" t="s">
        <v>217</v>
      </c>
      <c r="G102" s="4" t="s">
        <v>78</v>
      </c>
      <c r="H102" s="4" t="str">
        <f>TRIM(CLEAN(SUBSTITUTE(Table1_1[[#This Row],[Salesperson]],"   "," ")))</f>
        <v>Pooja Chouhan</v>
      </c>
      <c r="I102" s="4" t="s">
        <v>19</v>
      </c>
      <c r="J102" s="4" t="s">
        <v>83</v>
      </c>
      <c r="K102" s="4" t="s">
        <v>184</v>
      </c>
      <c r="L102" s="4" t="s">
        <v>1679</v>
      </c>
      <c r="M102" s="4" t="s">
        <v>49</v>
      </c>
      <c r="N102" s="4" t="s">
        <v>119</v>
      </c>
      <c r="O102" s="4">
        <v>4</v>
      </c>
      <c r="P102" s="7">
        <v>4480</v>
      </c>
      <c r="Q102" s="8">
        <v>0.25</v>
      </c>
      <c r="R102" s="7">
        <v>3150</v>
      </c>
      <c r="S102" s="7">
        <f>Table1_1[[#This Row],[Units Sold]]*Table1_1[[#This Row],[Unit Price]]*(1-Table1_1[[#This Row],[Discount %]])</f>
        <v>13440</v>
      </c>
      <c r="T102" s="7">
        <f>Table1_1[[#This Row],[Units Sold]]*Table1_1[[#This Row],[Unit Cost]]</f>
        <v>12600</v>
      </c>
      <c r="U102" s="7">
        <f>Table1_1[[#This Row],[Calculated sales]]-Table1_1[[#This Row],[Total cost]]</f>
        <v>840</v>
      </c>
      <c r="V102" s="4">
        <f>IFERROR(Table1_1[[#This Row],[Profit/Loss]]/Table1_1[[#This Row],[Calculated sales]],0)</f>
        <v>6.25E-2</v>
      </c>
    </row>
    <row r="103" spans="1:22" x14ac:dyDescent="0.25">
      <c r="A103" s="4" t="s">
        <v>235</v>
      </c>
      <c r="B103" s="5">
        <v>45356</v>
      </c>
      <c r="C103" s="4">
        <f>YEAR(Table1_1[[#This Row],[Order Dates]])</f>
        <v>2024</v>
      </c>
      <c r="D103" s="6">
        <f>MONTH(Table1_1[[#This Row],[Order Dates]])</f>
        <v>3</v>
      </c>
      <c r="E103" s="4" t="s">
        <v>76</v>
      </c>
      <c r="F103" s="4" t="s">
        <v>217</v>
      </c>
      <c r="G103" s="4" t="s">
        <v>78</v>
      </c>
      <c r="H103" s="4" t="str">
        <f>TRIM(CLEAN(SUBSTITUTE(Table1_1[[#This Row],[Salesperson]],"   "," ")))</f>
        <v>Pooja Chouhan</v>
      </c>
      <c r="I103" s="4" t="s">
        <v>19</v>
      </c>
      <c r="J103" s="4" t="s">
        <v>46</v>
      </c>
      <c r="K103" s="4" t="s">
        <v>179</v>
      </c>
      <c r="L103" s="4" t="s">
        <v>236</v>
      </c>
      <c r="M103" s="4" t="s">
        <v>49</v>
      </c>
      <c r="N103" s="4" t="s">
        <v>24</v>
      </c>
      <c r="O103" s="4">
        <v>18</v>
      </c>
      <c r="P103" s="7">
        <v>2240</v>
      </c>
      <c r="Q103" s="8">
        <v>0.15</v>
      </c>
      <c r="R103" s="7">
        <v>1680</v>
      </c>
      <c r="S103" s="7">
        <f>Table1_1[[#This Row],[Units Sold]]*Table1_1[[#This Row],[Unit Price]]*(1-Table1_1[[#This Row],[Discount %]])</f>
        <v>34272</v>
      </c>
      <c r="T103" s="7">
        <f>Table1_1[[#This Row],[Units Sold]]*Table1_1[[#This Row],[Unit Cost]]</f>
        <v>30240</v>
      </c>
      <c r="U103" s="7">
        <f>Table1_1[[#This Row],[Calculated sales]]-Table1_1[[#This Row],[Total cost]]</f>
        <v>4032</v>
      </c>
      <c r="V103" s="4">
        <f>IFERROR(Table1_1[[#This Row],[Profit/Loss]]/Table1_1[[#This Row],[Calculated sales]],0)</f>
        <v>0.11764705882352941</v>
      </c>
    </row>
    <row r="104" spans="1:22" x14ac:dyDescent="0.25">
      <c r="A104" s="4" t="s">
        <v>237</v>
      </c>
      <c r="B104" s="5">
        <v>45357</v>
      </c>
      <c r="C104" s="4">
        <f>YEAR(Table1_1[[#This Row],[Order Dates]])</f>
        <v>2024</v>
      </c>
      <c r="D104" s="6">
        <f>MONTH(Table1_1[[#This Row],[Order Dates]])</f>
        <v>3</v>
      </c>
      <c r="E104" s="4" t="s">
        <v>56</v>
      </c>
      <c r="F104" s="4" t="s">
        <v>72</v>
      </c>
      <c r="G104" s="4" t="s">
        <v>91</v>
      </c>
      <c r="H104" s="4" t="str">
        <f>TRIM(CLEAN(SUBSTITUTE(Table1_1[[#This Row],[Salesperson]],"   "," ")))</f>
        <v>Anjali Menon</v>
      </c>
      <c r="I104" s="4" t="s">
        <v>52</v>
      </c>
      <c r="J104" s="4" t="s">
        <v>59</v>
      </c>
      <c r="K104" s="4" t="s">
        <v>69</v>
      </c>
      <c r="L104" s="4" t="s">
        <v>70</v>
      </c>
      <c r="M104" s="4" t="s">
        <v>49</v>
      </c>
      <c r="N104" s="4" t="s">
        <v>35</v>
      </c>
      <c r="O104" s="4">
        <v>4</v>
      </c>
      <c r="P104" s="7">
        <v>29680</v>
      </c>
      <c r="Q104" s="8">
        <v>0.08</v>
      </c>
      <c r="R104" s="7">
        <v>22840</v>
      </c>
      <c r="S104" s="7">
        <f>Table1_1[[#This Row],[Units Sold]]*Table1_1[[#This Row],[Unit Price]]*(1-Table1_1[[#This Row],[Discount %]])</f>
        <v>109222.40000000001</v>
      </c>
      <c r="T104" s="7">
        <f>Table1_1[[#This Row],[Units Sold]]*Table1_1[[#This Row],[Unit Cost]]</f>
        <v>91360</v>
      </c>
      <c r="U104" s="7">
        <f>Table1_1[[#This Row],[Calculated sales]]-Table1_1[[#This Row],[Total cost]]</f>
        <v>17862.400000000009</v>
      </c>
      <c r="V104" s="4">
        <f>IFERROR(Table1_1[[#This Row],[Profit/Loss]]/Table1_1[[#This Row],[Calculated sales]],0)</f>
        <v>0.16354154459158568</v>
      </c>
    </row>
    <row r="105" spans="1:22" x14ac:dyDescent="0.25">
      <c r="A105" s="4" t="s">
        <v>238</v>
      </c>
      <c r="B105" s="5">
        <v>45357</v>
      </c>
      <c r="C105" s="4">
        <f>YEAR(Table1_1[[#This Row],[Order Dates]])</f>
        <v>2024</v>
      </c>
      <c r="D105" s="6">
        <f>MONTH(Table1_1[[#This Row],[Order Dates]])</f>
        <v>3</v>
      </c>
      <c r="E105" s="4" t="s">
        <v>42</v>
      </c>
      <c r="F105" s="4" t="s">
        <v>43</v>
      </c>
      <c r="G105" s="4" t="s">
        <v>97</v>
      </c>
      <c r="H105" s="4" t="str">
        <f>TRIM(CLEAN(SUBSTITUTE(Table1_1[[#This Row],[Salesperson]],"   "," ")))</f>
        <v>Rohit Malhotra</v>
      </c>
      <c r="I105" s="4" t="s">
        <v>19</v>
      </c>
      <c r="J105" s="4" t="s">
        <v>59</v>
      </c>
      <c r="K105" s="4" t="s">
        <v>60</v>
      </c>
      <c r="L105" s="4" t="s">
        <v>61</v>
      </c>
      <c r="M105" s="4" t="s">
        <v>40</v>
      </c>
      <c r="N105" s="4" t="s">
        <v>24</v>
      </c>
      <c r="O105" s="4">
        <v>4</v>
      </c>
      <c r="P105" s="7">
        <v>25750</v>
      </c>
      <c r="Q105" s="8">
        <v>0.1</v>
      </c>
      <c r="R105" s="7">
        <v>15550</v>
      </c>
      <c r="S105" s="7">
        <f>Table1_1[[#This Row],[Units Sold]]*Table1_1[[#This Row],[Unit Price]]*(1-Table1_1[[#This Row],[Discount %]])</f>
        <v>92700</v>
      </c>
      <c r="T105" s="7">
        <f>Table1_1[[#This Row],[Units Sold]]*Table1_1[[#This Row],[Unit Cost]]</f>
        <v>62200</v>
      </c>
      <c r="U105" s="7">
        <f>Table1_1[[#This Row],[Calculated sales]]-Table1_1[[#This Row],[Total cost]]</f>
        <v>30500</v>
      </c>
      <c r="V105" s="4">
        <f>IFERROR(Table1_1[[#This Row],[Profit/Loss]]/Table1_1[[#This Row],[Calculated sales]],0)</f>
        <v>0.32901833872707659</v>
      </c>
    </row>
    <row r="106" spans="1:22" x14ac:dyDescent="0.25">
      <c r="A106" s="4" t="s">
        <v>239</v>
      </c>
      <c r="B106" s="5">
        <v>45357</v>
      </c>
      <c r="C106" s="4">
        <f>YEAR(Table1_1[[#This Row],[Order Dates]])</f>
        <v>2024</v>
      </c>
      <c r="D106" s="6">
        <f>MONTH(Table1_1[[#This Row],[Order Dates]])</f>
        <v>3</v>
      </c>
      <c r="E106" s="4" t="s">
        <v>16</v>
      </c>
      <c r="F106" s="4" t="s">
        <v>153</v>
      </c>
      <c r="G106" s="4" t="s">
        <v>18</v>
      </c>
      <c r="H106" s="4" t="str">
        <f>TRIM(CLEAN(SUBSTITUTE(Table1_1[[#This Row],[Salesperson]],"   "," ")))</f>
        <v>Imran Sheikh</v>
      </c>
      <c r="I106" s="4" t="s">
        <v>19</v>
      </c>
      <c r="J106" s="4" t="s">
        <v>20</v>
      </c>
      <c r="K106" s="4" t="s">
        <v>21</v>
      </c>
      <c r="L106" s="4" t="s">
        <v>1670</v>
      </c>
      <c r="M106" s="4" t="s">
        <v>49</v>
      </c>
      <c r="N106" s="4" t="s">
        <v>24</v>
      </c>
      <c r="O106" s="4">
        <v>4</v>
      </c>
      <c r="P106" s="7">
        <v>9000</v>
      </c>
      <c r="Q106" s="8">
        <v>0.08</v>
      </c>
      <c r="R106" s="7">
        <v>5060</v>
      </c>
      <c r="S106" s="7">
        <f>Table1_1[[#This Row],[Units Sold]]*Table1_1[[#This Row],[Unit Price]]*(1-Table1_1[[#This Row],[Discount %]])</f>
        <v>33120</v>
      </c>
      <c r="T106" s="7">
        <f>Table1_1[[#This Row],[Units Sold]]*Table1_1[[#This Row],[Unit Cost]]</f>
        <v>20240</v>
      </c>
      <c r="U106" s="7">
        <f>Table1_1[[#This Row],[Calculated sales]]-Table1_1[[#This Row],[Total cost]]</f>
        <v>12880</v>
      </c>
      <c r="V106" s="4">
        <f>IFERROR(Table1_1[[#This Row],[Profit/Loss]]/Table1_1[[#This Row],[Calculated sales]],0)</f>
        <v>0.3888888888888889</v>
      </c>
    </row>
    <row r="107" spans="1:22" x14ac:dyDescent="0.25">
      <c r="A107" s="4" t="s">
        <v>240</v>
      </c>
      <c r="B107" s="5">
        <v>45357</v>
      </c>
      <c r="C107" s="4">
        <f>YEAR(Table1_1[[#This Row],[Order Dates]])</f>
        <v>2024</v>
      </c>
      <c r="D107" s="6">
        <f>MONTH(Table1_1[[#This Row],[Order Dates]])</f>
        <v>3</v>
      </c>
      <c r="E107" s="4" t="s">
        <v>56</v>
      </c>
      <c r="F107" s="4" t="s">
        <v>103</v>
      </c>
      <c r="G107" s="4" t="s">
        <v>91</v>
      </c>
      <c r="H107" s="4" t="str">
        <f>TRIM(CLEAN(SUBSTITUTE(Table1_1[[#This Row],[Salesperson]],"   "," ")))</f>
        <v>Anjali Menon</v>
      </c>
      <c r="I107" s="4" t="s">
        <v>92</v>
      </c>
      <c r="J107" s="4" t="s">
        <v>46</v>
      </c>
      <c r="K107" s="4" t="s">
        <v>47</v>
      </c>
      <c r="L107" s="4" t="s">
        <v>48</v>
      </c>
      <c r="M107" s="4" t="s">
        <v>49</v>
      </c>
      <c r="N107" s="4" t="s">
        <v>24</v>
      </c>
      <c r="O107" s="4">
        <v>43</v>
      </c>
      <c r="P107" s="7">
        <v>1840</v>
      </c>
      <c r="Q107" s="8">
        <v>0.1</v>
      </c>
      <c r="R107" s="7">
        <v>1180</v>
      </c>
      <c r="S107" s="7">
        <f>Table1_1[[#This Row],[Units Sold]]*Table1_1[[#This Row],[Unit Price]]*(1-Table1_1[[#This Row],[Discount %]])</f>
        <v>71208</v>
      </c>
      <c r="T107" s="7">
        <f>Table1_1[[#This Row],[Units Sold]]*Table1_1[[#This Row],[Unit Cost]]</f>
        <v>50740</v>
      </c>
      <c r="U107" s="7">
        <f>Table1_1[[#This Row],[Calculated sales]]-Table1_1[[#This Row],[Total cost]]</f>
        <v>20468</v>
      </c>
      <c r="V107" s="4">
        <f>IFERROR(Table1_1[[#This Row],[Profit/Loss]]/Table1_1[[#This Row],[Calculated sales]],0)</f>
        <v>0.28743961352657005</v>
      </c>
    </row>
    <row r="108" spans="1:22" x14ac:dyDescent="0.25">
      <c r="A108" s="4" t="s">
        <v>241</v>
      </c>
      <c r="B108" s="5">
        <v>45358</v>
      </c>
      <c r="C108" s="4">
        <f>YEAR(Table1_1[[#This Row],[Order Dates]])</f>
        <v>2024</v>
      </c>
      <c r="D108" s="6">
        <f>MONTH(Table1_1[[#This Row],[Order Dates]])</f>
        <v>3</v>
      </c>
      <c r="E108" s="4" t="s">
        <v>37</v>
      </c>
      <c r="F108" s="4" t="s">
        <v>67</v>
      </c>
      <c r="G108" s="4" t="s">
        <v>39</v>
      </c>
      <c r="H108" s="4" t="str">
        <f>TRIM(CLEAN(SUBSTITUTE(Table1_1[[#This Row],[Salesperson]],"   "," ")))</f>
        <v>Sourav Das</v>
      </c>
      <c r="I108" s="4" t="s">
        <v>92</v>
      </c>
      <c r="J108" s="4" t="s">
        <v>27</v>
      </c>
      <c r="K108" s="4" t="s">
        <v>53</v>
      </c>
      <c r="L108" s="4" t="s">
        <v>1669</v>
      </c>
      <c r="M108" s="4" t="s">
        <v>40</v>
      </c>
      <c r="N108" s="4" t="s">
        <v>24</v>
      </c>
      <c r="O108" s="4">
        <v>3</v>
      </c>
      <c r="P108" s="7">
        <v>43530</v>
      </c>
      <c r="Q108" s="8">
        <v>0</v>
      </c>
      <c r="R108" s="7">
        <v>31840</v>
      </c>
      <c r="S108" s="7">
        <f>Table1_1[[#This Row],[Units Sold]]*Table1_1[[#This Row],[Unit Price]]*(1-Table1_1[[#This Row],[Discount %]])</f>
        <v>130590</v>
      </c>
      <c r="T108" s="7">
        <f>Table1_1[[#This Row],[Units Sold]]*Table1_1[[#This Row],[Unit Cost]]</f>
        <v>95520</v>
      </c>
      <c r="U108" s="7">
        <f>Table1_1[[#This Row],[Calculated sales]]-Table1_1[[#This Row],[Total cost]]</f>
        <v>35070</v>
      </c>
      <c r="V108" s="4">
        <f>IFERROR(Table1_1[[#This Row],[Profit/Loss]]/Table1_1[[#This Row],[Calculated sales]],0)</f>
        <v>0.26855042499425685</v>
      </c>
    </row>
    <row r="109" spans="1:22" x14ac:dyDescent="0.25">
      <c r="A109" s="4" t="s">
        <v>242</v>
      </c>
      <c r="B109" s="5">
        <v>45359</v>
      </c>
      <c r="C109" s="4">
        <f>YEAR(Table1_1[[#This Row],[Order Dates]])</f>
        <v>2024</v>
      </c>
      <c r="D109" s="6">
        <f>MONTH(Table1_1[[#This Row],[Order Dates]])</f>
        <v>3</v>
      </c>
      <c r="E109" s="4" t="s">
        <v>16</v>
      </c>
      <c r="F109" s="4" t="s">
        <v>17</v>
      </c>
      <c r="G109" s="4" t="s">
        <v>32</v>
      </c>
      <c r="H109" s="4" t="str">
        <f>TRIM(CLEAN(SUBSTITUTE(Table1_1[[#This Row],[Salesperson]],"   "," ")))</f>
        <v>Neha Deshpande</v>
      </c>
      <c r="I109" s="4" t="s">
        <v>19</v>
      </c>
      <c r="J109" s="4" t="s">
        <v>20</v>
      </c>
      <c r="K109" s="4" t="s">
        <v>33</v>
      </c>
      <c r="L109" s="4" t="s">
        <v>34</v>
      </c>
      <c r="M109" s="4" t="s">
        <v>23</v>
      </c>
      <c r="N109" s="4" t="s">
        <v>24</v>
      </c>
      <c r="O109" s="4">
        <v>2</v>
      </c>
      <c r="P109" s="7">
        <v>57290</v>
      </c>
      <c r="Q109" s="8">
        <v>0.05</v>
      </c>
      <c r="R109" s="7">
        <v>40040</v>
      </c>
      <c r="S109" s="7">
        <f>Table1_1[[#This Row],[Units Sold]]*Table1_1[[#This Row],[Unit Price]]*(1-Table1_1[[#This Row],[Discount %]])</f>
        <v>108851</v>
      </c>
      <c r="T109" s="7">
        <f>Table1_1[[#This Row],[Units Sold]]*Table1_1[[#This Row],[Unit Cost]]</f>
        <v>80080</v>
      </c>
      <c r="U109" s="7">
        <f>Table1_1[[#This Row],[Calculated sales]]-Table1_1[[#This Row],[Total cost]]</f>
        <v>28771</v>
      </c>
      <c r="V109" s="4">
        <f>IFERROR(Table1_1[[#This Row],[Profit/Loss]]/Table1_1[[#This Row],[Calculated sales]],0)</f>
        <v>0.26431544037261945</v>
      </c>
    </row>
    <row r="110" spans="1:22" x14ac:dyDescent="0.25">
      <c r="A110" s="4" t="s">
        <v>243</v>
      </c>
      <c r="B110" s="5">
        <v>45359</v>
      </c>
      <c r="C110" s="4">
        <f>YEAR(Table1_1[[#This Row],[Order Dates]])</f>
        <v>2024</v>
      </c>
      <c r="D110" s="6">
        <f>MONTH(Table1_1[[#This Row],[Order Dates]])</f>
        <v>3</v>
      </c>
      <c r="E110" s="4" t="s">
        <v>37</v>
      </c>
      <c r="F110" s="4" t="s">
        <v>161</v>
      </c>
      <c r="G110" s="4" t="s">
        <v>68</v>
      </c>
      <c r="H110" s="4" t="str">
        <f>TRIM(CLEAN(SUBSTITUTE(Table1_1[[#This Row],[Salesperson]],"   "," ")))</f>
        <v>Ritika Ghosh</v>
      </c>
      <c r="I110" s="4" t="s">
        <v>92</v>
      </c>
      <c r="J110" s="4" t="s">
        <v>20</v>
      </c>
      <c r="K110" s="4" t="s">
        <v>21</v>
      </c>
      <c r="L110" s="4" t="s">
        <v>1667</v>
      </c>
      <c r="M110" s="4" t="s">
        <v>23</v>
      </c>
      <c r="N110" s="4" t="s">
        <v>24</v>
      </c>
      <c r="O110" s="4">
        <v>53</v>
      </c>
      <c r="P110" s="7">
        <v>1840</v>
      </c>
      <c r="Q110" s="8">
        <v>0.12</v>
      </c>
      <c r="R110" s="7">
        <v>1140</v>
      </c>
      <c r="S110" s="7">
        <f>Table1_1[[#This Row],[Units Sold]]*Table1_1[[#This Row],[Unit Price]]*(1-Table1_1[[#This Row],[Discount %]])</f>
        <v>85817.600000000006</v>
      </c>
      <c r="T110" s="7">
        <f>Table1_1[[#This Row],[Units Sold]]*Table1_1[[#This Row],[Unit Cost]]</f>
        <v>60420</v>
      </c>
      <c r="U110" s="7">
        <f>Table1_1[[#This Row],[Calculated sales]]-Table1_1[[#This Row],[Total cost]]</f>
        <v>25397.600000000006</v>
      </c>
      <c r="V110" s="4">
        <f>IFERROR(Table1_1[[#This Row],[Profit/Loss]]/Table1_1[[#This Row],[Calculated sales]],0)</f>
        <v>0.29594861660079058</v>
      </c>
    </row>
    <row r="111" spans="1:22" x14ac:dyDescent="0.25">
      <c r="A111" s="4" t="s">
        <v>244</v>
      </c>
      <c r="B111" s="5">
        <v>45359</v>
      </c>
      <c r="C111" s="4">
        <f>YEAR(Table1_1[[#This Row],[Order Dates]])</f>
        <v>2024</v>
      </c>
      <c r="D111" s="6">
        <f>MONTH(Table1_1[[#This Row],[Order Dates]])</f>
        <v>3</v>
      </c>
      <c r="E111" s="4" t="s">
        <v>56</v>
      </c>
      <c r="F111" s="4" t="s">
        <v>57</v>
      </c>
      <c r="G111" s="4" t="s">
        <v>58</v>
      </c>
      <c r="H111" s="4" t="str">
        <f>TRIM(CLEAN(SUBSTITUTE(Table1_1[[#This Row],[Salesperson]],"   "," ")))</f>
        <v>Karthik Raman</v>
      </c>
      <c r="I111" s="4" t="s">
        <v>19</v>
      </c>
      <c r="J111" s="4" t="s">
        <v>27</v>
      </c>
      <c r="K111" s="4" t="s">
        <v>79</v>
      </c>
      <c r="L111" s="4" t="s">
        <v>80</v>
      </c>
      <c r="M111" s="4" t="s">
        <v>49</v>
      </c>
      <c r="N111" s="4" t="s">
        <v>24</v>
      </c>
      <c r="O111" s="4">
        <v>4</v>
      </c>
      <c r="P111" s="7">
        <v>4470</v>
      </c>
      <c r="Q111" s="8">
        <v>0.12</v>
      </c>
      <c r="R111" s="7">
        <v>2700</v>
      </c>
      <c r="S111" s="7">
        <f>Table1_1[[#This Row],[Units Sold]]*Table1_1[[#This Row],[Unit Price]]*(1-Table1_1[[#This Row],[Discount %]])</f>
        <v>15734.4</v>
      </c>
      <c r="T111" s="7">
        <f>Table1_1[[#This Row],[Units Sold]]*Table1_1[[#This Row],[Unit Cost]]</f>
        <v>10800</v>
      </c>
      <c r="U111" s="7">
        <f>Table1_1[[#This Row],[Calculated sales]]-Table1_1[[#This Row],[Total cost]]</f>
        <v>4934.3999999999996</v>
      </c>
      <c r="V111" s="4">
        <f>IFERROR(Table1_1[[#This Row],[Profit/Loss]]/Table1_1[[#This Row],[Calculated sales]],0)</f>
        <v>0.31360585723001827</v>
      </c>
    </row>
    <row r="112" spans="1:22" x14ac:dyDescent="0.25">
      <c r="A112" s="4" t="s">
        <v>245</v>
      </c>
      <c r="B112" s="5">
        <v>45359</v>
      </c>
      <c r="C112" s="4">
        <f>YEAR(Table1_1[[#This Row],[Order Dates]])</f>
        <v>2024</v>
      </c>
      <c r="D112" s="6">
        <f>MONTH(Table1_1[[#This Row],[Order Dates]])</f>
        <v>3</v>
      </c>
      <c r="E112" s="4" t="s">
        <v>37</v>
      </c>
      <c r="F112" s="4" t="s">
        <v>166</v>
      </c>
      <c r="G112" s="4" t="s">
        <v>39</v>
      </c>
      <c r="H112" s="4" t="str">
        <f>TRIM(CLEAN(SUBSTITUTE(Table1_1[[#This Row],[Salesperson]],"   "," ")))</f>
        <v>Sourav Das</v>
      </c>
      <c r="I112" s="4" t="s">
        <v>45</v>
      </c>
      <c r="J112" s="4" t="s">
        <v>20</v>
      </c>
      <c r="K112" s="4" t="s">
        <v>109</v>
      </c>
      <c r="L112" s="4" t="s">
        <v>159</v>
      </c>
      <c r="M112" s="4" t="s">
        <v>23</v>
      </c>
      <c r="N112" s="4" t="s">
        <v>24</v>
      </c>
      <c r="O112" s="4">
        <v>10</v>
      </c>
      <c r="P112" s="7">
        <v>18100</v>
      </c>
      <c r="Q112" s="8">
        <v>0.15</v>
      </c>
      <c r="R112" s="7">
        <v>12170</v>
      </c>
      <c r="S112" s="7">
        <f>Table1_1[[#This Row],[Units Sold]]*Table1_1[[#This Row],[Unit Price]]*(1-Table1_1[[#This Row],[Discount %]])</f>
        <v>153850</v>
      </c>
      <c r="T112" s="7">
        <f>Table1_1[[#This Row],[Units Sold]]*Table1_1[[#This Row],[Unit Cost]]</f>
        <v>121700</v>
      </c>
      <c r="U112" s="7">
        <f>Table1_1[[#This Row],[Calculated sales]]-Table1_1[[#This Row],[Total cost]]</f>
        <v>32150</v>
      </c>
      <c r="V112" s="4">
        <f>IFERROR(Table1_1[[#This Row],[Profit/Loss]]/Table1_1[[#This Row],[Calculated sales]],0)</f>
        <v>0.2089697757556061</v>
      </c>
    </row>
    <row r="113" spans="1:22" x14ac:dyDescent="0.25">
      <c r="A113" s="4" t="s">
        <v>246</v>
      </c>
      <c r="B113" s="5">
        <v>45359</v>
      </c>
      <c r="C113" s="4">
        <f>YEAR(Table1_1[[#This Row],[Order Dates]])</f>
        <v>2024</v>
      </c>
      <c r="D113" s="6">
        <f>MONTH(Table1_1[[#This Row],[Order Dates]])</f>
        <v>3</v>
      </c>
      <c r="E113" s="4" t="s">
        <v>56</v>
      </c>
      <c r="F113" s="4" t="s">
        <v>57</v>
      </c>
      <c r="G113" s="4" t="s">
        <v>58</v>
      </c>
      <c r="H113" s="4" t="str">
        <f>TRIM(CLEAN(SUBSTITUTE(Table1_1[[#This Row],[Salesperson]],"   "," ")))</f>
        <v>Karthik Raman</v>
      </c>
      <c r="I113" s="4" t="s">
        <v>19</v>
      </c>
      <c r="J113" s="4" t="s">
        <v>27</v>
      </c>
      <c r="K113" s="4" t="s">
        <v>28</v>
      </c>
      <c r="L113" s="4" t="s">
        <v>141</v>
      </c>
      <c r="M113" s="4" t="s">
        <v>40</v>
      </c>
      <c r="N113" s="4" t="s">
        <v>24</v>
      </c>
      <c r="O113" s="4">
        <v>8</v>
      </c>
      <c r="P113" s="7">
        <v>15680</v>
      </c>
      <c r="Q113" s="8">
        <v>0.15</v>
      </c>
      <c r="R113" s="7">
        <v>11550</v>
      </c>
      <c r="S113" s="7">
        <f>Table1_1[[#This Row],[Units Sold]]*Table1_1[[#This Row],[Unit Price]]*(1-Table1_1[[#This Row],[Discount %]])</f>
        <v>106624</v>
      </c>
      <c r="T113" s="7">
        <f>Table1_1[[#This Row],[Units Sold]]*Table1_1[[#This Row],[Unit Cost]]</f>
        <v>92400</v>
      </c>
      <c r="U113" s="7">
        <f>Table1_1[[#This Row],[Calculated sales]]-Table1_1[[#This Row],[Total cost]]</f>
        <v>14224</v>
      </c>
      <c r="V113" s="4">
        <f>IFERROR(Table1_1[[#This Row],[Profit/Loss]]/Table1_1[[#This Row],[Calculated sales]],0)</f>
        <v>0.13340336134453781</v>
      </c>
    </row>
    <row r="114" spans="1:22" x14ac:dyDescent="0.25">
      <c r="A114" s="4" t="s">
        <v>247</v>
      </c>
      <c r="B114" s="5">
        <v>45359</v>
      </c>
      <c r="C114" s="4">
        <f>YEAR(Table1_1[[#This Row],[Order Dates]])</f>
        <v>2024</v>
      </c>
      <c r="D114" s="6">
        <f>MONTH(Table1_1[[#This Row],[Order Dates]])</f>
        <v>3</v>
      </c>
      <c r="E114" s="4" t="s">
        <v>42</v>
      </c>
      <c r="F114" s="4" t="s">
        <v>43</v>
      </c>
      <c r="G114" s="4" t="s">
        <v>44</v>
      </c>
      <c r="H114" s="4" t="str">
        <f>TRIM(CLEAN(SUBSTITUTE(Table1_1[[#This Row],[Salesperson]],"   "," ")))</f>
        <v>Simran Kaur</v>
      </c>
      <c r="I114" s="4" t="s">
        <v>52</v>
      </c>
      <c r="J114" s="4" t="s">
        <v>46</v>
      </c>
      <c r="K114" s="4" t="s">
        <v>179</v>
      </c>
      <c r="L114" s="4" t="s">
        <v>221</v>
      </c>
      <c r="M114" s="4" t="s">
        <v>23</v>
      </c>
      <c r="N114" s="4" t="s">
        <v>24</v>
      </c>
      <c r="O114" s="4">
        <v>37</v>
      </c>
      <c r="P114" s="7">
        <v>1720</v>
      </c>
      <c r="Q114" s="8">
        <v>0</v>
      </c>
      <c r="R114" s="7">
        <v>980</v>
      </c>
      <c r="S114" s="7">
        <f>Table1_1[[#This Row],[Units Sold]]*Table1_1[[#This Row],[Unit Price]]*(1-Table1_1[[#This Row],[Discount %]])</f>
        <v>63640</v>
      </c>
      <c r="T114" s="7">
        <f>Table1_1[[#This Row],[Units Sold]]*Table1_1[[#This Row],[Unit Cost]]</f>
        <v>36260</v>
      </c>
      <c r="U114" s="7">
        <f>Table1_1[[#This Row],[Calculated sales]]-Table1_1[[#This Row],[Total cost]]</f>
        <v>27380</v>
      </c>
      <c r="V114" s="4">
        <f>IFERROR(Table1_1[[#This Row],[Profit/Loss]]/Table1_1[[#This Row],[Calculated sales]],0)</f>
        <v>0.43023255813953487</v>
      </c>
    </row>
    <row r="115" spans="1:22" x14ac:dyDescent="0.25">
      <c r="A115" s="4" t="s">
        <v>248</v>
      </c>
      <c r="B115" s="5">
        <v>45363</v>
      </c>
      <c r="C115" s="4">
        <f>YEAR(Table1_1[[#This Row],[Order Dates]])</f>
        <v>2024</v>
      </c>
      <c r="D115" s="6">
        <f>MONTH(Table1_1[[#This Row],[Order Dates]])</f>
        <v>3</v>
      </c>
      <c r="E115" s="4" t="s">
        <v>56</v>
      </c>
      <c r="F115" s="4" t="s">
        <v>72</v>
      </c>
      <c r="G115" s="4" t="s">
        <v>58</v>
      </c>
      <c r="H115" s="4" t="str">
        <f>TRIM(CLEAN(SUBSTITUTE(Table1_1[[#This Row],[Salesperson]],"   "," ")))</f>
        <v>Karthik Raman</v>
      </c>
      <c r="I115" s="4" t="s">
        <v>52</v>
      </c>
      <c r="J115" s="4" t="s">
        <v>59</v>
      </c>
      <c r="K115" s="4" t="s">
        <v>154</v>
      </c>
      <c r="L115" s="4" t="s">
        <v>249</v>
      </c>
      <c r="M115" s="4" t="s">
        <v>49</v>
      </c>
      <c r="N115" s="4" t="s">
        <v>24</v>
      </c>
      <c r="O115" s="4">
        <v>6</v>
      </c>
      <c r="P115" s="7">
        <v>6690</v>
      </c>
      <c r="Q115" s="8">
        <v>0</v>
      </c>
      <c r="R115" s="7">
        <v>4320</v>
      </c>
      <c r="S115" s="7">
        <f>Table1_1[[#This Row],[Units Sold]]*Table1_1[[#This Row],[Unit Price]]*(1-Table1_1[[#This Row],[Discount %]])</f>
        <v>40140</v>
      </c>
      <c r="T115" s="7">
        <f>Table1_1[[#This Row],[Units Sold]]*Table1_1[[#This Row],[Unit Cost]]</f>
        <v>25920</v>
      </c>
      <c r="U115" s="7">
        <f>Table1_1[[#This Row],[Calculated sales]]-Table1_1[[#This Row],[Total cost]]</f>
        <v>14220</v>
      </c>
      <c r="V115" s="4">
        <f>IFERROR(Table1_1[[#This Row],[Profit/Loss]]/Table1_1[[#This Row],[Calculated sales]],0)</f>
        <v>0.35426008968609868</v>
      </c>
    </row>
    <row r="116" spans="1:22" x14ac:dyDescent="0.25">
      <c r="A116" s="4" t="s">
        <v>250</v>
      </c>
      <c r="B116" s="5">
        <v>45363</v>
      </c>
      <c r="C116" s="4">
        <f>YEAR(Table1_1[[#This Row],[Order Dates]])</f>
        <v>2024</v>
      </c>
      <c r="D116" s="6">
        <f>MONTH(Table1_1[[#This Row],[Order Dates]])</f>
        <v>3</v>
      </c>
      <c r="E116" s="4" t="s">
        <v>16</v>
      </c>
      <c r="F116" s="4" t="s">
        <v>153</v>
      </c>
      <c r="G116" s="4" t="s">
        <v>18</v>
      </c>
      <c r="H116" s="4" t="str">
        <f>TRIM(CLEAN(SUBSTITUTE(Table1_1[[#This Row],[Salesperson]],"   "," ")))</f>
        <v>Imran Sheikh</v>
      </c>
      <c r="I116" s="4" t="s">
        <v>52</v>
      </c>
      <c r="J116" s="4" t="s">
        <v>27</v>
      </c>
      <c r="K116" s="4" t="s">
        <v>53</v>
      </c>
      <c r="L116" s="4" t="s">
        <v>1669</v>
      </c>
      <c r="M116" s="4" t="s">
        <v>49</v>
      </c>
      <c r="N116" s="4" t="s">
        <v>119</v>
      </c>
      <c r="O116" s="4">
        <v>1</v>
      </c>
      <c r="P116" s="7">
        <v>43200</v>
      </c>
      <c r="Q116" s="8">
        <v>0.25</v>
      </c>
      <c r="R116" s="7">
        <v>31020</v>
      </c>
      <c r="S116" s="7">
        <f>Table1_1[[#This Row],[Units Sold]]*Table1_1[[#This Row],[Unit Price]]*(1-Table1_1[[#This Row],[Discount %]])</f>
        <v>32400</v>
      </c>
      <c r="T116" s="7">
        <f>Table1_1[[#This Row],[Units Sold]]*Table1_1[[#This Row],[Unit Cost]]</f>
        <v>31020</v>
      </c>
      <c r="U116" s="7">
        <f>Table1_1[[#This Row],[Calculated sales]]-Table1_1[[#This Row],[Total cost]]</f>
        <v>1380</v>
      </c>
      <c r="V116" s="4">
        <f>IFERROR(Table1_1[[#This Row],[Profit/Loss]]/Table1_1[[#This Row],[Calculated sales]],0)</f>
        <v>4.2592592592592592E-2</v>
      </c>
    </row>
    <row r="117" spans="1:22" x14ac:dyDescent="0.25">
      <c r="A117" s="4" t="s">
        <v>251</v>
      </c>
      <c r="B117" s="5">
        <v>45364</v>
      </c>
      <c r="C117" s="4">
        <f>YEAR(Table1_1[[#This Row],[Order Dates]])</f>
        <v>2024</v>
      </c>
      <c r="D117" s="6">
        <f>MONTH(Table1_1[[#This Row],[Order Dates]])</f>
        <v>3</v>
      </c>
      <c r="E117" s="4" t="s">
        <v>16</v>
      </c>
      <c r="F117" s="4" t="s">
        <v>191</v>
      </c>
      <c r="G117" s="4" t="s">
        <v>26</v>
      </c>
      <c r="H117" s="4" t="str">
        <f>TRIM(CLEAN(SUBSTITUTE(Table1_1[[#This Row],[Salesperson]],"   "," ")))</f>
        <v>Prateek Shah</v>
      </c>
      <c r="I117" s="4" t="s">
        <v>92</v>
      </c>
      <c r="J117" s="4" t="s">
        <v>27</v>
      </c>
      <c r="K117" s="4" t="s">
        <v>214</v>
      </c>
      <c r="L117" s="4" t="s">
        <v>1681</v>
      </c>
      <c r="M117" s="4" t="s">
        <v>23</v>
      </c>
      <c r="N117" s="4" t="s">
        <v>94</v>
      </c>
      <c r="O117" s="4">
        <v>10</v>
      </c>
      <c r="P117" s="7">
        <v>14630</v>
      </c>
      <c r="Q117" s="8">
        <v>0</v>
      </c>
      <c r="R117" s="7">
        <v>8300</v>
      </c>
      <c r="S117" s="7">
        <f>Table1_1[[#This Row],[Units Sold]]*Table1_1[[#This Row],[Unit Price]]*(1-Table1_1[[#This Row],[Discount %]])</f>
        <v>146300</v>
      </c>
      <c r="T117" s="7">
        <f>Table1_1[[#This Row],[Units Sold]]*Table1_1[[#This Row],[Unit Cost]]</f>
        <v>83000</v>
      </c>
      <c r="U117" s="7">
        <f>Table1_1[[#This Row],[Calculated sales]]-Table1_1[[#This Row],[Total cost]]</f>
        <v>63300</v>
      </c>
      <c r="V117" s="4">
        <f>IFERROR(Table1_1[[#This Row],[Profit/Loss]]/Table1_1[[#This Row],[Calculated sales]],0)</f>
        <v>0.43267259056732743</v>
      </c>
    </row>
    <row r="118" spans="1:22" x14ac:dyDescent="0.25">
      <c r="A118" s="4" t="s">
        <v>253</v>
      </c>
      <c r="B118" s="5">
        <v>45364</v>
      </c>
      <c r="C118" s="4">
        <f>YEAR(Table1_1[[#This Row],[Order Dates]])</f>
        <v>2024</v>
      </c>
      <c r="D118" s="6">
        <f>MONTH(Table1_1[[#This Row],[Order Dates]])</f>
        <v>3</v>
      </c>
      <c r="E118" s="4" t="s">
        <v>42</v>
      </c>
      <c r="F118" s="4" t="s">
        <v>146</v>
      </c>
      <c r="G118" s="4" t="s">
        <v>44</v>
      </c>
      <c r="H118" s="4" t="str">
        <f>TRIM(CLEAN(SUBSTITUTE(Table1_1[[#This Row],[Salesperson]],"   "," ")))</f>
        <v>Simran Kaur</v>
      </c>
      <c r="I118" s="4" t="s">
        <v>19</v>
      </c>
      <c r="J118" s="4" t="s">
        <v>27</v>
      </c>
      <c r="K118" s="4" t="s">
        <v>79</v>
      </c>
      <c r="L118" s="4" t="s">
        <v>80</v>
      </c>
      <c r="M118" s="4" t="s">
        <v>23</v>
      </c>
      <c r="N118" s="4" t="s">
        <v>24</v>
      </c>
      <c r="O118" s="4">
        <v>15</v>
      </c>
      <c r="P118" s="7">
        <v>4310</v>
      </c>
      <c r="Q118" s="8">
        <v>0</v>
      </c>
      <c r="R118" s="7">
        <v>3310</v>
      </c>
      <c r="S118" s="7">
        <f>Table1_1[[#This Row],[Units Sold]]*Table1_1[[#This Row],[Unit Price]]*(1-Table1_1[[#This Row],[Discount %]])</f>
        <v>64650</v>
      </c>
      <c r="T118" s="7">
        <f>Table1_1[[#This Row],[Units Sold]]*Table1_1[[#This Row],[Unit Cost]]</f>
        <v>49650</v>
      </c>
      <c r="U118" s="7">
        <f>Table1_1[[#This Row],[Calculated sales]]-Table1_1[[#This Row],[Total cost]]</f>
        <v>15000</v>
      </c>
      <c r="V118" s="4">
        <f>IFERROR(Table1_1[[#This Row],[Profit/Loss]]/Table1_1[[#This Row],[Calculated sales]],0)</f>
        <v>0.23201856148491878</v>
      </c>
    </row>
    <row r="119" spans="1:22" x14ac:dyDescent="0.25">
      <c r="A119" s="4" t="s">
        <v>254</v>
      </c>
      <c r="B119" s="5">
        <v>45364</v>
      </c>
      <c r="C119" s="4">
        <f>YEAR(Table1_1[[#This Row],[Order Dates]])</f>
        <v>2024</v>
      </c>
      <c r="D119" s="6">
        <f>MONTH(Table1_1[[#This Row],[Order Dates]])</f>
        <v>3</v>
      </c>
      <c r="E119" s="4" t="s">
        <v>56</v>
      </c>
      <c r="F119" s="4" t="s">
        <v>127</v>
      </c>
      <c r="G119" s="4" t="s">
        <v>91</v>
      </c>
      <c r="H119" s="4" t="str">
        <f>TRIM(CLEAN(SUBSTITUTE(Table1_1[[#This Row],[Salesperson]],"   "," ")))</f>
        <v>Anjali Menon</v>
      </c>
      <c r="I119" s="4" t="s">
        <v>92</v>
      </c>
      <c r="J119" s="4" t="s">
        <v>27</v>
      </c>
      <c r="K119" s="4" t="s">
        <v>214</v>
      </c>
      <c r="L119" s="4" t="s">
        <v>1680</v>
      </c>
      <c r="M119" s="4" t="s">
        <v>40</v>
      </c>
      <c r="N119" s="4" t="s">
        <v>24</v>
      </c>
      <c r="O119" s="4">
        <v>2</v>
      </c>
      <c r="P119" s="7">
        <v>36190</v>
      </c>
      <c r="Q119" s="8">
        <v>0.2</v>
      </c>
      <c r="R119" s="7">
        <v>23610</v>
      </c>
      <c r="S119" s="7">
        <f>Table1_1[[#This Row],[Units Sold]]*Table1_1[[#This Row],[Unit Price]]*(1-Table1_1[[#This Row],[Discount %]])</f>
        <v>57904</v>
      </c>
      <c r="T119" s="7">
        <f>Table1_1[[#This Row],[Units Sold]]*Table1_1[[#This Row],[Unit Cost]]</f>
        <v>47220</v>
      </c>
      <c r="U119" s="7">
        <f>Table1_1[[#This Row],[Calculated sales]]-Table1_1[[#This Row],[Total cost]]</f>
        <v>10684</v>
      </c>
      <c r="V119" s="4">
        <f>IFERROR(Table1_1[[#This Row],[Profit/Loss]]/Table1_1[[#This Row],[Calculated sales]],0)</f>
        <v>0.18451229621442389</v>
      </c>
    </row>
    <row r="120" spans="1:22" x14ac:dyDescent="0.25">
      <c r="A120" s="4" t="s">
        <v>255</v>
      </c>
      <c r="B120" s="5">
        <v>45365</v>
      </c>
      <c r="C120" s="4">
        <f>YEAR(Table1_1[[#This Row],[Order Dates]])</f>
        <v>2024</v>
      </c>
      <c r="D120" s="6">
        <f>MONTH(Table1_1[[#This Row],[Order Dates]])</f>
        <v>3</v>
      </c>
      <c r="E120" s="4" t="s">
        <v>42</v>
      </c>
      <c r="F120" s="4" t="s">
        <v>130</v>
      </c>
      <c r="G120" s="4" t="s">
        <v>64</v>
      </c>
      <c r="H120" s="4" t="str">
        <f>TRIM(CLEAN(SUBSTITUTE(Table1_1[[#This Row],[Salesperson]],"   "," ")))</f>
        <v>Aditya Verma</v>
      </c>
      <c r="I120" s="4" t="s">
        <v>19</v>
      </c>
      <c r="J120" s="4" t="s">
        <v>20</v>
      </c>
      <c r="K120" s="4" t="s">
        <v>33</v>
      </c>
      <c r="L120" s="4" t="s">
        <v>1677</v>
      </c>
      <c r="M120" s="4" t="s">
        <v>40</v>
      </c>
      <c r="N120" s="4" t="s">
        <v>24</v>
      </c>
      <c r="O120" s="4">
        <v>3</v>
      </c>
      <c r="P120" s="7">
        <v>66760</v>
      </c>
      <c r="Q120" s="8">
        <v>0.12</v>
      </c>
      <c r="R120" s="7">
        <v>42570</v>
      </c>
      <c r="S120" s="7">
        <f>Table1_1[[#This Row],[Units Sold]]*Table1_1[[#This Row],[Unit Price]]*(1-Table1_1[[#This Row],[Discount %]])</f>
        <v>176246.39999999999</v>
      </c>
      <c r="T120" s="7">
        <f>Table1_1[[#This Row],[Units Sold]]*Table1_1[[#This Row],[Unit Cost]]</f>
        <v>127710</v>
      </c>
      <c r="U120" s="7">
        <f>Table1_1[[#This Row],[Calculated sales]]-Table1_1[[#This Row],[Total cost]]</f>
        <v>48536.399999999994</v>
      </c>
      <c r="V120" s="4">
        <f>IFERROR(Table1_1[[#This Row],[Profit/Loss]]/Table1_1[[#This Row],[Calculated sales]],0)</f>
        <v>0.27538945476333132</v>
      </c>
    </row>
    <row r="121" spans="1:22" x14ac:dyDescent="0.25">
      <c r="A121" s="4" t="s">
        <v>256</v>
      </c>
      <c r="B121" s="5">
        <v>45365</v>
      </c>
      <c r="C121" s="4">
        <f>YEAR(Table1_1[[#This Row],[Order Dates]])</f>
        <v>2024</v>
      </c>
      <c r="D121" s="6">
        <f>MONTH(Table1_1[[#This Row],[Order Dates]])</f>
        <v>3</v>
      </c>
      <c r="E121" s="4" t="s">
        <v>37</v>
      </c>
      <c r="F121" s="4" t="s">
        <v>161</v>
      </c>
      <c r="G121" s="4" t="s">
        <v>39</v>
      </c>
      <c r="H121" s="4" t="str">
        <f>TRIM(CLEAN(SUBSTITUTE(Table1_1[[#This Row],[Salesperson]],"   "," ")))</f>
        <v>Sourav Das</v>
      </c>
      <c r="I121" s="4" t="s">
        <v>92</v>
      </c>
      <c r="J121" s="4" t="s">
        <v>27</v>
      </c>
      <c r="K121" s="4" t="s">
        <v>28</v>
      </c>
      <c r="L121" s="4" t="s">
        <v>1668</v>
      </c>
      <c r="M121" s="4" t="s">
        <v>40</v>
      </c>
      <c r="N121" s="4" t="s">
        <v>24</v>
      </c>
      <c r="O121" s="4">
        <v>8</v>
      </c>
      <c r="P121" s="7">
        <v>27160</v>
      </c>
      <c r="Q121" s="8">
        <v>0.2</v>
      </c>
      <c r="R121" s="7">
        <v>16490</v>
      </c>
      <c r="S121" s="7">
        <f>Table1_1[[#This Row],[Units Sold]]*Table1_1[[#This Row],[Unit Price]]*(1-Table1_1[[#This Row],[Discount %]])</f>
        <v>173824</v>
      </c>
      <c r="T121" s="7">
        <f>Table1_1[[#This Row],[Units Sold]]*Table1_1[[#This Row],[Unit Cost]]</f>
        <v>131920</v>
      </c>
      <c r="U121" s="7">
        <f>Table1_1[[#This Row],[Calculated sales]]-Table1_1[[#This Row],[Total cost]]</f>
        <v>41904</v>
      </c>
      <c r="V121" s="4">
        <f>IFERROR(Table1_1[[#This Row],[Profit/Loss]]/Table1_1[[#This Row],[Calculated sales]],0)</f>
        <v>0.24107142857142858</v>
      </c>
    </row>
    <row r="122" spans="1:22" x14ac:dyDescent="0.25">
      <c r="A122" s="4" t="s">
        <v>257</v>
      </c>
      <c r="B122" s="5">
        <v>45365</v>
      </c>
      <c r="C122" s="4">
        <f>YEAR(Table1_1[[#This Row],[Order Dates]])</f>
        <v>2024</v>
      </c>
      <c r="D122" s="6">
        <f>MONTH(Table1_1[[#This Row],[Order Dates]])</f>
        <v>3</v>
      </c>
      <c r="E122" s="4" t="s">
        <v>42</v>
      </c>
      <c r="F122" s="4" t="s">
        <v>43</v>
      </c>
      <c r="G122" s="4" t="s">
        <v>64</v>
      </c>
      <c r="H122" s="4" t="str">
        <f>TRIM(CLEAN(SUBSTITUTE(Table1_1[[#This Row],[Salesperson]],"   "," ")))</f>
        <v>Aditya Verma</v>
      </c>
      <c r="I122" s="4" t="s">
        <v>52</v>
      </c>
      <c r="J122" s="4" t="s">
        <v>27</v>
      </c>
      <c r="K122" s="4" t="s">
        <v>79</v>
      </c>
      <c r="L122" s="4" t="s">
        <v>80</v>
      </c>
      <c r="M122" s="4" t="s">
        <v>23</v>
      </c>
      <c r="N122" s="4" t="s">
        <v>24</v>
      </c>
      <c r="O122" s="4">
        <v>3</v>
      </c>
      <c r="P122" s="7">
        <v>4610</v>
      </c>
      <c r="Q122" s="8">
        <v>0.2</v>
      </c>
      <c r="R122" s="7">
        <v>2800</v>
      </c>
      <c r="S122" s="7">
        <f>Table1_1[[#This Row],[Units Sold]]*Table1_1[[#This Row],[Unit Price]]*(1-Table1_1[[#This Row],[Discount %]])</f>
        <v>11064</v>
      </c>
      <c r="T122" s="7">
        <f>Table1_1[[#This Row],[Units Sold]]*Table1_1[[#This Row],[Unit Cost]]</f>
        <v>8400</v>
      </c>
      <c r="U122" s="7">
        <f>Table1_1[[#This Row],[Calculated sales]]-Table1_1[[#This Row],[Total cost]]</f>
        <v>2664</v>
      </c>
      <c r="V122" s="4">
        <f>IFERROR(Table1_1[[#This Row],[Profit/Loss]]/Table1_1[[#This Row],[Calculated sales]],0)</f>
        <v>0.24078091106290672</v>
      </c>
    </row>
    <row r="123" spans="1:22" x14ac:dyDescent="0.25">
      <c r="A123" s="4" t="s">
        <v>258</v>
      </c>
      <c r="B123" s="5">
        <v>45366</v>
      </c>
      <c r="C123" s="4">
        <f>YEAR(Table1_1[[#This Row],[Order Dates]])</f>
        <v>2024</v>
      </c>
      <c r="D123" s="6">
        <f>MONTH(Table1_1[[#This Row],[Order Dates]])</f>
        <v>3</v>
      </c>
      <c r="E123" s="4" t="s">
        <v>42</v>
      </c>
      <c r="F123" s="4" t="s">
        <v>130</v>
      </c>
      <c r="G123" s="4" t="s">
        <v>44</v>
      </c>
      <c r="H123" s="4" t="str">
        <f>TRIM(CLEAN(SUBSTITUTE(Table1_1[[#This Row],[Salesperson]],"   "," ")))</f>
        <v>Simran Kaur</v>
      </c>
      <c r="I123" s="4" t="s">
        <v>19</v>
      </c>
      <c r="J123" s="4" t="s">
        <v>46</v>
      </c>
      <c r="K123" s="4" t="s">
        <v>47</v>
      </c>
      <c r="L123" s="4" t="s">
        <v>259</v>
      </c>
      <c r="M123" s="4" t="s">
        <v>23</v>
      </c>
      <c r="N123" s="4" t="s">
        <v>24</v>
      </c>
      <c r="O123" s="4">
        <v>7</v>
      </c>
      <c r="P123" s="7">
        <v>2910</v>
      </c>
      <c r="Q123" s="8">
        <v>0.1</v>
      </c>
      <c r="R123" s="7">
        <v>2080</v>
      </c>
      <c r="S123" s="7">
        <f>Table1_1[[#This Row],[Units Sold]]*Table1_1[[#This Row],[Unit Price]]*(1-Table1_1[[#This Row],[Discount %]])</f>
        <v>18333</v>
      </c>
      <c r="T123" s="7">
        <f>Table1_1[[#This Row],[Units Sold]]*Table1_1[[#This Row],[Unit Cost]]</f>
        <v>14560</v>
      </c>
      <c r="U123" s="7">
        <f>Table1_1[[#This Row],[Calculated sales]]-Table1_1[[#This Row],[Total cost]]</f>
        <v>3773</v>
      </c>
      <c r="V123" s="4">
        <f>IFERROR(Table1_1[[#This Row],[Profit/Loss]]/Table1_1[[#This Row],[Calculated sales]],0)</f>
        <v>0.20580374188621611</v>
      </c>
    </row>
    <row r="124" spans="1:22" x14ac:dyDescent="0.25">
      <c r="A124" s="4" t="s">
        <v>260</v>
      </c>
      <c r="B124" s="5">
        <v>45367</v>
      </c>
      <c r="C124" s="4">
        <f>YEAR(Table1_1[[#This Row],[Order Dates]])</f>
        <v>2024</v>
      </c>
      <c r="D124" s="6">
        <f>MONTH(Table1_1[[#This Row],[Order Dates]])</f>
        <v>3</v>
      </c>
      <c r="E124" s="4" t="s">
        <v>37</v>
      </c>
      <c r="F124" s="4" t="s">
        <v>161</v>
      </c>
      <c r="G124" s="4" t="s">
        <v>68</v>
      </c>
      <c r="H124" s="4" t="str">
        <f>TRIM(CLEAN(SUBSTITUTE(Table1_1[[#This Row],[Salesperson]],"   "," ")))</f>
        <v>Ritika Ghosh</v>
      </c>
      <c r="I124" s="4" t="s">
        <v>19</v>
      </c>
      <c r="J124" s="4" t="s">
        <v>46</v>
      </c>
      <c r="K124" s="4" t="s">
        <v>179</v>
      </c>
      <c r="L124" s="4" t="s">
        <v>180</v>
      </c>
      <c r="M124" s="4" t="s">
        <v>23</v>
      </c>
      <c r="N124" s="4" t="s">
        <v>24</v>
      </c>
      <c r="O124" s="4">
        <v>10</v>
      </c>
      <c r="P124" s="7">
        <v>3620</v>
      </c>
      <c r="Q124" s="8">
        <v>0.15</v>
      </c>
      <c r="R124" s="7">
        <v>2220</v>
      </c>
      <c r="S124" s="7">
        <f>Table1_1[[#This Row],[Units Sold]]*Table1_1[[#This Row],[Unit Price]]*(1-Table1_1[[#This Row],[Discount %]])</f>
        <v>30770</v>
      </c>
      <c r="T124" s="7">
        <f>Table1_1[[#This Row],[Units Sold]]*Table1_1[[#This Row],[Unit Cost]]</f>
        <v>22200</v>
      </c>
      <c r="U124" s="7">
        <f>Table1_1[[#This Row],[Calculated sales]]-Table1_1[[#This Row],[Total cost]]</f>
        <v>8570</v>
      </c>
      <c r="V124" s="4">
        <f>IFERROR(Table1_1[[#This Row],[Profit/Loss]]/Table1_1[[#This Row],[Calculated sales]],0)</f>
        <v>0.2785180370490738</v>
      </c>
    </row>
    <row r="125" spans="1:22" x14ac:dyDescent="0.25">
      <c r="A125" s="4" t="s">
        <v>261</v>
      </c>
      <c r="B125" s="5">
        <v>45368</v>
      </c>
      <c r="C125" s="4">
        <f>YEAR(Table1_1[[#This Row],[Order Dates]])</f>
        <v>2024</v>
      </c>
      <c r="D125" s="6">
        <f>MONTH(Table1_1[[#This Row],[Order Dates]])</f>
        <v>3</v>
      </c>
      <c r="E125" s="4" t="s">
        <v>56</v>
      </c>
      <c r="F125" s="4" t="s">
        <v>57</v>
      </c>
      <c r="G125" s="4" t="s">
        <v>134</v>
      </c>
      <c r="H125" s="4" t="str">
        <f>TRIM(CLEAN(SUBSTITUTE(Table1_1[[#This Row],[Salesperson]],"   "," ")))</f>
        <v>Divya Nair</v>
      </c>
      <c r="I125" s="4" t="s">
        <v>19</v>
      </c>
      <c r="J125" s="4" t="s">
        <v>27</v>
      </c>
      <c r="K125" s="4" t="s">
        <v>79</v>
      </c>
      <c r="L125" s="4" t="s">
        <v>262</v>
      </c>
      <c r="M125" s="4" t="s">
        <v>40</v>
      </c>
      <c r="N125" s="4" t="s">
        <v>24</v>
      </c>
      <c r="O125" s="4">
        <v>33</v>
      </c>
      <c r="P125" s="7">
        <v>2700</v>
      </c>
      <c r="Q125" s="8">
        <v>0.08</v>
      </c>
      <c r="R125" s="7">
        <v>1600</v>
      </c>
      <c r="S125" s="7">
        <f>Table1_1[[#This Row],[Units Sold]]*Table1_1[[#This Row],[Unit Price]]*(1-Table1_1[[#This Row],[Discount %]])</f>
        <v>81972</v>
      </c>
      <c r="T125" s="7">
        <f>Table1_1[[#This Row],[Units Sold]]*Table1_1[[#This Row],[Unit Cost]]</f>
        <v>52800</v>
      </c>
      <c r="U125" s="7">
        <f>Table1_1[[#This Row],[Calculated sales]]-Table1_1[[#This Row],[Total cost]]</f>
        <v>29172</v>
      </c>
      <c r="V125" s="4">
        <f>IFERROR(Table1_1[[#This Row],[Profit/Loss]]/Table1_1[[#This Row],[Calculated sales]],0)</f>
        <v>0.35587761674718199</v>
      </c>
    </row>
    <row r="126" spans="1:22" x14ac:dyDescent="0.25">
      <c r="A126" s="4" t="s">
        <v>263</v>
      </c>
      <c r="B126" s="5">
        <v>45369</v>
      </c>
      <c r="C126" s="4">
        <f>YEAR(Table1_1[[#This Row],[Order Dates]])</f>
        <v>2024</v>
      </c>
      <c r="D126" s="6">
        <f>MONTH(Table1_1[[#This Row],[Order Dates]])</f>
        <v>3</v>
      </c>
      <c r="E126" s="4" t="s">
        <v>16</v>
      </c>
      <c r="F126" s="4" t="s">
        <v>82</v>
      </c>
      <c r="G126" s="4" t="s">
        <v>18</v>
      </c>
      <c r="H126" s="4" t="str">
        <f>TRIM(CLEAN(SUBSTITUTE(Table1_1[[#This Row],[Salesperson]],"   "," ")))</f>
        <v>Imran Sheikh</v>
      </c>
      <c r="I126" s="4" t="s">
        <v>92</v>
      </c>
      <c r="J126" s="4" t="s">
        <v>59</v>
      </c>
      <c r="K126" s="4" t="s">
        <v>60</v>
      </c>
      <c r="L126" s="4" t="s">
        <v>200</v>
      </c>
      <c r="M126" s="4" t="s">
        <v>49</v>
      </c>
      <c r="N126" s="4" t="s">
        <v>24</v>
      </c>
      <c r="O126" s="4">
        <v>23</v>
      </c>
      <c r="P126" s="7">
        <v>9160</v>
      </c>
      <c r="Q126" s="8">
        <v>0.08</v>
      </c>
      <c r="R126" s="7">
        <v>5540</v>
      </c>
      <c r="S126" s="7">
        <f>Table1_1[[#This Row],[Units Sold]]*Table1_1[[#This Row],[Unit Price]]*(1-Table1_1[[#This Row],[Discount %]])</f>
        <v>193825.6</v>
      </c>
      <c r="T126" s="7">
        <f>Table1_1[[#This Row],[Units Sold]]*Table1_1[[#This Row],[Unit Cost]]</f>
        <v>127420</v>
      </c>
      <c r="U126" s="7">
        <f>Table1_1[[#This Row],[Calculated sales]]-Table1_1[[#This Row],[Total cost]]</f>
        <v>66405.600000000006</v>
      </c>
      <c r="V126" s="4">
        <f>IFERROR(Table1_1[[#This Row],[Profit/Loss]]/Table1_1[[#This Row],[Calculated sales]],0)</f>
        <v>0.34260489842415037</v>
      </c>
    </row>
    <row r="127" spans="1:22" x14ac:dyDescent="0.25">
      <c r="A127" s="4" t="s">
        <v>264</v>
      </c>
      <c r="B127" s="5">
        <v>45369</v>
      </c>
      <c r="C127" s="4">
        <f>YEAR(Table1_1[[#This Row],[Order Dates]])</f>
        <v>2024</v>
      </c>
      <c r="D127" s="6">
        <f>MONTH(Table1_1[[#This Row],[Order Dates]])</f>
        <v>3</v>
      </c>
      <c r="E127" s="4" t="s">
        <v>42</v>
      </c>
      <c r="F127" s="4" t="s">
        <v>265</v>
      </c>
      <c r="G127" s="4" t="s">
        <v>97</v>
      </c>
      <c r="H127" s="4" t="str">
        <f>TRIM(CLEAN(SUBSTITUTE(Table1_1[[#This Row],[Salesperson]],"   "," ")))</f>
        <v>Rohit Malhotra</v>
      </c>
      <c r="I127" s="4" t="s">
        <v>45</v>
      </c>
      <c r="J127" s="4" t="s">
        <v>46</v>
      </c>
      <c r="K127" s="4" t="s">
        <v>100</v>
      </c>
      <c r="L127" s="4" t="s">
        <v>177</v>
      </c>
      <c r="M127" s="4" t="s">
        <v>23</v>
      </c>
      <c r="N127" s="4" t="s">
        <v>24</v>
      </c>
      <c r="O127" s="4">
        <v>8</v>
      </c>
      <c r="P127" s="7">
        <v>2680</v>
      </c>
      <c r="Q127" s="8">
        <v>0.2</v>
      </c>
      <c r="R127" s="7">
        <v>2010</v>
      </c>
      <c r="S127" s="7">
        <f>Table1_1[[#This Row],[Units Sold]]*Table1_1[[#This Row],[Unit Price]]*(1-Table1_1[[#This Row],[Discount %]])</f>
        <v>17152</v>
      </c>
      <c r="T127" s="7">
        <f>Table1_1[[#This Row],[Units Sold]]*Table1_1[[#This Row],[Unit Cost]]</f>
        <v>16080</v>
      </c>
      <c r="U127" s="7">
        <f>Table1_1[[#This Row],[Calculated sales]]-Table1_1[[#This Row],[Total cost]]</f>
        <v>1072</v>
      </c>
      <c r="V127" s="4">
        <f>IFERROR(Table1_1[[#This Row],[Profit/Loss]]/Table1_1[[#This Row],[Calculated sales]],0)</f>
        <v>6.25E-2</v>
      </c>
    </row>
    <row r="128" spans="1:22" x14ac:dyDescent="0.25">
      <c r="A128" s="4" t="s">
        <v>266</v>
      </c>
      <c r="B128" s="5">
        <v>45369</v>
      </c>
      <c r="C128" s="4">
        <f>YEAR(Table1_1[[#This Row],[Order Dates]])</f>
        <v>2024</v>
      </c>
      <c r="D128" s="6">
        <f>MONTH(Table1_1[[#This Row],[Order Dates]])</f>
        <v>3</v>
      </c>
      <c r="E128" s="4" t="s">
        <v>56</v>
      </c>
      <c r="F128" s="4" t="s">
        <v>57</v>
      </c>
      <c r="G128" s="4" t="s">
        <v>58</v>
      </c>
      <c r="H128" s="4" t="str">
        <f>TRIM(CLEAN(SUBSTITUTE(Table1_1[[#This Row],[Salesperson]],"   "," ")))</f>
        <v>Karthik Raman</v>
      </c>
      <c r="I128" s="4" t="s">
        <v>52</v>
      </c>
      <c r="J128" s="4" t="s">
        <v>27</v>
      </c>
      <c r="K128" s="4" t="s">
        <v>53</v>
      </c>
      <c r="L128" s="4" t="s">
        <v>1676</v>
      </c>
      <c r="M128" s="4" t="s">
        <v>49</v>
      </c>
      <c r="N128" s="4" t="s">
        <v>24</v>
      </c>
      <c r="O128" s="4">
        <v>3</v>
      </c>
      <c r="P128" s="7">
        <v>35940</v>
      </c>
      <c r="Q128" s="8">
        <v>0.08</v>
      </c>
      <c r="R128" s="7">
        <v>25380</v>
      </c>
      <c r="S128" s="7">
        <f>Table1_1[[#This Row],[Units Sold]]*Table1_1[[#This Row],[Unit Price]]*(1-Table1_1[[#This Row],[Discount %]])</f>
        <v>99194.400000000009</v>
      </c>
      <c r="T128" s="7">
        <f>Table1_1[[#This Row],[Units Sold]]*Table1_1[[#This Row],[Unit Cost]]</f>
        <v>76140</v>
      </c>
      <c r="U128" s="7">
        <f>Table1_1[[#This Row],[Calculated sales]]-Table1_1[[#This Row],[Total cost]]</f>
        <v>23054.400000000009</v>
      </c>
      <c r="V128" s="4">
        <f>IFERROR(Table1_1[[#This Row],[Profit/Loss]]/Table1_1[[#This Row],[Calculated sales]],0)</f>
        <v>0.2324163460840532</v>
      </c>
    </row>
    <row r="129" spans="1:22" x14ac:dyDescent="0.25">
      <c r="A129" s="4" t="s">
        <v>267</v>
      </c>
      <c r="B129" s="5">
        <v>45370</v>
      </c>
      <c r="C129" s="4">
        <f>YEAR(Table1_1[[#This Row],[Order Dates]])</f>
        <v>2024</v>
      </c>
      <c r="D129" s="6">
        <f>MONTH(Table1_1[[#This Row],[Order Dates]])</f>
        <v>3</v>
      </c>
      <c r="E129" s="4" t="s">
        <v>76</v>
      </c>
      <c r="F129" s="4" t="s">
        <v>217</v>
      </c>
      <c r="G129" s="4" t="s">
        <v>78</v>
      </c>
      <c r="H129" s="4" t="str">
        <f>TRIM(CLEAN(SUBSTITUTE(Table1_1[[#This Row],[Salesperson]],"   "," ")))</f>
        <v>Pooja Chouhan</v>
      </c>
      <c r="I129" s="4" t="s">
        <v>92</v>
      </c>
      <c r="J129" s="4" t="s">
        <v>59</v>
      </c>
      <c r="K129" s="4" t="s">
        <v>73</v>
      </c>
      <c r="L129" s="4" t="s">
        <v>74</v>
      </c>
      <c r="M129" s="4" t="s">
        <v>40</v>
      </c>
      <c r="N129" s="4" t="s">
        <v>24</v>
      </c>
      <c r="O129" s="4">
        <v>3</v>
      </c>
      <c r="P129" s="7">
        <v>44030</v>
      </c>
      <c r="Q129" s="8">
        <v>0.05</v>
      </c>
      <c r="R129" s="7">
        <v>25550</v>
      </c>
      <c r="S129" s="7">
        <f>Table1_1[[#This Row],[Units Sold]]*Table1_1[[#This Row],[Unit Price]]*(1-Table1_1[[#This Row],[Discount %]])</f>
        <v>125485.5</v>
      </c>
      <c r="T129" s="7">
        <f>Table1_1[[#This Row],[Units Sold]]*Table1_1[[#This Row],[Unit Cost]]</f>
        <v>76650</v>
      </c>
      <c r="U129" s="7">
        <f>Table1_1[[#This Row],[Calculated sales]]-Table1_1[[#This Row],[Total cost]]</f>
        <v>48835.5</v>
      </c>
      <c r="V129" s="4">
        <f>IFERROR(Table1_1[[#This Row],[Profit/Loss]]/Table1_1[[#This Row],[Calculated sales]],0)</f>
        <v>0.38917245418793406</v>
      </c>
    </row>
    <row r="130" spans="1:22" x14ac:dyDescent="0.25">
      <c r="A130" s="4" t="s">
        <v>268</v>
      </c>
      <c r="B130" s="5">
        <v>45370</v>
      </c>
      <c r="C130" s="4">
        <f>YEAR(Table1_1[[#This Row],[Order Dates]])</f>
        <v>2024</v>
      </c>
      <c r="D130" s="6">
        <f>MONTH(Table1_1[[#This Row],[Order Dates]])</f>
        <v>3</v>
      </c>
      <c r="E130" s="4" t="s">
        <v>42</v>
      </c>
      <c r="F130" s="4" t="s">
        <v>123</v>
      </c>
      <c r="G130" s="4" t="s">
        <v>44</v>
      </c>
      <c r="H130" s="4" t="str">
        <f>TRIM(CLEAN(SUBSTITUTE(Table1_1[[#This Row],[Salesperson]],"   "," ")))</f>
        <v>Simran Kaur</v>
      </c>
      <c r="I130" s="4" t="s">
        <v>19</v>
      </c>
      <c r="J130" s="4" t="s">
        <v>27</v>
      </c>
      <c r="K130" s="4" t="s">
        <v>214</v>
      </c>
      <c r="L130" s="4" t="s">
        <v>1680</v>
      </c>
      <c r="M130" s="4" t="s">
        <v>23</v>
      </c>
      <c r="N130" s="4" t="s">
        <v>24</v>
      </c>
      <c r="O130" s="4">
        <v>2</v>
      </c>
      <c r="P130" s="7">
        <v>36250</v>
      </c>
      <c r="Q130" s="8">
        <v>0.12</v>
      </c>
      <c r="R130" s="7">
        <v>21530</v>
      </c>
      <c r="S130" s="7">
        <f>Table1_1[[#This Row],[Units Sold]]*Table1_1[[#This Row],[Unit Price]]*(1-Table1_1[[#This Row],[Discount %]])</f>
        <v>63800</v>
      </c>
      <c r="T130" s="7">
        <f>Table1_1[[#This Row],[Units Sold]]*Table1_1[[#This Row],[Unit Cost]]</f>
        <v>43060</v>
      </c>
      <c r="U130" s="7">
        <f>Table1_1[[#This Row],[Calculated sales]]-Table1_1[[#This Row],[Total cost]]</f>
        <v>20740</v>
      </c>
      <c r="V130" s="4">
        <f>IFERROR(Table1_1[[#This Row],[Profit/Loss]]/Table1_1[[#This Row],[Calculated sales]],0)</f>
        <v>0.32507836990595612</v>
      </c>
    </row>
    <row r="131" spans="1:22" x14ac:dyDescent="0.25">
      <c r="A131" s="4" t="s">
        <v>269</v>
      </c>
      <c r="B131" s="5">
        <v>45370</v>
      </c>
      <c r="C131" s="4">
        <f>YEAR(Table1_1[[#This Row],[Order Dates]])</f>
        <v>2024</v>
      </c>
      <c r="D131" s="6">
        <f>MONTH(Table1_1[[#This Row],[Order Dates]])</f>
        <v>3</v>
      </c>
      <c r="E131" s="4" t="s">
        <v>37</v>
      </c>
      <c r="F131" s="4" t="s">
        <v>213</v>
      </c>
      <c r="G131" s="4" t="s">
        <v>68</v>
      </c>
      <c r="H131" s="4" t="str">
        <f>TRIM(CLEAN(SUBSTITUTE(Table1_1[[#This Row],[Salesperson]],"   "," ")))</f>
        <v>Ritika Ghosh</v>
      </c>
      <c r="I131" s="4" t="s">
        <v>19</v>
      </c>
      <c r="J131" s="4" t="s">
        <v>46</v>
      </c>
      <c r="K131" s="4" t="s">
        <v>179</v>
      </c>
      <c r="L131" s="4" t="s">
        <v>236</v>
      </c>
      <c r="M131" s="4" t="s">
        <v>49</v>
      </c>
      <c r="N131" s="4" t="s">
        <v>24</v>
      </c>
      <c r="O131" s="4">
        <v>32</v>
      </c>
      <c r="P131" s="7">
        <v>2130</v>
      </c>
      <c r="Q131" s="8">
        <v>0.08</v>
      </c>
      <c r="R131" s="7">
        <v>1590</v>
      </c>
      <c r="S131" s="7">
        <f>Table1_1[[#This Row],[Units Sold]]*Table1_1[[#This Row],[Unit Price]]*(1-Table1_1[[#This Row],[Discount %]])</f>
        <v>62707.200000000004</v>
      </c>
      <c r="T131" s="7">
        <f>Table1_1[[#This Row],[Units Sold]]*Table1_1[[#This Row],[Unit Cost]]</f>
        <v>50880</v>
      </c>
      <c r="U131" s="7">
        <f>Table1_1[[#This Row],[Calculated sales]]-Table1_1[[#This Row],[Total cost]]</f>
        <v>11827.200000000004</v>
      </c>
      <c r="V131" s="4">
        <f>IFERROR(Table1_1[[#This Row],[Profit/Loss]]/Table1_1[[#This Row],[Calculated sales]],0)</f>
        <v>0.18860992039191676</v>
      </c>
    </row>
    <row r="132" spans="1:22" x14ac:dyDescent="0.25">
      <c r="A132" s="4" t="s">
        <v>270</v>
      </c>
      <c r="B132" s="5">
        <v>45370</v>
      </c>
      <c r="C132" s="4">
        <f>YEAR(Table1_1[[#This Row],[Order Dates]])</f>
        <v>2024</v>
      </c>
      <c r="D132" s="6">
        <f>MONTH(Table1_1[[#This Row],[Order Dates]])</f>
        <v>3</v>
      </c>
      <c r="E132" s="4" t="s">
        <v>16</v>
      </c>
      <c r="F132" s="4" t="s">
        <v>191</v>
      </c>
      <c r="G132" s="4" t="s">
        <v>26</v>
      </c>
      <c r="H132" s="4" t="str">
        <f>TRIM(CLEAN(SUBSTITUTE(Table1_1[[#This Row],[Salesperson]],"   "," ")))</f>
        <v>Prateek Shah</v>
      </c>
      <c r="I132" s="4" t="s">
        <v>52</v>
      </c>
      <c r="J132" s="4" t="s">
        <v>27</v>
      </c>
      <c r="K132" s="4" t="s">
        <v>53</v>
      </c>
      <c r="L132" s="4" t="s">
        <v>1669</v>
      </c>
      <c r="M132" s="4" t="s">
        <v>23</v>
      </c>
      <c r="N132" s="4" t="s">
        <v>119</v>
      </c>
      <c r="O132" s="4">
        <v>2</v>
      </c>
      <c r="P132" s="7">
        <v>40640</v>
      </c>
      <c r="Q132" s="8">
        <v>0.1</v>
      </c>
      <c r="R132" s="7">
        <v>29210</v>
      </c>
      <c r="S132" s="7">
        <f>Table1_1[[#This Row],[Units Sold]]*Table1_1[[#This Row],[Unit Price]]*(1-Table1_1[[#This Row],[Discount %]])</f>
        <v>73152</v>
      </c>
      <c r="T132" s="7">
        <f>Table1_1[[#This Row],[Units Sold]]*Table1_1[[#This Row],[Unit Cost]]</f>
        <v>58420</v>
      </c>
      <c r="U132" s="7">
        <f>Table1_1[[#This Row],[Calculated sales]]-Table1_1[[#This Row],[Total cost]]</f>
        <v>14732</v>
      </c>
      <c r="V132" s="4">
        <f>IFERROR(Table1_1[[#This Row],[Profit/Loss]]/Table1_1[[#This Row],[Calculated sales]],0)</f>
        <v>0.2013888888888889</v>
      </c>
    </row>
    <row r="133" spans="1:22" x14ac:dyDescent="0.25">
      <c r="A133" s="4" t="s">
        <v>271</v>
      </c>
      <c r="B133" s="5">
        <v>45371</v>
      </c>
      <c r="C133" s="4">
        <f>YEAR(Table1_1[[#This Row],[Order Dates]])</f>
        <v>2024</v>
      </c>
      <c r="D133" s="6">
        <f>MONTH(Table1_1[[#This Row],[Order Dates]])</f>
        <v>3</v>
      </c>
      <c r="E133" s="4" t="s">
        <v>76</v>
      </c>
      <c r="F133" s="4" t="s">
        <v>217</v>
      </c>
      <c r="G133" s="4" t="s">
        <v>78</v>
      </c>
      <c r="H133" s="4" t="str">
        <f>TRIM(CLEAN(SUBSTITUTE(Table1_1[[#This Row],[Salesperson]],"   "," ")))</f>
        <v>Pooja Chouhan</v>
      </c>
      <c r="I133" s="4" t="s">
        <v>52</v>
      </c>
      <c r="J133" s="4" t="s">
        <v>46</v>
      </c>
      <c r="K133" s="4" t="s">
        <v>179</v>
      </c>
      <c r="L133" s="4" t="s">
        <v>236</v>
      </c>
      <c r="M133" s="4" t="s">
        <v>23</v>
      </c>
      <c r="N133" s="4" t="s">
        <v>24</v>
      </c>
      <c r="O133" s="4">
        <v>22</v>
      </c>
      <c r="P133" s="7">
        <v>2150</v>
      </c>
      <c r="Q133" s="8">
        <v>0.15</v>
      </c>
      <c r="R133" s="7">
        <v>1350</v>
      </c>
      <c r="S133" s="7">
        <f>Table1_1[[#This Row],[Units Sold]]*Table1_1[[#This Row],[Unit Price]]*(1-Table1_1[[#This Row],[Discount %]])</f>
        <v>40205</v>
      </c>
      <c r="T133" s="7">
        <f>Table1_1[[#This Row],[Units Sold]]*Table1_1[[#This Row],[Unit Cost]]</f>
        <v>29700</v>
      </c>
      <c r="U133" s="7">
        <f>Table1_1[[#This Row],[Calculated sales]]-Table1_1[[#This Row],[Total cost]]</f>
        <v>10505</v>
      </c>
      <c r="V133" s="4">
        <f>IFERROR(Table1_1[[#This Row],[Profit/Loss]]/Table1_1[[#This Row],[Calculated sales]],0)</f>
        <v>0.26128590971272231</v>
      </c>
    </row>
    <row r="134" spans="1:22" x14ac:dyDescent="0.25">
      <c r="A134" s="4" t="s">
        <v>272</v>
      </c>
      <c r="B134" s="5">
        <v>45371</v>
      </c>
      <c r="C134" s="4">
        <f>YEAR(Table1_1[[#This Row],[Order Dates]])</f>
        <v>2024</v>
      </c>
      <c r="D134" s="6">
        <f>MONTH(Table1_1[[#This Row],[Order Dates]])</f>
        <v>3</v>
      </c>
      <c r="E134" s="4" t="s">
        <v>56</v>
      </c>
      <c r="F134" s="4" t="s">
        <v>133</v>
      </c>
      <c r="G134" s="4" t="s">
        <v>91</v>
      </c>
      <c r="H134" s="4" t="str">
        <f>TRIM(CLEAN(SUBSTITUTE(Table1_1[[#This Row],[Salesperson]],"   "," ")))</f>
        <v>Anjali Menon</v>
      </c>
      <c r="I134" s="4" t="s">
        <v>19</v>
      </c>
      <c r="J134" s="4" t="s">
        <v>46</v>
      </c>
      <c r="K134" s="4" t="s">
        <v>47</v>
      </c>
      <c r="L134" s="4" t="s">
        <v>48</v>
      </c>
      <c r="M134" s="4" t="s">
        <v>23</v>
      </c>
      <c r="N134" s="4" t="s">
        <v>24</v>
      </c>
      <c r="O134" s="4">
        <v>32</v>
      </c>
      <c r="P134" s="7">
        <v>1780</v>
      </c>
      <c r="Q134" s="8">
        <v>0.2</v>
      </c>
      <c r="R134" s="7">
        <v>1290</v>
      </c>
      <c r="S134" s="7">
        <f>Table1_1[[#This Row],[Units Sold]]*Table1_1[[#This Row],[Unit Price]]*(1-Table1_1[[#This Row],[Discount %]])</f>
        <v>45568</v>
      </c>
      <c r="T134" s="7">
        <f>Table1_1[[#This Row],[Units Sold]]*Table1_1[[#This Row],[Unit Cost]]</f>
        <v>41280</v>
      </c>
      <c r="U134" s="7">
        <f>Table1_1[[#This Row],[Calculated sales]]-Table1_1[[#This Row],[Total cost]]</f>
        <v>4288</v>
      </c>
      <c r="V134" s="4">
        <f>IFERROR(Table1_1[[#This Row],[Profit/Loss]]/Table1_1[[#This Row],[Calculated sales]],0)</f>
        <v>9.4101123595505612E-2</v>
      </c>
    </row>
    <row r="135" spans="1:22" x14ac:dyDescent="0.25">
      <c r="A135" s="4" t="s">
        <v>273</v>
      </c>
      <c r="B135" s="5">
        <v>45371</v>
      </c>
      <c r="C135" s="4">
        <f>YEAR(Table1_1[[#This Row],[Order Dates]])</f>
        <v>2024</v>
      </c>
      <c r="D135" s="6">
        <f>MONTH(Table1_1[[#This Row],[Order Dates]])</f>
        <v>3</v>
      </c>
      <c r="E135" s="4" t="s">
        <v>42</v>
      </c>
      <c r="F135" s="4" t="s">
        <v>123</v>
      </c>
      <c r="G135" s="4" t="s">
        <v>64</v>
      </c>
      <c r="H135" s="4" t="str">
        <f>TRIM(CLEAN(SUBSTITUTE(Table1_1[[#This Row],[Salesperson]],"   "," ")))</f>
        <v>Aditya Verma</v>
      </c>
      <c r="I135" s="4" t="s">
        <v>92</v>
      </c>
      <c r="J135" s="4" t="s">
        <v>20</v>
      </c>
      <c r="K135" s="4" t="s">
        <v>87</v>
      </c>
      <c r="L135" s="4" t="s">
        <v>1672</v>
      </c>
      <c r="M135" s="4" t="s">
        <v>49</v>
      </c>
      <c r="N135" s="4" t="s">
        <v>24</v>
      </c>
      <c r="O135" s="4">
        <v>2</v>
      </c>
      <c r="P135" s="7">
        <v>30590</v>
      </c>
      <c r="Q135" s="8">
        <v>0.15</v>
      </c>
      <c r="R135" s="7">
        <v>20580</v>
      </c>
      <c r="S135" s="7">
        <f>Table1_1[[#This Row],[Units Sold]]*Table1_1[[#This Row],[Unit Price]]*(1-Table1_1[[#This Row],[Discount %]])</f>
        <v>52003</v>
      </c>
      <c r="T135" s="7">
        <f>Table1_1[[#This Row],[Units Sold]]*Table1_1[[#This Row],[Unit Cost]]</f>
        <v>41160</v>
      </c>
      <c r="U135" s="7">
        <f>Table1_1[[#This Row],[Calculated sales]]-Table1_1[[#This Row],[Total cost]]</f>
        <v>10843</v>
      </c>
      <c r="V135" s="4">
        <f>IFERROR(Table1_1[[#This Row],[Profit/Loss]]/Table1_1[[#This Row],[Calculated sales]],0)</f>
        <v>0.20850720150760532</v>
      </c>
    </row>
    <row r="136" spans="1:22" x14ac:dyDescent="0.25">
      <c r="A136" s="4" t="s">
        <v>274</v>
      </c>
      <c r="B136" s="5">
        <v>45372</v>
      </c>
      <c r="C136" s="4">
        <f>YEAR(Table1_1[[#This Row],[Order Dates]])</f>
        <v>2024</v>
      </c>
      <c r="D136" s="6">
        <f>MONTH(Table1_1[[#This Row],[Order Dates]])</f>
        <v>3</v>
      </c>
      <c r="E136" s="4" t="s">
        <v>56</v>
      </c>
      <c r="F136" s="4" t="s">
        <v>72</v>
      </c>
      <c r="G136" s="4" t="s">
        <v>134</v>
      </c>
      <c r="H136" s="4" t="str">
        <f>TRIM(CLEAN(SUBSTITUTE(Table1_1[[#This Row],[Salesperson]],"   "," ")))</f>
        <v>Divya Nair</v>
      </c>
      <c r="I136" s="4" t="s">
        <v>92</v>
      </c>
      <c r="J136" s="4" t="s">
        <v>27</v>
      </c>
      <c r="K136" s="4" t="s">
        <v>79</v>
      </c>
      <c r="L136" s="4" t="s">
        <v>262</v>
      </c>
      <c r="M136" s="4" t="s">
        <v>23</v>
      </c>
      <c r="N136" s="4" t="s">
        <v>24</v>
      </c>
      <c r="O136" s="4">
        <v>77</v>
      </c>
      <c r="P136" s="7">
        <v>2800</v>
      </c>
      <c r="Q136" s="8">
        <v>0.05</v>
      </c>
      <c r="R136" s="7">
        <v>2010</v>
      </c>
      <c r="S136" s="7">
        <f>Table1_1[[#This Row],[Units Sold]]*Table1_1[[#This Row],[Unit Price]]*(1-Table1_1[[#This Row],[Discount %]])</f>
        <v>204820</v>
      </c>
      <c r="T136" s="7">
        <f>Table1_1[[#This Row],[Units Sold]]*Table1_1[[#This Row],[Unit Cost]]</f>
        <v>154770</v>
      </c>
      <c r="U136" s="7">
        <f>Table1_1[[#This Row],[Calculated sales]]-Table1_1[[#This Row],[Total cost]]</f>
        <v>50050</v>
      </c>
      <c r="V136" s="4">
        <f>IFERROR(Table1_1[[#This Row],[Profit/Loss]]/Table1_1[[#This Row],[Calculated sales]],0)</f>
        <v>0.24436090225563908</v>
      </c>
    </row>
    <row r="137" spans="1:22" x14ac:dyDescent="0.25">
      <c r="A137" s="4" t="s">
        <v>275</v>
      </c>
      <c r="B137" s="5">
        <v>45372</v>
      </c>
      <c r="C137" s="4">
        <f>YEAR(Table1_1[[#This Row],[Order Dates]])</f>
        <v>2024</v>
      </c>
      <c r="D137" s="6">
        <f>MONTH(Table1_1[[#This Row],[Order Dates]])</f>
        <v>3</v>
      </c>
      <c r="E137" s="4" t="s">
        <v>16</v>
      </c>
      <c r="F137" s="4" t="s">
        <v>153</v>
      </c>
      <c r="G137" s="4" t="s">
        <v>32</v>
      </c>
      <c r="H137" s="4" t="str">
        <f>TRIM(CLEAN(SUBSTITUTE(Table1_1[[#This Row],[Salesperson]],"   "," ")))</f>
        <v>Neha Deshpande</v>
      </c>
      <c r="I137" s="4" t="s">
        <v>52</v>
      </c>
      <c r="J137" s="4" t="s">
        <v>20</v>
      </c>
      <c r="K137" s="4" t="s">
        <v>109</v>
      </c>
      <c r="L137" s="4" t="s">
        <v>171</v>
      </c>
      <c r="M137" s="4" t="s">
        <v>49</v>
      </c>
      <c r="N137" s="4" t="s">
        <v>94</v>
      </c>
      <c r="O137" s="4">
        <v>8</v>
      </c>
      <c r="P137" s="7">
        <v>23110</v>
      </c>
      <c r="Q137" s="8">
        <v>0.2</v>
      </c>
      <c r="R137" s="7">
        <v>17760</v>
      </c>
      <c r="S137" s="7">
        <f>Table1_1[[#This Row],[Units Sold]]*Table1_1[[#This Row],[Unit Price]]*(1-Table1_1[[#This Row],[Discount %]])</f>
        <v>147904</v>
      </c>
      <c r="T137" s="7">
        <f>Table1_1[[#This Row],[Units Sold]]*Table1_1[[#This Row],[Unit Cost]]</f>
        <v>142080</v>
      </c>
      <c r="U137" s="7">
        <f>Table1_1[[#This Row],[Calculated sales]]-Table1_1[[#This Row],[Total cost]]</f>
        <v>5824</v>
      </c>
      <c r="V137" s="4">
        <f>IFERROR(Table1_1[[#This Row],[Profit/Loss]]/Table1_1[[#This Row],[Calculated sales]],0)</f>
        <v>3.9376893119861534E-2</v>
      </c>
    </row>
    <row r="138" spans="1:22" x14ac:dyDescent="0.25">
      <c r="A138" s="4" t="s">
        <v>276</v>
      </c>
      <c r="B138" s="5">
        <v>45373</v>
      </c>
      <c r="C138" s="4">
        <f>YEAR(Table1_1[[#This Row],[Order Dates]])</f>
        <v>2024</v>
      </c>
      <c r="D138" s="6">
        <f>MONTH(Table1_1[[#This Row],[Order Dates]])</f>
        <v>3</v>
      </c>
      <c r="E138" s="4" t="s">
        <v>16</v>
      </c>
      <c r="F138" s="4" t="s">
        <v>153</v>
      </c>
      <c r="G138" s="4" t="s">
        <v>26</v>
      </c>
      <c r="H138" s="4" t="str">
        <f>TRIM(CLEAN(SUBSTITUTE(Table1_1[[#This Row],[Salesperson]],"   "," ")))</f>
        <v>Prateek Shah</v>
      </c>
      <c r="I138" s="4" t="s">
        <v>19</v>
      </c>
      <c r="J138" s="4" t="s">
        <v>59</v>
      </c>
      <c r="K138" s="4" t="s">
        <v>60</v>
      </c>
      <c r="L138" s="4" t="s">
        <v>61</v>
      </c>
      <c r="M138" s="4" t="s">
        <v>23</v>
      </c>
      <c r="N138" s="4" t="s">
        <v>24</v>
      </c>
      <c r="O138" s="4">
        <v>5</v>
      </c>
      <c r="P138" s="7">
        <v>25850</v>
      </c>
      <c r="Q138" s="8">
        <v>0.08</v>
      </c>
      <c r="R138" s="7">
        <v>19280</v>
      </c>
      <c r="S138" s="7">
        <f>Table1_1[[#This Row],[Units Sold]]*Table1_1[[#This Row],[Unit Price]]*(1-Table1_1[[#This Row],[Discount %]])</f>
        <v>118910</v>
      </c>
      <c r="T138" s="7">
        <f>Table1_1[[#This Row],[Units Sold]]*Table1_1[[#This Row],[Unit Cost]]</f>
        <v>96400</v>
      </c>
      <c r="U138" s="7">
        <f>Table1_1[[#This Row],[Calculated sales]]-Table1_1[[#This Row],[Total cost]]</f>
        <v>22510</v>
      </c>
      <c r="V138" s="4">
        <f>IFERROR(Table1_1[[#This Row],[Profit/Loss]]/Table1_1[[#This Row],[Calculated sales]],0)</f>
        <v>0.18930283407619208</v>
      </c>
    </row>
    <row r="139" spans="1:22" x14ac:dyDescent="0.25">
      <c r="A139" s="4" t="s">
        <v>277</v>
      </c>
      <c r="B139" s="5">
        <v>45373</v>
      </c>
      <c r="C139" s="4">
        <f>YEAR(Table1_1[[#This Row],[Order Dates]])</f>
        <v>2024</v>
      </c>
      <c r="D139" s="6">
        <f>MONTH(Table1_1[[#This Row],[Order Dates]])</f>
        <v>3</v>
      </c>
      <c r="E139" s="4" t="s">
        <v>76</v>
      </c>
      <c r="F139" s="4" t="s">
        <v>125</v>
      </c>
      <c r="G139" s="4" t="s">
        <v>170</v>
      </c>
      <c r="H139" s="4" t="str">
        <f>TRIM(CLEAN(SUBSTITUTE(Table1_1[[#This Row],[Salesperson]],"   "," ")))</f>
        <v>Manish Tiwari</v>
      </c>
      <c r="I139" s="4" t="s">
        <v>19</v>
      </c>
      <c r="J139" s="4" t="s">
        <v>20</v>
      </c>
      <c r="K139" s="4" t="s">
        <v>109</v>
      </c>
      <c r="L139" s="4" t="s">
        <v>171</v>
      </c>
      <c r="M139" s="4" t="s">
        <v>40</v>
      </c>
      <c r="N139" s="4" t="s">
        <v>24</v>
      </c>
      <c r="O139" s="4">
        <v>6</v>
      </c>
      <c r="P139" s="7">
        <v>22570</v>
      </c>
      <c r="Q139" s="8">
        <v>0.18</v>
      </c>
      <c r="R139" s="7">
        <v>17210</v>
      </c>
      <c r="S139" s="7">
        <f>Table1_1[[#This Row],[Units Sold]]*Table1_1[[#This Row],[Unit Price]]*(1-Table1_1[[#This Row],[Discount %]])</f>
        <v>111044.40000000001</v>
      </c>
      <c r="T139" s="7">
        <f>Table1_1[[#This Row],[Units Sold]]*Table1_1[[#This Row],[Unit Cost]]</f>
        <v>103260</v>
      </c>
      <c r="U139" s="7">
        <f>Table1_1[[#This Row],[Calculated sales]]-Table1_1[[#This Row],[Total cost]]</f>
        <v>7784.4000000000087</v>
      </c>
      <c r="V139" s="4">
        <f>IFERROR(Table1_1[[#This Row],[Profit/Loss]]/Table1_1[[#This Row],[Calculated sales]],0)</f>
        <v>7.0101689054108157E-2</v>
      </c>
    </row>
    <row r="140" spans="1:22" x14ac:dyDescent="0.25">
      <c r="A140" s="4" t="s">
        <v>278</v>
      </c>
      <c r="B140" s="5">
        <v>45373</v>
      </c>
      <c r="C140" s="4">
        <f>YEAR(Table1_1[[#This Row],[Order Dates]])</f>
        <v>2024</v>
      </c>
      <c r="D140" s="6">
        <f>MONTH(Table1_1[[#This Row],[Order Dates]])</f>
        <v>3</v>
      </c>
      <c r="E140" s="4" t="s">
        <v>42</v>
      </c>
      <c r="F140" s="4" t="s">
        <v>130</v>
      </c>
      <c r="G140" s="4" t="s">
        <v>44</v>
      </c>
      <c r="H140" s="4" t="str">
        <f>TRIM(CLEAN(SUBSTITUTE(Table1_1[[#This Row],[Salesperson]],"   "," ")))</f>
        <v>Simran Kaur</v>
      </c>
      <c r="I140" s="4" t="s">
        <v>45</v>
      </c>
      <c r="J140" s="4" t="s">
        <v>46</v>
      </c>
      <c r="K140" s="4" t="s">
        <v>100</v>
      </c>
      <c r="L140" s="4" t="s">
        <v>101</v>
      </c>
      <c r="M140" s="4" t="s">
        <v>23</v>
      </c>
      <c r="N140" s="4" t="s">
        <v>24</v>
      </c>
      <c r="O140" s="4">
        <v>43</v>
      </c>
      <c r="P140" s="7">
        <v>1950</v>
      </c>
      <c r="Q140" s="8">
        <v>0</v>
      </c>
      <c r="R140" s="7">
        <v>1410</v>
      </c>
      <c r="S140" s="7">
        <f>Table1_1[[#This Row],[Units Sold]]*Table1_1[[#This Row],[Unit Price]]*(1-Table1_1[[#This Row],[Discount %]])</f>
        <v>83850</v>
      </c>
      <c r="T140" s="7">
        <f>Table1_1[[#This Row],[Units Sold]]*Table1_1[[#This Row],[Unit Cost]]</f>
        <v>60630</v>
      </c>
      <c r="U140" s="7">
        <f>Table1_1[[#This Row],[Calculated sales]]-Table1_1[[#This Row],[Total cost]]</f>
        <v>23220</v>
      </c>
      <c r="V140" s="4">
        <f>IFERROR(Table1_1[[#This Row],[Profit/Loss]]/Table1_1[[#This Row],[Calculated sales]],0)</f>
        <v>0.27692307692307694</v>
      </c>
    </row>
    <row r="141" spans="1:22" x14ac:dyDescent="0.25">
      <c r="A141" s="4" t="s">
        <v>279</v>
      </c>
      <c r="B141" s="5">
        <v>45373</v>
      </c>
      <c r="C141" s="4">
        <f>YEAR(Table1_1[[#This Row],[Order Dates]])</f>
        <v>2024</v>
      </c>
      <c r="D141" s="6">
        <f>MONTH(Table1_1[[#This Row],[Order Dates]])</f>
        <v>3</v>
      </c>
      <c r="E141" s="4" t="s">
        <v>56</v>
      </c>
      <c r="F141" s="4" t="s">
        <v>127</v>
      </c>
      <c r="G141" s="4" t="s">
        <v>134</v>
      </c>
      <c r="H141" s="4" t="str">
        <f>TRIM(CLEAN(SUBSTITUTE(Table1_1[[#This Row],[Salesperson]],"   "," ")))</f>
        <v>Divya Nair</v>
      </c>
      <c r="I141" s="4" t="s">
        <v>92</v>
      </c>
      <c r="J141" s="4" t="s">
        <v>46</v>
      </c>
      <c r="K141" s="4" t="s">
        <v>100</v>
      </c>
      <c r="L141" s="4" t="s">
        <v>101</v>
      </c>
      <c r="M141" s="4" t="s">
        <v>49</v>
      </c>
      <c r="N141" s="4" t="s">
        <v>119</v>
      </c>
      <c r="O141" s="4">
        <v>16</v>
      </c>
      <c r="P141" s="7">
        <v>2010</v>
      </c>
      <c r="Q141" s="8">
        <v>0</v>
      </c>
      <c r="R141" s="7">
        <v>1170</v>
      </c>
      <c r="S141" s="7">
        <f>Table1_1[[#This Row],[Units Sold]]*Table1_1[[#This Row],[Unit Price]]*(1-Table1_1[[#This Row],[Discount %]])</f>
        <v>32160</v>
      </c>
      <c r="T141" s="7">
        <f>Table1_1[[#This Row],[Units Sold]]*Table1_1[[#This Row],[Unit Cost]]</f>
        <v>18720</v>
      </c>
      <c r="U141" s="7">
        <f>Table1_1[[#This Row],[Calculated sales]]-Table1_1[[#This Row],[Total cost]]</f>
        <v>13440</v>
      </c>
      <c r="V141" s="4">
        <f>IFERROR(Table1_1[[#This Row],[Profit/Loss]]/Table1_1[[#This Row],[Calculated sales]],0)</f>
        <v>0.41791044776119401</v>
      </c>
    </row>
    <row r="142" spans="1:22" x14ac:dyDescent="0.25">
      <c r="A142" s="4" t="s">
        <v>280</v>
      </c>
      <c r="B142" s="5">
        <v>45375</v>
      </c>
      <c r="C142" s="4">
        <f>YEAR(Table1_1[[#This Row],[Order Dates]])</f>
        <v>2024</v>
      </c>
      <c r="D142" s="6">
        <f>MONTH(Table1_1[[#This Row],[Order Dates]])</f>
        <v>3</v>
      </c>
      <c r="E142" s="4" t="s">
        <v>56</v>
      </c>
      <c r="F142" s="4" t="s">
        <v>127</v>
      </c>
      <c r="G142" s="4" t="s">
        <v>58</v>
      </c>
      <c r="H142" s="4" t="str">
        <f>TRIM(CLEAN(SUBSTITUTE(Table1_1[[#This Row],[Salesperson]],"   "," ")))</f>
        <v>Karthik Raman</v>
      </c>
      <c r="I142" s="4" t="s">
        <v>92</v>
      </c>
      <c r="J142" s="4" t="s">
        <v>27</v>
      </c>
      <c r="K142" s="4" t="s">
        <v>79</v>
      </c>
      <c r="L142" s="4" t="s">
        <v>168</v>
      </c>
      <c r="M142" s="4" t="s">
        <v>23</v>
      </c>
      <c r="N142" s="4" t="s">
        <v>24</v>
      </c>
      <c r="O142" s="4">
        <v>14</v>
      </c>
      <c r="P142" s="7">
        <v>10050</v>
      </c>
      <c r="Q142" s="8">
        <v>0</v>
      </c>
      <c r="R142" s="7">
        <v>7370</v>
      </c>
      <c r="S142" s="7">
        <f>Table1_1[[#This Row],[Units Sold]]*Table1_1[[#This Row],[Unit Price]]*(1-Table1_1[[#This Row],[Discount %]])</f>
        <v>140700</v>
      </c>
      <c r="T142" s="7">
        <f>Table1_1[[#This Row],[Units Sold]]*Table1_1[[#This Row],[Unit Cost]]</f>
        <v>103180</v>
      </c>
      <c r="U142" s="7">
        <f>Table1_1[[#This Row],[Calculated sales]]-Table1_1[[#This Row],[Total cost]]</f>
        <v>37520</v>
      </c>
      <c r="V142" s="4">
        <f>IFERROR(Table1_1[[#This Row],[Profit/Loss]]/Table1_1[[#This Row],[Calculated sales]],0)</f>
        <v>0.26666666666666666</v>
      </c>
    </row>
    <row r="143" spans="1:22" x14ac:dyDescent="0.25">
      <c r="A143" s="4" t="s">
        <v>281</v>
      </c>
      <c r="B143" s="5">
        <v>45375</v>
      </c>
      <c r="C143" s="4">
        <f>YEAR(Table1_1[[#This Row],[Order Dates]])</f>
        <v>2024</v>
      </c>
      <c r="D143" s="6">
        <f>MONTH(Table1_1[[#This Row],[Order Dates]])</f>
        <v>3</v>
      </c>
      <c r="E143" s="4" t="s">
        <v>76</v>
      </c>
      <c r="F143" s="4" t="s">
        <v>99</v>
      </c>
      <c r="G143" s="4" t="s">
        <v>170</v>
      </c>
      <c r="H143" s="4" t="str">
        <f>TRIM(CLEAN(SUBSTITUTE(Table1_1[[#This Row],[Salesperson]],"   "," ")))</f>
        <v>Manish Tiwari</v>
      </c>
      <c r="I143" s="4" t="s">
        <v>92</v>
      </c>
      <c r="J143" s="4" t="s">
        <v>59</v>
      </c>
      <c r="K143" s="4" t="s">
        <v>69</v>
      </c>
      <c r="L143" s="4" t="s">
        <v>70</v>
      </c>
      <c r="M143" s="4" t="s">
        <v>49</v>
      </c>
      <c r="N143" s="4" t="s">
        <v>24</v>
      </c>
      <c r="O143" s="4">
        <v>8</v>
      </c>
      <c r="P143" s="7">
        <v>28650</v>
      </c>
      <c r="Q143" s="8">
        <v>0.2</v>
      </c>
      <c r="R143" s="7">
        <v>21940</v>
      </c>
      <c r="S143" s="7">
        <f>Table1_1[[#This Row],[Units Sold]]*Table1_1[[#This Row],[Unit Price]]*(1-Table1_1[[#This Row],[Discount %]])</f>
        <v>183360</v>
      </c>
      <c r="T143" s="7">
        <f>Table1_1[[#This Row],[Units Sold]]*Table1_1[[#This Row],[Unit Cost]]</f>
        <v>175520</v>
      </c>
      <c r="U143" s="7">
        <f>Table1_1[[#This Row],[Calculated sales]]-Table1_1[[#This Row],[Total cost]]</f>
        <v>7840</v>
      </c>
      <c r="V143" s="4">
        <f>IFERROR(Table1_1[[#This Row],[Profit/Loss]]/Table1_1[[#This Row],[Calculated sales]],0)</f>
        <v>4.2757417102966842E-2</v>
      </c>
    </row>
    <row r="144" spans="1:22" x14ac:dyDescent="0.25">
      <c r="A144" s="4" t="s">
        <v>282</v>
      </c>
      <c r="B144" s="5">
        <v>45375</v>
      </c>
      <c r="C144" s="4">
        <f>YEAR(Table1_1[[#This Row],[Order Dates]])</f>
        <v>2024</v>
      </c>
      <c r="D144" s="6">
        <f>MONTH(Table1_1[[#This Row],[Order Dates]])</f>
        <v>3</v>
      </c>
      <c r="E144" s="4" t="s">
        <v>16</v>
      </c>
      <c r="F144" s="4" t="s">
        <v>31</v>
      </c>
      <c r="G144" s="4" t="s">
        <v>18</v>
      </c>
      <c r="H144" s="4" t="str">
        <f>TRIM(CLEAN(SUBSTITUTE(Table1_1[[#This Row],[Salesperson]],"   "," ")))</f>
        <v>Imran Sheikh</v>
      </c>
      <c r="I144" s="4" t="s">
        <v>52</v>
      </c>
      <c r="J144" s="4" t="s">
        <v>20</v>
      </c>
      <c r="K144" s="4" t="s">
        <v>33</v>
      </c>
      <c r="L144" s="4" t="s">
        <v>1677</v>
      </c>
      <c r="M144" s="4" t="s">
        <v>23</v>
      </c>
      <c r="N144" s="4" t="s">
        <v>24</v>
      </c>
      <c r="O144" s="4">
        <v>2</v>
      </c>
      <c r="P144" s="7">
        <v>63550</v>
      </c>
      <c r="Q144" s="8">
        <v>0</v>
      </c>
      <c r="R144" s="7">
        <v>43730</v>
      </c>
      <c r="S144" s="7">
        <f>Table1_1[[#This Row],[Units Sold]]*Table1_1[[#This Row],[Unit Price]]*(1-Table1_1[[#This Row],[Discount %]])</f>
        <v>127100</v>
      </c>
      <c r="T144" s="7">
        <f>Table1_1[[#This Row],[Units Sold]]*Table1_1[[#This Row],[Unit Cost]]</f>
        <v>87460</v>
      </c>
      <c r="U144" s="7">
        <f>Table1_1[[#This Row],[Calculated sales]]-Table1_1[[#This Row],[Total cost]]</f>
        <v>39640</v>
      </c>
      <c r="V144" s="4">
        <f>IFERROR(Table1_1[[#This Row],[Profit/Loss]]/Table1_1[[#This Row],[Calculated sales]],0)</f>
        <v>0.31188040912667192</v>
      </c>
    </row>
    <row r="145" spans="1:22" x14ac:dyDescent="0.25">
      <c r="A145" s="4" t="s">
        <v>283</v>
      </c>
      <c r="B145" s="5">
        <v>45376</v>
      </c>
      <c r="C145" s="4">
        <f>YEAR(Table1_1[[#This Row],[Order Dates]])</f>
        <v>2024</v>
      </c>
      <c r="D145" s="6">
        <f>MONTH(Table1_1[[#This Row],[Order Dates]])</f>
        <v>3</v>
      </c>
      <c r="E145" s="4" t="s">
        <v>42</v>
      </c>
      <c r="F145" s="4" t="s">
        <v>43</v>
      </c>
      <c r="G145" s="4" t="s">
        <v>64</v>
      </c>
      <c r="H145" s="4" t="str">
        <f>TRIM(CLEAN(SUBSTITUTE(Table1_1[[#This Row],[Salesperson]],"   "," ")))</f>
        <v>Aditya Verma</v>
      </c>
      <c r="I145" s="4" t="s">
        <v>92</v>
      </c>
      <c r="J145" s="4" t="s">
        <v>46</v>
      </c>
      <c r="K145" s="4" t="s">
        <v>47</v>
      </c>
      <c r="L145" s="4" t="s">
        <v>48</v>
      </c>
      <c r="M145" s="4" t="s">
        <v>23</v>
      </c>
      <c r="N145" s="4" t="s">
        <v>35</v>
      </c>
      <c r="O145" s="4">
        <v>61</v>
      </c>
      <c r="P145" s="7">
        <v>1850</v>
      </c>
      <c r="Q145" s="8">
        <v>0.12</v>
      </c>
      <c r="R145" s="7">
        <v>1330</v>
      </c>
      <c r="S145" s="7">
        <f>Table1_1[[#This Row],[Units Sold]]*Table1_1[[#This Row],[Unit Price]]*(1-Table1_1[[#This Row],[Discount %]])</f>
        <v>99308</v>
      </c>
      <c r="T145" s="7">
        <f>Table1_1[[#This Row],[Units Sold]]*Table1_1[[#This Row],[Unit Cost]]</f>
        <v>81130</v>
      </c>
      <c r="U145" s="7">
        <f>Table1_1[[#This Row],[Calculated sales]]-Table1_1[[#This Row],[Total cost]]</f>
        <v>18178</v>
      </c>
      <c r="V145" s="4">
        <f>IFERROR(Table1_1[[#This Row],[Profit/Loss]]/Table1_1[[#This Row],[Calculated sales]],0)</f>
        <v>0.18304668304668303</v>
      </c>
    </row>
    <row r="146" spans="1:22" x14ac:dyDescent="0.25">
      <c r="A146" s="4" t="s">
        <v>284</v>
      </c>
      <c r="B146" s="5">
        <v>45376</v>
      </c>
      <c r="C146" s="4">
        <f>YEAR(Table1_1[[#This Row],[Order Dates]])</f>
        <v>2024</v>
      </c>
      <c r="D146" s="6">
        <f>MONTH(Table1_1[[#This Row],[Order Dates]])</f>
        <v>3</v>
      </c>
      <c r="E146" s="4" t="s">
        <v>56</v>
      </c>
      <c r="F146" s="4" t="s">
        <v>133</v>
      </c>
      <c r="G146" s="4" t="s">
        <v>134</v>
      </c>
      <c r="H146" s="4" t="str">
        <f>TRIM(CLEAN(SUBSTITUTE(Table1_1[[#This Row],[Salesperson]],"   "," ")))</f>
        <v>Divya Nair</v>
      </c>
      <c r="I146" s="4" t="s">
        <v>19</v>
      </c>
      <c r="J146" s="4" t="s">
        <v>46</v>
      </c>
      <c r="K146" s="4" t="s">
        <v>179</v>
      </c>
      <c r="L146" s="4" t="s">
        <v>180</v>
      </c>
      <c r="M146" s="4" t="s">
        <v>23</v>
      </c>
      <c r="N146" s="4" t="s">
        <v>24</v>
      </c>
      <c r="O146" s="4">
        <v>4</v>
      </c>
      <c r="P146" s="7">
        <v>4040</v>
      </c>
      <c r="Q146" s="8">
        <v>0.08</v>
      </c>
      <c r="R146" s="7">
        <v>2930</v>
      </c>
      <c r="S146" s="7">
        <f>Table1_1[[#This Row],[Units Sold]]*Table1_1[[#This Row],[Unit Price]]*(1-Table1_1[[#This Row],[Discount %]])</f>
        <v>14867.2</v>
      </c>
      <c r="T146" s="7">
        <f>Table1_1[[#This Row],[Units Sold]]*Table1_1[[#This Row],[Unit Cost]]</f>
        <v>11720</v>
      </c>
      <c r="U146" s="7">
        <f>Table1_1[[#This Row],[Calculated sales]]-Table1_1[[#This Row],[Total cost]]</f>
        <v>3147.2000000000007</v>
      </c>
      <c r="V146" s="4">
        <f>IFERROR(Table1_1[[#This Row],[Profit/Loss]]/Table1_1[[#This Row],[Calculated sales]],0)</f>
        <v>0.21168747309513564</v>
      </c>
    </row>
    <row r="147" spans="1:22" x14ac:dyDescent="0.25">
      <c r="A147" s="4" t="s">
        <v>285</v>
      </c>
      <c r="B147" s="5">
        <v>45376</v>
      </c>
      <c r="C147" s="4">
        <f>YEAR(Table1_1[[#This Row],[Order Dates]])</f>
        <v>2024</v>
      </c>
      <c r="D147" s="6">
        <f>MONTH(Table1_1[[#This Row],[Order Dates]])</f>
        <v>3</v>
      </c>
      <c r="E147" s="4" t="s">
        <v>16</v>
      </c>
      <c r="F147" s="4" t="s">
        <v>191</v>
      </c>
      <c r="G147" s="4" t="s">
        <v>18</v>
      </c>
      <c r="H147" s="4" t="str">
        <f>TRIM(CLEAN(SUBSTITUTE(Table1_1[[#This Row],[Salesperson]],"   "," ")))</f>
        <v>Imran Sheikh</v>
      </c>
      <c r="I147" s="4" t="s">
        <v>45</v>
      </c>
      <c r="J147" s="4" t="s">
        <v>20</v>
      </c>
      <c r="K147" s="4" t="s">
        <v>21</v>
      </c>
      <c r="L147" s="4" t="s">
        <v>1667</v>
      </c>
      <c r="M147" s="4" t="s">
        <v>23</v>
      </c>
      <c r="N147" s="4" t="s">
        <v>94</v>
      </c>
      <c r="O147" s="4">
        <v>69</v>
      </c>
      <c r="P147" s="7">
        <v>1770</v>
      </c>
      <c r="Q147" s="8">
        <v>0.05</v>
      </c>
      <c r="R147" s="7">
        <v>1370</v>
      </c>
      <c r="S147" s="7">
        <f>Table1_1[[#This Row],[Units Sold]]*Table1_1[[#This Row],[Unit Price]]*(1-Table1_1[[#This Row],[Discount %]])</f>
        <v>116023.5</v>
      </c>
      <c r="T147" s="7">
        <f>Table1_1[[#This Row],[Units Sold]]*Table1_1[[#This Row],[Unit Cost]]</f>
        <v>94530</v>
      </c>
      <c r="U147" s="7">
        <f>Table1_1[[#This Row],[Calculated sales]]-Table1_1[[#This Row],[Total cost]]</f>
        <v>21493.5</v>
      </c>
      <c r="V147" s="4">
        <f>IFERROR(Table1_1[[#This Row],[Profit/Loss]]/Table1_1[[#This Row],[Calculated sales]],0)</f>
        <v>0.18525126375260184</v>
      </c>
    </row>
    <row r="148" spans="1:22" x14ac:dyDescent="0.25">
      <c r="A148" s="4" t="s">
        <v>286</v>
      </c>
      <c r="B148" s="5">
        <v>45377</v>
      </c>
      <c r="C148" s="4">
        <f>YEAR(Table1_1[[#This Row],[Order Dates]])</f>
        <v>2024</v>
      </c>
      <c r="D148" s="6">
        <f>MONTH(Table1_1[[#This Row],[Order Dates]])</f>
        <v>3</v>
      </c>
      <c r="E148" s="4" t="s">
        <v>56</v>
      </c>
      <c r="F148" s="4" t="s">
        <v>57</v>
      </c>
      <c r="G148" s="4" t="s">
        <v>91</v>
      </c>
      <c r="H148" s="4" t="str">
        <f>TRIM(CLEAN(SUBSTITUTE(Table1_1[[#This Row],[Salesperson]],"   "," ")))</f>
        <v>Anjali Menon</v>
      </c>
      <c r="I148" s="4" t="s">
        <v>92</v>
      </c>
      <c r="J148" s="4" t="s">
        <v>59</v>
      </c>
      <c r="K148" s="4" t="s">
        <v>69</v>
      </c>
      <c r="L148" s="4" t="s">
        <v>121</v>
      </c>
      <c r="M148" s="4" t="s">
        <v>49</v>
      </c>
      <c r="N148" s="4" t="s">
        <v>35</v>
      </c>
      <c r="O148" s="4">
        <v>8</v>
      </c>
      <c r="P148" s="7">
        <v>3680</v>
      </c>
      <c r="Q148" s="8">
        <v>0.1</v>
      </c>
      <c r="R148" s="7">
        <v>2150</v>
      </c>
      <c r="S148" s="7">
        <f>Table1_1[[#This Row],[Units Sold]]*Table1_1[[#This Row],[Unit Price]]*(1-Table1_1[[#This Row],[Discount %]])</f>
        <v>26496</v>
      </c>
      <c r="T148" s="7">
        <f>Table1_1[[#This Row],[Units Sold]]*Table1_1[[#This Row],[Unit Cost]]</f>
        <v>17200</v>
      </c>
      <c r="U148" s="7">
        <f>Table1_1[[#This Row],[Calculated sales]]-Table1_1[[#This Row],[Total cost]]</f>
        <v>9296</v>
      </c>
      <c r="V148" s="4">
        <f>IFERROR(Table1_1[[#This Row],[Profit/Loss]]/Table1_1[[#This Row],[Calculated sales]],0)</f>
        <v>0.35084541062801933</v>
      </c>
    </row>
    <row r="149" spans="1:22" x14ac:dyDescent="0.25">
      <c r="A149" s="4" t="s">
        <v>287</v>
      </c>
      <c r="B149" s="5">
        <v>45377</v>
      </c>
      <c r="C149" s="4">
        <f>YEAR(Table1_1[[#This Row],[Order Dates]])</f>
        <v>2024</v>
      </c>
      <c r="D149" s="6">
        <f>MONTH(Table1_1[[#This Row],[Order Dates]])</f>
        <v>3</v>
      </c>
      <c r="E149" s="4" t="s">
        <v>16</v>
      </c>
      <c r="F149" s="4" t="s">
        <v>153</v>
      </c>
      <c r="G149" s="4" t="s">
        <v>18</v>
      </c>
      <c r="H149" s="4" t="str">
        <f>TRIM(CLEAN(SUBSTITUTE(Table1_1[[#This Row],[Salesperson]],"   "," ")))</f>
        <v>Imran Sheikh</v>
      </c>
      <c r="I149" s="4" t="s">
        <v>19</v>
      </c>
      <c r="J149" s="4" t="s">
        <v>46</v>
      </c>
      <c r="K149" s="4" t="s">
        <v>100</v>
      </c>
      <c r="L149" s="4" t="s">
        <v>101</v>
      </c>
      <c r="M149" s="4" t="s">
        <v>40</v>
      </c>
      <c r="N149" s="4" t="s">
        <v>24</v>
      </c>
      <c r="O149" s="4">
        <v>12</v>
      </c>
      <c r="P149" s="7">
        <v>1970</v>
      </c>
      <c r="Q149" s="8">
        <v>0</v>
      </c>
      <c r="R149" s="7">
        <v>1230</v>
      </c>
      <c r="S149" s="7">
        <f>Table1_1[[#This Row],[Units Sold]]*Table1_1[[#This Row],[Unit Price]]*(1-Table1_1[[#This Row],[Discount %]])</f>
        <v>23640</v>
      </c>
      <c r="T149" s="7">
        <f>Table1_1[[#This Row],[Units Sold]]*Table1_1[[#This Row],[Unit Cost]]</f>
        <v>14760</v>
      </c>
      <c r="U149" s="7">
        <f>Table1_1[[#This Row],[Calculated sales]]-Table1_1[[#This Row],[Total cost]]</f>
        <v>8880</v>
      </c>
      <c r="V149" s="4">
        <f>IFERROR(Table1_1[[#This Row],[Profit/Loss]]/Table1_1[[#This Row],[Calculated sales]],0)</f>
        <v>0.37563451776649748</v>
      </c>
    </row>
    <row r="150" spans="1:22" x14ac:dyDescent="0.25">
      <c r="A150" s="4" t="s">
        <v>288</v>
      </c>
      <c r="B150" s="5">
        <v>45377</v>
      </c>
      <c r="C150" s="4">
        <f>YEAR(Table1_1[[#This Row],[Order Dates]])</f>
        <v>2024</v>
      </c>
      <c r="D150" s="6">
        <f>MONTH(Table1_1[[#This Row],[Order Dates]])</f>
        <v>3</v>
      </c>
      <c r="E150" s="4" t="s">
        <v>42</v>
      </c>
      <c r="F150" s="4" t="s">
        <v>130</v>
      </c>
      <c r="G150" s="4" t="s">
        <v>97</v>
      </c>
      <c r="H150" s="4" t="str">
        <f>TRIM(CLEAN(SUBSTITUTE(Table1_1[[#This Row],[Salesperson]],"   "," ")))</f>
        <v>Rohit Malhotra</v>
      </c>
      <c r="I150" s="4" t="s">
        <v>19</v>
      </c>
      <c r="J150" s="4" t="s">
        <v>83</v>
      </c>
      <c r="K150" s="4" t="s">
        <v>184</v>
      </c>
      <c r="L150" s="4" t="s">
        <v>1679</v>
      </c>
      <c r="M150" s="4" t="s">
        <v>23</v>
      </c>
      <c r="N150" s="4" t="s">
        <v>24</v>
      </c>
      <c r="O150" s="4">
        <v>5</v>
      </c>
      <c r="P150" s="7">
        <v>4490</v>
      </c>
      <c r="Q150" s="8">
        <v>0</v>
      </c>
      <c r="R150" s="7">
        <v>3260</v>
      </c>
      <c r="S150" s="7">
        <f>Table1_1[[#This Row],[Units Sold]]*Table1_1[[#This Row],[Unit Price]]*(1-Table1_1[[#This Row],[Discount %]])</f>
        <v>22450</v>
      </c>
      <c r="T150" s="7">
        <f>Table1_1[[#This Row],[Units Sold]]*Table1_1[[#This Row],[Unit Cost]]</f>
        <v>16300</v>
      </c>
      <c r="U150" s="7">
        <f>Table1_1[[#This Row],[Calculated sales]]-Table1_1[[#This Row],[Total cost]]</f>
        <v>6150</v>
      </c>
      <c r="V150" s="4">
        <f>IFERROR(Table1_1[[#This Row],[Profit/Loss]]/Table1_1[[#This Row],[Calculated sales]],0)</f>
        <v>0.27394209354120269</v>
      </c>
    </row>
    <row r="151" spans="1:22" x14ac:dyDescent="0.25">
      <c r="A151" s="4" t="s">
        <v>289</v>
      </c>
      <c r="B151" s="5">
        <v>45378</v>
      </c>
      <c r="C151" s="4">
        <f>YEAR(Table1_1[[#This Row],[Order Dates]])</f>
        <v>2024</v>
      </c>
      <c r="D151" s="6">
        <f>MONTH(Table1_1[[#This Row],[Order Dates]])</f>
        <v>3</v>
      </c>
      <c r="E151" s="4" t="s">
        <v>16</v>
      </c>
      <c r="F151" s="4" t="s">
        <v>191</v>
      </c>
      <c r="G151" s="4" t="s">
        <v>18</v>
      </c>
      <c r="H151" s="4" t="str">
        <f>TRIM(CLEAN(SUBSTITUTE(Table1_1[[#This Row],[Salesperson]],"   "," ")))</f>
        <v>Imran Sheikh</v>
      </c>
      <c r="I151" s="4" t="s">
        <v>45</v>
      </c>
      <c r="J151" s="4" t="s">
        <v>59</v>
      </c>
      <c r="K151" s="4" t="s">
        <v>60</v>
      </c>
      <c r="L151" s="4" t="s">
        <v>61</v>
      </c>
      <c r="M151" s="4" t="s">
        <v>40</v>
      </c>
      <c r="N151" s="4" t="s">
        <v>24</v>
      </c>
      <c r="O151" s="4">
        <v>8</v>
      </c>
      <c r="P151" s="7">
        <v>23000</v>
      </c>
      <c r="Q151" s="8">
        <v>0.2</v>
      </c>
      <c r="R151" s="7">
        <v>14550</v>
      </c>
      <c r="S151" s="7">
        <f>Table1_1[[#This Row],[Units Sold]]*Table1_1[[#This Row],[Unit Price]]*(1-Table1_1[[#This Row],[Discount %]])</f>
        <v>147200</v>
      </c>
      <c r="T151" s="7">
        <f>Table1_1[[#This Row],[Units Sold]]*Table1_1[[#This Row],[Unit Cost]]</f>
        <v>116400</v>
      </c>
      <c r="U151" s="7">
        <f>Table1_1[[#This Row],[Calculated sales]]-Table1_1[[#This Row],[Total cost]]</f>
        <v>30800</v>
      </c>
      <c r="V151" s="4">
        <f>IFERROR(Table1_1[[#This Row],[Profit/Loss]]/Table1_1[[#This Row],[Calculated sales]],0)</f>
        <v>0.20923913043478262</v>
      </c>
    </row>
    <row r="152" spans="1:22" x14ac:dyDescent="0.25">
      <c r="A152" s="4" t="s">
        <v>290</v>
      </c>
      <c r="B152" s="5">
        <v>45378</v>
      </c>
      <c r="C152" s="4">
        <f>YEAR(Table1_1[[#This Row],[Order Dates]])</f>
        <v>2024</v>
      </c>
      <c r="D152" s="6">
        <f>MONTH(Table1_1[[#This Row],[Order Dates]])</f>
        <v>3</v>
      </c>
      <c r="E152" s="4" t="s">
        <v>16</v>
      </c>
      <c r="F152" s="4" t="s">
        <v>191</v>
      </c>
      <c r="G152" s="4" t="s">
        <v>18</v>
      </c>
      <c r="H152" s="4" t="str">
        <f>TRIM(CLEAN(SUBSTITUTE(Table1_1[[#This Row],[Salesperson]],"   "," ")))</f>
        <v>Imran Sheikh</v>
      </c>
      <c r="I152" s="4" t="s">
        <v>19</v>
      </c>
      <c r="J152" s="4" t="s">
        <v>20</v>
      </c>
      <c r="K152" s="4" t="s">
        <v>109</v>
      </c>
      <c r="L152" s="4" t="s">
        <v>159</v>
      </c>
      <c r="M152" s="4" t="s">
        <v>49</v>
      </c>
      <c r="N152" s="4" t="s">
        <v>24</v>
      </c>
      <c r="O152" s="4">
        <v>8</v>
      </c>
      <c r="P152" s="7">
        <v>18660</v>
      </c>
      <c r="Q152" s="8">
        <v>0.12</v>
      </c>
      <c r="R152" s="7">
        <v>11670</v>
      </c>
      <c r="S152" s="7">
        <f>Table1_1[[#This Row],[Units Sold]]*Table1_1[[#This Row],[Unit Price]]*(1-Table1_1[[#This Row],[Discount %]])</f>
        <v>131366.39999999999</v>
      </c>
      <c r="T152" s="7">
        <f>Table1_1[[#This Row],[Units Sold]]*Table1_1[[#This Row],[Unit Cost]]</f>
        <v>93360</v>
      </c>
      <c r="U152" s="7">
        <f>Table1_1[[#This Row],[Calculated sales]]-Table1_1[[#This Row],[Total cost]]</f>
        <v>38006.399999999994</v>
      </c>
      <c r="V152" s="4">
        <f>IFERROR(Table1_1[[#This Row],[Profit/Loss]]/Table1_1[[#This Row],[Calculated sales]],0)</f>
        <v>0.28931598947676113</v>
      </c>
    </row>
    <row r="153" spans="1:22" x14ac:dyDescent="0.25">
      <c r="A153" s="4" t="s">
        <v>291</v>
      </c>
      <c r="B153" s="5">
        <v>45379</v>
      </c>
      <c r="C153" s="4">
        <f>YEAR(Table1_1[[#This Row],[Order Dates]])</f>
        <v>2024</v>
      </c>
      <c r="D153" s="6">
        <f>MONTH(Table1_1[[#This Row],[Order Dates]])</f>
        <v>3</v>
      </c>
      <c r="E153" s="4" t="s">
        <v>16</v>
      </c>
      <c r="F153" s="4" t="s">
        <v>153</v>
      </c>
      <c r="G153" s="4" t="s">
        <v>26</v>
      </c>
      <c r="H153" s="4" t="str">
        <f>TRIM(CLEAN(SUBSTITUTE(Table1_1[[#This Row],[Salesperson]],"   "," ")))</f>
        <v>Prateek Shah</v>
      </c>
      <c r="I153" s="4" t="s">
        <v>52</v>
      </c>
      <c r="J153" s="4" t="s">
        <v>83</v>
      </c>
      <c r="K153" s="4" t="s">
        <v>84</v>
      </c>
      <c r="L153" s="4" t="s">
        <v>292</v>
      </c>
      <c r="M153" s="4" t="s">
        <v>23</v>
      </c>
      <c r="N153" s="4" t="s">
        <v>24</v>
      </c>
      <c r="O153" s="4">
        <v>1</v>
      </c>
      <c r="P153" s="7">
        <v>44570</v>
      </c>
      <c r="Q153" s="8">
        <v>0</v>
      </c>
      <c r="R153" s="7">
        <v>25820</v>
      </c>
      <c r="S153" s="7">
        <f>Table1_1[[#This Row],[Units Sold]]*Table1_1[[#This Row],[Unit Price]]*(1-Table1_1[[#This Row],[Discount %]])</f>
        <v>44570</v>
      </c>
      <c r="T153" s="7">
        <f>Table1_1[[#This Row],[Units Sold]]*Table1_1[[#This Row],[Unit Cost]]</f>
        <v>25820</v>
      </c>
      <c r="U153" s="7">
        <f>Table1_1[[#This Row],[Calculated sales]]-Table1_1[[#This Row],[Total cost]]</f>
        <v>18750</v>
      </c>
      <c r="V153" s="4">
        <f>IFERROR(Table1_1[[#This Row],[Profit/Loss]]/Table1_1[[#This Row],[Calculated sales]],0)</f>
        <v>0.42068656046668162</v>
      </c>
    </row>
    <row r="154" spans="1:22" x14ac:dyDescent="0.25">
      <c r="A154" s="4" t="s">
        <v>293</v>
      </c>
      <c r="B154" s="5">
        <v>45380</v>
      </c>
      <c r="C154" s="4">
        <f>YEAR(Table1_1[[#This Row],[Order Dates]])</f>
        <v>2024</v>
      </c>
      <c r="D154" s="6">
        <f>MONTH(Table1_1[[#This Row],[Order Dates]])</f>
        <v>3</v>
      </c>
      <c r="E154" s="4" t="s">
        <v>42</v>
      </c>
      <c r="F154" s="4" t="s">
        <v>265</v>
      </c>
      <c r="G154" s="4" t="s">
        <v>64</v>
      </c>
      <c r="H154" s="4" t="str">
        <f>TRIM(CLEAN(SUBSTITUTE(Table1_1[[#This Row],[Salesperson]],"   "," ")))</f>
        <v>Aditya Verma</v>
      </c>
      <c r="I154" s="4" t="s">
        <v>92</v>
      </c>
      <c r="J154" s="4" t="s">
        <v>20</v>
      </c>
      <c r="K154" s="4" t="s">
        <v>33</v>
      </c>
      <c r="L154" s="4" t="s">
        <v>1677</v>
      </c>
      <c r="M154" s="4" t="s">
        <v>40</v>
      </c>
      <c r="N154" s="4" t="s">
        <v>119</v>
      </c>
      <c r="O154" s="4">
        <v>6</v>
      </c>
      <c r="P154" s="7">
        <v>62900</v>
      </c>
      <c r="Q154" s="8">
        <v>0.1</v>
      </c>
      <c r="R154" s="7">
        <v>46700</v>
      </c>
      <c r="S154" s="7">
        <f>Table1_1[[#This Row],[Units Sold]]*Table1_1[[#This Row],[Unit Price]]*(1-Table1_1[[#This Row],[Discount %]])</f>
        <v>339660</v>
      </c>
      <c r="T154" s="7">
        <f>Table1_1[[#This Row],[Units Sold]]*Table1_1[[#This Row],[Unit Cost]]</f>
        <v>280200</v>
      </c>
      <c r="U154" s="7">
        <f>Table1_1[[#This Row],[Calculated sales]]-Table1_1[[#This Row],[Total cost]]</f>
        <v>59460</v>
      </c>
      <c r="V154" s="4">
        <f>IFERROR(Table1_1[[#This Row],[Profit/Loss]]/Table1_1[[#This Row],[Calculated sales]],0)</f>
        <v>0.175057410351528</v>
      </c>
    </row>
    <row r="155" spans="1:22" x14ac:dyDescent="0.25">
      <c r="A155" s="4" t="s">
        <v>294</v>
      </c>
      <c r="B155" s="5">
        <v>45380</v>
      </c>
      <c r="C155" s="4">
        <f>YEAR(Table1_1[[#This Row],[Order Dates]])</f>
        <v>2024</v>
      </c>
      <c r="D155" s="6">
        <f>MONTH(Table1_1[[#This Row],[Order Dates]])</f>
        <v>3</v>
      </c>
      <c r="E155" s="4" t="s">
        <v>42</v>
      </c>
      <c r="F155" s="4" t="s">
        <v>43</v>
      </c>
      <c r="G155" s="4" t="s">
        <v>97</v>
      </c>
      <c r="H155" s="4" t="str">
        <f>TRIM(CLEAN(SUBSTITUTE(Table1_1[[#This Row],[Salesperson]],"   "," ")))</f>
        <v>Rohit Malhotra</v>
      </c>
      <c r="I155" s="4" t="s">
        <v>92</v>
      </c>
      <c r="J155" s="4" t="s">
        <v>27</v>
      </c>
      <c r="K155" s="4" t="s">
        <v>28</v>
      </c>
      <c r="L155" s="4" t="s">
        <v>141</v>
      </c>
      <c r="M155" s="4" t="s">
        <v>23</v>
      </c>
      <c r="N155" s="4" t="s">
        <v>35</v>
      </c>
      <c r="O155" s="4">
        <v>5</v>
      </c>
      <c r="P155" s="7">
        <v>16690</v>
      </c>
      <c r="Q155" s="8">
        <v>0.12</v>
      </c>
      <c r="R155" s="7">
        <v>12740</v>
      </c>
      <c r="S155" s="7">
        <f>Table1_1[[#This Row],[Units Sold]]*Table1_1[[#This Row],[Unit Price]]*(1-Table1_1[[#This Row],[Discount %]])</f>
        <v>73436</v>
      </c>
      <c r="T155" s="7">
        <f>Table1_1[[#This Row],[Units Sold]]*Table1_1[[#This Row],[Unit Cost]]</f>
        <v>63700</v>
      </c>
      <c r="U155" s="7">
        <f>Table1_1[[#This Row],[Calculated sales]]-Table1_1[[#This Row],[Total cost]]</f>
        <v>9736</v>
      </c>
      <c r="V155" s="4">
        <f>IFERROR(Table1_1[[#This Row],[Profit/Loss]]/Table1_1[[#This Row],[Calculated sales]],0)</f>
        <v>0.13257802712566044</v>
      </c>
    </row>
    <row r="156" spans="1:22" x14ac:dyDescent="0.25">
      <c r="A156" s="4" t="s">
        <v>295</v>
      </c>
      <c r="B156" s="5">
        <v>45381</v>
      </c>
      <c r="C156" s="4">
        <f>YEAR(Table1_1[[#This Row],[Order Dates]])</f>
        <v>2024</v>
      </c>
      <c r="D156" s="6">
        <f>MONTH(Table1_1[[#This Row],[Order Dates]])</f>
        <v>3</v>
      </c>
      <c r="E156" s="4" t="s">
        <v>56</v>
      </c>
      <c r="F156" s="4" t="s">
        <v>143</v>
      </c>
      <c r="G156" s="4" t="s">
        <v>58</v>
      </c>
      <c r="H156" s="4" t="str">
        <f>TRIM(CLEAN(SUBSTITUTE(Table1_1[[#This Row],[Salesperson]],"   "," ")))</f>
        <v>Karthik Raman</v>
      </c>
      <c r="I156" s="4" t="s">
        <v>19</v>
      </c>
      <c r="J156" s="4" t="s">
        <v>20</v>
      </c>
      <c r="K156" s="4" t="s">
        <v>21</v>
      </c>
      <c r="L156" s="4" t="s">
        <v>1670</v>
      </c>
      <c r="M156" s="4" t="s">
        <v>23</v>
      </c>
      <c r="N156" s="4" t="s">
        <v>24</v>
      </c>
      <c r="O156" s="4">
        <v>4</v>
      </c>
      <c r="P156" s="7">
        <v>8910</v>
      </c>
      <c r="Q156" s="8">
        <v>0</v>
      </c>
      <c r="R156" s="7">
        <v>5630</v>
      </c>
      <c r="S156" s="7">
        <f>Table1_1[[#This Row],[Units Sold]]*Table1_1[[#This Row],[Unit Price]]*(1-Table1_1[[#This Row],[Discount %]])</f>
        <v>35640</v>
      </c>
      <c r="T156" s="7">
        <f>Table1_1[[#This Row],[Units Sold]]*Table1_1[[#This Row],[Unit Cost]]</f>
        <v>22520</v>
      </c>
      <c r="U156" s="7">
        <f>Table1_1[[#This Row],[Calculated sales]]-Table1_1[[#This Row],[Total cost]]</f>
        <v>13120</v>
      </c>
      <c r="V156" s="4">
        <f>IFERROR(Table1_1[[#This Row],[Profit/Loss]]/Table1_1[[#This Row],[Calculated sales]],0)</f>
        <v>0.36812570145903478</v>
      </c>
    </row>
    <row r="157" spans="1:22" x14ac:dyDescent="0.25">
      <c r="A157" s="4" t="s">
        <v>296</v>
      </c>
      <c r="B157" s="5">
        <v>45381</v>
      </c>
      <c r="C157" s="4">
        <f>YEAR(Table1_1[[#This Row],[Order Dates]])</f>
        <v>2024</v>
      </c>
      <c r="D157" s="6">
        <f>MONTH(Table1_1[[#This Row],[Order Dates]])</f>
        <v>3</v>
      </c>
      <c r="E157" s="4" t="s">
        <v>42</v>
      </c>
      <c r="F157" s="4" t="s">
        <v>96</v>
      </c>
      <c r="G157" s="4" t="s">
        <v>97</v>
      </c>
      <c r="H157" s="4" t="str">
        <f>TRIM(CLEAN(SUBSTITUTE(Table1_1[[#This Row],[Salesperson]],"   "," ")))</f>
        <v>Rohit Malhotra</v>
      </c>
      <c r="I157" s="4" t="s">
        <v>45</v>
      </c>
      <c r="J157" s="4" t="s">
        <v>20</v>
      </c>
      <c r="K157" s="4" t="s">
        <v>21</v>
      </c>
      <c r="L157" s="4" t="s">
        <v>1670</v>
      </c>
      <c r="M157" s="4" t="s">
        <v>23</v>
      </c>
      <c r="N157" s="4" t="s">
        <v>24</v>
      </c>
      <c r="O157" s="4">
        <v>20</v>
      </c>
      <c r="P157" s="7">
        <v>8260</v>
      </c>
      <c r="Q157" s="8">
        <v>0.1</v>
      </c>
      <c r="R157" s="7">
        <v>5830</v>
      </c>
      <c r="S157" s="7">
        <f>Table1_1[[#This Row],[Units Sold]]*Table1_1[[#This Row],[Unit Price]]*(1-Table1_1[[#This Row],[Discount %]])</f>
        <v>148680</v>
      </c>
      <c r="T157" s="7">
        <f>Table1_1[[#This Row],[Units Sold]]*Table1_1[[#This Row],[Unit Cost]]</f>
        <v>116600</v>
      </c>
      <c r="U157" s="7">
        <f>Table1_1[[#This Row],[Calculated sales]]-Table1_1[[#This Row],[Total cost]]</f>
        <v>32080</v>
      </c>
      <c r="V157" s="4">
        <f>IFERROR(Table1_1[[#This Row],[Profit/Loss]]/Table1_1[[#This Row],[Calculated sales]],0)</f>
        <v>0.21576540220608018</v>
      </c>
    </row>
    <row r="158" spans="1:22" x14ac:dyDescent="0.25">
      <c r="A158" s="4" t="s">
        <v>297</v>
      </c>
      <c r="B158" s="5">
        <v>45381</v>
      </c>
      <c r="C158" s="4">
        <f>YEAR(Table1_1[[#This Row],[Order Dates]])</f>
        <v>2024</v>
      </c>
      <c r="D158" s="6">
        <f>MONTH(Table1_1[[#This Row],[Order Dates]])</f>
        <v>3</v>
      </c>
      <c r="E158" s="4" t="s">
        <v>42</v>
      </c>
      <c r="F158" s="4" t="s">
        <v>43</v>
      </c>
      <c r="G158" s="4" t="s">
        <v>44</v>
      </c>
      <c r="H158" s="4" t="str">
        <f>TRIM(CLEAN(SUBSTITUTE(Table1_1[[#This Row],[Salesperson]],"   "," ")))</f>
        <v>Simran Kaur</v>
      </c>
      <c r="I158" s="4" t="s">
        <v>52</v>
      </c>
      <c r="J158" s="4" t="s">
        <v>59</v>
      </c>
      <c r="K158" s="4" t="s">
        <v>154</v>
      </c>
      <c r="L158" s="4" t="s">
        <v>249</v>
      </c>
      <c r="M158" s="4" t="s">
        <v>49</v>
      </c>
      <c r="N158" s="4" t="s">
        <v>24</v>
      </c>
      <c r="O158" s="4">
        <v>3</v>
      </c>
      <c r="P158" s="7">
        <v>6570</v>
      </c>
      <c r="Q158" s="8">
        <v>0.1</v>
      </c>
      <c r="R158" s="7">
        <v>3680</v>
      </c>
      <c r="S158" s="7">
        <f>Table1_1[[#This Row],[Units Sold]]*Table1_1[[#This Row],[Unit Price]]*(1-Table1_1[[#This Row],[Discount %]])</f>
        <v>17739</v>
      </c>
      <c r="T158" s="7">
        <f>Table1_1[[#This Row],[Units Sold]]*Table1_1[[#This Row],[Unit Cost]]</f>
        <v>11040</v>
      </c>
      <c r="U158" s="7">
        <f>Table1_1[[#This Row],[Calculated sales]]-Table1_1[[#This Row],[Total cost]]</f>
        <v>6699</v>
      </c>
      <c r="V158" s="4">
        <f>IFERROR(Table1_1[[#This Row],[Profit/Loss]]/Table1_1[[#This Row],[Calculated sales]],0)</f>
        <v>0.37764248266531369</v>
      </c>
    </row>
    <row r="159" spans="1:22" x14ac:dyDescent="0.25">
      <c r="A159" s="4" t="s">
        <v>298</v>
      </c>
      <c r="B159" s="5">
        <v>45381</v>
      </c>
      <c r="C159" s="4">
        <f>YEAR(Table1_1[[#This Row],[Order Dates]])</f>
        <v>2024</v>
      </c>
      <c r="D159" s="6">
        <f>MONTH(Table1_1[[#This Row],[Order Dates]])</f>
        <v>3</v>
      </c>
      <c r="E159" s="4" t="s">
        <v>42</v>
      </c>
      <c r="F159" s="4" t="s">
        <v>130</v>
      </c>
      <c r="G159" s="4" t="s">
        <v>97</v>
      </c>
      <c r="H159" s="4" t="str">
        <f>TRIM(CLEAN(SUBSTITUTE(Table1_1[[#This Row],[Salesperson]],"   "," ")))</f>
        <v>Rohit Malhotra</v>
      </c>
      <c r="I159" s="4" t="s">
        <v>92</v>
      </c>
      <c r="J159" s="4" t="s">
        <v>27</v>
      </c>
      <c r="K159" s="4" t="s">
        <v>214</v>
      </c>
      <c r="L159" s="4" t="s">
        <v>1681</v>
      </c>
      <c r="M159" s="4" t="s">
        <v>23</v>
      </c>
      <c r="N159" s="4" t="s">
        <v>24</v>
      </c>
      <c r="O159" s="4">
        <v>13</v>
      </c>
      <c r="P159" s="7">
        <v>13590</v>
      </c>
      <c r="Q159" s="8">
        <v>0.1</v>
      </c>
      <c r="R159" s="7">
        <v>8920</v>
      </c>
      <c r="S159" s="7">
        <f>Table1_1[[#This Row],[Units Sold]]*Table1_1[[#This Row],[Unit Price]]*(1-Table1_1[[#This Row],[Discount %]])</f>
        <v>159003</v>
      </c>
      <c r="T159" s="7">
        <f>Table1_1[[#This Row],[Units Sold]]*Table1_1[[#This Row],[Unit Cost]]</f>
        <v>115960</v>
      </c>
      <c r="U159" s="7">
        <f>Table1_1[[#This Row],[Calculated sales]]-Table1_1[[#This Row],[Total cost]]</f>
        <v>43043</v>
      </c>
      <c r="V159" s="4">
        <f>IFERROR(Table1_1[[#This Row],[Profit/Loss]]/Table1_1[[#This Row],[Calculated sales]],0)</f>
        <v>0.27070558417136786</v>
      </c>
    </row>
    <row r="160" spans="1:22" x14ac:dyDescent="0.25">
      <c r="A160" s="4" t="s">
        <v>299</v>
      </c>
      <c r="B160" s="5">
        <v>45381</v>
      </c>
      <c r="C160" s="4">
        <f>YEAR(Table1_1[[#This Row],[Order Dates]])</f>
        <v>2024</v>
      </c>
      <c r="D160" s="6">
        <f>MONTH(Table1_1[[#This Row],[Order Dates]])</f>
        <v>3</v>
      </c>
      <c r="E160" s="4" t="s">
        <v>16</v>
      </c>
      <c r="F160" s="4" t="s">
        <v>153</v>
      </c>
      <c r="G160" s="4" t="s">
        <v>32</v>
      </c>
      <c r="H160" s="4" t="str">
        <f>TRIM(CLEAN(SUBSTITUTE(Table1_1[[#This Row],[Salesperson]],"   "," ")))</f>
        <v>Neha Deshpande</v>
      </c>
      <c r="I160" s="4" t="s">
        <v>19</v>
      </c>
      <c r="J160" s="4" t="s">
        <v>46</v>
      </c>
      <c r="K160" s="4" t="s">
        <v>179</v>
      </c>
      <c r="L160" s="4" t="s">
        <v>221</v>
      </c>
      <c r="M160" s="4" t="s">
        <v>23</v>
      </c>
      <c r="N160" s="4" t="s">
        <v>24</v>
      </c>
      <c r="O160" s="4">
        <v>25</v>
      </c>
      <c r="P160" s="7">
        <v>1650</v>
      </c>
      <c r="Q160" s="8">
        <v>0.2</v>
      </c>
      <c r="R160" s="7">
        <v>960</v>
      </c>
      <c r="S160" s="7">
        <f>Table1_1[[#This Row],[Units Sold]]*Table1_1[[#This Row],[Unit Price]]*(1-Table1_1[[#This Row],[Discount %]])</f>
        <v>33000</v>
      </c>
      <c r="T160" s="7">
        <f>Table1_1[[#This Row],[Units Sold]]*Table1_1[[#This Row],[Unit Cost]]</f>
        <v>24000</v>
      </c>
      <c r="U160" s="7">
        <f>Table1_1[[#This Row],[Calculated sales]]-Table1_1[[#This Row],[Total cost]]</f>
        <v>9000</v>
      </c>
      <c r="V160" s="4">
        <f>IFERROR(Table1_1[[#This Row],[Profit/Loss]]/Table1_1[[#This Row],[Calculated sales]],0)</f>
        <v>0.27272727272727271</v>
      </c>
    </row>
    <row r="161" spans="1:22" x14ac:dyDescent="0.25">
      <c r="A161" s="4" t="s">
        <v>300</v>
      </c>
      <c r="B161" s="5">
        <v>45382</v>
      </c>
      <c r="C161" s="4">
        <f>YEAR(Table1_1[[#This Row],[Order Dates]])</f>
        <v>2024</v>
      </c>
      <c r="D161" s="6">
        <f>MONTH(Table1_1[[#This Row],[Order Dates]])</f>
        <v>3</v>
      </c>
      <c r="E161" s="4" t="s">
        <v>42</v>
      </c>
      <c r="F161" s="4" t="s">
        <v>265</v>
      </c>
      <c r="G161" s="4" t="s">
        <v>44</v>
      </c>
      <c r="H161" s="4" t="str">
        <f>TRIM(CLEAN(SUBSTITUTE(Table1_1[[#This Row],[Salesperson]],"   "," ")))</f>
        <v>Simran Kaur</v>
      </c>
      <c r="I161" s="4" t="s">
        <v>19</v>
      </c>
      <c r="J161" s="4" t="s">
        <v>59</v>
      </c>
      <c r="K161" s="4" t="s">
        <v>73</v>
      </c>
      <c r="L161" s="4" t="s">
        <v>74</v>
      </c>
      <c r="M161" s="4" t="s">
        <v>23</v>
      </c>
      <c r="N161" s="4" t="s">
        <v>24</v>
      </c>
      <c r="O161" s="4">
        <v>3</v>
      </c>
      <c r="P161" s="7">
        <v>44800</v>
      </c>
      <c r="Q161" s="8">
        <v>0.2</v>
      </c>
      <c r="R161" s="7">
        <v>31700</v>
      </c>
      <c r="S161" s="7">
        <f>Table1_1[[#This Row],[Units Sold]]*Table1_1[[#This Row],[Unit Price]]*(1-Table1_1[[#This Row],[Discount %]])</f>
        <v>107520</v>
      </c>
      <c r="T161" s="7">
        <f>Table1_1[[#This Row],[Units Sold]]*Table1_1[[#This Row],[Unit Cost]]</f>
        <v>95100</v>
      </c>
      <c r="U161" s="7">
        <f>Table1_1[[#This Row],[Calculated sales]]-Table1_1[[#This Row],[Total cost]]</f>
        <v>12420</v>
      </c>
      <c r="V161" s="4">
        <f>IFERROR(Table1_1[[#This Row],[Profit/Loss]]/Table1_1[[#This Row],[Calculated sales]],0)</f>
        <v>0.11551339285714286</v>
      </c>
    </row>
    <row r="162" spans="1:22" x14ac:dyDescent="0.25">
      <c r="A162" s="4" t="s">
        <v>301</v>
      </c>
      <c r="B162" s="5">
        <v>45383</v>
      </c>
      <c r="C162" s="4">
        <f>YEAR(Table1_1[[#This Row],[Order Dates]])</f>
        <v>2024</v>
      </c>
      <c r="D162" s="6">
        <f>MONTH(Table1_1[[#This Row],[Order Dates]])</f>
        <v>4</v>
      </c>
      <c r="E162" s="4" t="s">
        <v>56</v>
      </c>
      <c r="F162" s="4" t="s">
        <v>103</v>
      </c>
      <c r="G162" s="4" t="s">
        <v>58</v>
      </c>
      <c r="H162" s="4" t="str">
        <f>TRIM(CLEAN(SUBSTITUTE(Table1_1[[#This Row],[Salesperson]],"   "," ")))</f>
        <v>Karthik Raman</v>
      </c>
      <c r="I162" s="4" t="s">
        <v>45</v>
      </c>
      <c r="J162" s="4" t="s">
        <v>20</v>
      </c>
      <c r="K162" s="4" t="s">
        <v>21</v>
      </c>
      <c r="L162" s="4" t="s">
        <v>1667</v>
      </c>
      <c r="M162" s="4" t="s">
        <v>40</v>
      </c>
      <c r="N162" s="4" t="s">
        <v>24</v>
      </c>
      <c r="O162" s="4">
        <v>43</v>
      </c>
      <c r="P162" s="7">
        <v>1870</v>
      </c>
      <c r="Q162" s="8">
        <v>0.15</v>
      </c>
      <c r="R162" s="7">
        <v>1180</v>
      </c>
      <c r="S162" s="7">
        <f>Table1_1[[#This Row],[Units Sold]]*Table1_1[[#This Row],[Unit Price]]*(1-Table1_1[[#This Row],[Discount %]])</f>
        <v>68348.5</v>
      </c>
      <c r="T162" s="7">
        <f>Table1_1[[#This Row],[Units Sold]]*Table1_1[[#This Row],[Unit Cost]]</f>
        <v>50740</v>
      </c>
      <c r="U162" s="7">
        <f>Table1_1[[#This Row],[Calculated sales]]-Table1_1[[#This Row],[Total cost]]</f>
        <v>17608.5</v>
      </c>
      <c r="V162" s="4">
        <f>IFERROR(Table1_1[[#This Row],[Profit/Loss]]/Table1_1[[#This Row],[Calculated sales]],0)</f>
        <v>0.25762818496382511</v>
      </c>
    </row>
    <row r="163" spans="1:22" x14ac:dyDescent="0.25">
      <c r="A163" s="4" t="s">
        <v>302</v>
      </c>
      <c r="B163" s="5">
        <v>45384</v>
      </c>
      <c r="C163" s="4">
        <f>YEAR(Table1_1[[#This Row],[Order Dates]])</f>
        <v>2024</v>
      </c>
      <c r="D163" s="6">
        <f>MONTH(Table1_1[[#This Row],[Order Dates]])</f>
        <v>4</v>
      </c>
      <c r="E163" s="4" t="s">
        <v>56</v>
      </c>
      <c r="F163" s="4" t="s">
        <v>72</v>
      </c>
      <c r="G163" s="4" t="s">
        <v>91</v>
      </c>
      <c r="H163" s="4" t="str">
        <f>TRIM(CLEAN(SUBSTITUTE(Table1_1[[#This Row],[Salesperson]],"   "," ")))</f>
        <v>Anjali Menon</v>
      </c>
      <c r="I163" s="4" t="s">
        <v>19</v>
      </c>
      <c r="J163" s="4" t="s">
        <v>46</v>
      </c>
      <c r="K163" s="4" t="s">
        <v>100</v>
      </c>
      <c r="L163" s="4" t="s">
        <v>177</v>
      </c>
      <c r="M163" s="4" t="s">
        <v>40</v>
      </c>
      <c r="N163" s="4" t="s">
        <v>24</v>
      </c>
      <c r="O163" s="4">
        <v>20</v>
      </c>
      <c r="P163" s="7">
        <v>2640</v>
      </c>
      <c r="Q163" s="8">
        <v>0</v>
      </c>
      <c r="R163" s="7">
        <v>1530</v>
      </c>
      <c r="S163" s="7">
        <f>Table1_1[[#This Row],[Units Sold]]*Table1_1[[#This Row],[Unit Price]]*(1-Table1_1[[#This Row],[Discount %]])</f>
        <v>52800</v>
      </c>
      <c r="T163" s="7">
        <f>Table1_1[[#This Row],[Units Sold]]*Table1_1[[#This Row],[Unit Cost]]</f>
        <v>30600</v>
      </c>
      <c r="U163" s="7">
        <f>Table1_1[[#This Row],[Calculated sales]]-Table1_1[[#This Row],[Total cost]]</f>
        <v>22200</v>
      </c>
      <c r="V163" s="4">
        <f>IFERROR(Table1_1[[#This Row],[Profit/Loss]]/Table1_1[[#This Row],[Calculated sales]],0)</f>
        <v>0.42045454545454547</v>
      </c>
    </row>
    <row r="164" spans="1:22" x14ac:dyDescent="0.25">
      <c r="A164" s="4" t="s">
        <v>303</v>
      </c>
      <c r="B164" s="5">
        <v>45385</v>
      </c>
      <c r="C164" s="4">
        <f>YEAR(Table1_1[[#This Row],[Order Dates]])</f>
        <v>2024</v>
      </c>
      <c r="D164" s="6">
        <f>MONTH(Table1_1[[#This Row],[Order Dates]])</f>
        <v>4</v>
      </c>
      <c r="E164" s="4" t="s">
        <v>56</v>
      </c>
      <c r="F164" s="4" t="s">
        <v>103</v>
      </c>
      <c r="G164" s="4" t="s">
        <v>91</v>
      </c>
      <c r="H164" s="4" t="str">
        <f>TRIM(CLEAN(SUBSTITUTE(Table1_1[[#This Row],[Salesperson]],"   "," ")))</f>
        <v>Anjali Menon</v>
      </c>
      <c r="I164" s="4" t="s">
        <v>52</v>
      </c>
      <c r="J164" s="4" t="s">
        <v>27</v>
      </c>
      <c r="K164" s="4" t="s">
        <v>53</v>
      </c>
      <c r="L164" s="4" t="s">
        <v>1669</v>
      </c>
      <c r="M164" s="4" t="s">
        <v>49</v>
      </c>
      <c r="N164" s="4" t="s">
        <v>119</v>
      </c>
      <c r="O164" s="4">
        <v>1</v>
      </c>
      <c r="P164" s="7">
        <v>42490</v>
      </c>
      <c r="Q164" s="8">
        <v>0.1</v>
      </c>
      <c r="R164" s="7">
        <v>27490</v>
      </c>
      <c r="S164" s="7">
        <f>Table1_1[[#This Row],[Units Sold]]*Table1_1[[#This Row],[Unit Price]]*(1-Table1_1[[#This Row],[Discount %]])</f>
        <v>38241</v>
      </c>
      <c r="T164" s="7">
        <f>Table1_1[[#This Row],[Units Sold]]*Table1_1[[#This Row],[Unit Cost]]</f>
        <v>27490</v>
      </c>
      <c r="U164" s="7">
        <f>Table1_1[[#This Row],[Calculated sales]]-Table1_1[[#This Row],[Total cost]]</f>
        <v>10751</v>
      </c>
      <c r="V164" s="4">
        <f>IFERROR(Table1_1[[#This Row],[Profit/Loss]]/Table1_1[[#This Row],[Calculated sales]],0)</f>
        <v>0.28113804555320204</v>
      </c>
    </row>
    <row r="165" spans="1:22" x14ac:dyDescent="0.25">
      <c r="A165" s="4" t="s">
        <v>304</v>
      </c>
      <c r="B165" s="5">
        <v>45385</v>
      </c>
      <c r="C165" s="4">
        <f>YEAR(Table1_1[[#This Row],[Order Dates]])</f>
        <v>2024</v>
      </c>
      <c r="D165" s="6">
        <f>MONTH(Table1_1[[#This Row],[Order Dates]])</f>
        <v>4</v>
      </c>
      <c r="E165" s="4" t="s">
        <v>37</v>
      </c>
      <c r="F165" s="4" t="s">
        <v>67</v>
      </c>
      <c r="G165" s="4" t="s">
        <v>39</v>
      </c>
      <c r="H165" s="4" t="str">
        <f>TRIM(CLEAN(SUBSTITUTE(Table1_1[[#This Row],[Salesperson]],"   "," ")))</f>
        <v>Sourav Das</v>
      </c>
      <c r="I165" s="4" t="s">
        <v>92</v>
      </c>
      <c r="J165" s="4" t="s">
        <v>83</v>
      </c>
      <c r="K165" s="4" t="s">
        <v>136</v>
      </c>
      <c r="L165" s="4" t="s">
        <v>137</v>
      </c>
      <c r="M165" s="4" t="s">
        <v>49</v>
      </c>
      <c r="N165" s="4" t="s">
        <v>24</v>
      </c>
      <c r="O165" s="4">
        <v>14</v>
      </c>
      <c r="P165" s="7">
        <v>1680</v>
      </c>
      <c r="Q165" s="8">
        <v>0.2</v>
      </c>
      <c r="R165" s="7">
        <v>1130</v>
      </c>
      <c r="S165" s="7">
        <f>Table1_1[[#This Row],[Units Sold]]*Table1_1[[#This Row],[Unit Price]]*(1-Table1_1[[#This Row],[Discount %]])</f>
        <v>18816</v>
      </c>
      <c r="T165" s="7">
        <f>Table1_1[[#This Row],[Units Sold]]*Table1_1[[#This Row],[Unit Cost]]</f>
        <v>15820</v>
      </c>
      <c r="U165" s="7">
        <f>Table1_1[[#This Row],[Calculated sales]]-Table1_1[[#This Row],[Total cost]]</f>
        <v>2996</v>
      </c>
      <c r="V165" s="4">
        <f>IFERROR(Table1_1[[#This Row],[Profit/Loss]]/Table1_1[[#This Row],[Calculated sales]],0)</f>
        <v>0.15922619047619047</v>
      </c>
    </row>
    <row r="166" spans="1:22" x14ac:dyDescent="0.25">
      <c r="A166" s="4" t="s">
        <v>305</v>
      </c>
      <c r="B166" s="5">
        <v>45385</v>
      </c>
      <c r="C166" s="4">
        <f>YEAR(Table1_1[[#This Row],[Order Dates]])</f>
        <v>2024</v>
      </c>
      <c r="D166" s="6">
        <f>MONTH(Table1_1[[#This Row],[Order Dates]])</f>
        <v>4</v>
      </c>
      <c r="E166" s="4" t="s">
        <v>56</v>
      </c>
      <c r="F166" s="4" t="s">
        <v>133</v>
      </c>
      <c r="G166" s="4" t="s">
        <v>58</v>
      </c>
      <c r="H166" s="4" t="str">
        <f>TRIM(CLEAN(SUBSTITUTE(Table1_1[[#This Row],[Salesperson]],"   "," ")))</f>
        <v>Karthik Raman</v>
      </c>
      <c r="I166" s="4" t="s">
        <v>19</v>
      </c>
      <c r="J166" s="4" t="s">
        <v>46</v>
      </c>
      <c r="K166" s="4" t="s">
        <v>47</v>
      </c>
      <c r="L166" s="4" t="s">
        <v>1673</v>
      </c>
      <c r="M166" s="4" t="s">
        <v>40</v>
      </c>
      <c r="N166" s="4" t="s">
        <v>24</v>
      </c>
      <c r="O166" s="4">
        <v>33</v>
      </c>
      <c r="P166" s="7">
        <v>1160</v>
      </c>
      <c r="Q166" s="8">
        <v>0</v>
      </c>
      <c r="R166" s="7">
        <v>820</v>
      </c>
      <c r="S166" s="7">
        <f>Table1_1[[#This Row],[Units Sold]]*Table1_1[[#This Row],[Unit Price]]*(1-Table1_1[[#This Row],[Discount %]])</f>
        <v>38280</v>
      </c>
      <c r="T166" s="7">
        <f>Table1_1[[#This Row],[Units Sold]]*Table1_1[[#This Row],[Unit Cost]]</f>
        <v>27060</v>
      </c>
      <c r="U166" s="7">
        <f>Table1_1[[#This Row],[Calculated sales]]-Table1_1[[#This Row],[Total cost]]</f>
        <v>11220</v>
      </c>
      <c r="V166" s="4">
        <f>IFERROR(Table1_1[[#This Row],[Profit/Loss]]/Table1_1[[#This Row],[Calculated sales]],0)</f>
        <v>0.29310344827586204</v>
      </c>
    </row>
    <row r="167" spans="1:22" x14ac:dyDescent="0.25">
      <c r="A167" s="4" t="s">
        <v>306</v>
      </c>
      <c r="B167" s="5">
        <v>45385</v>
      </c>
      <c r="C167" s="4">
        <f>YEAR(Table1_1[[#This Row],[Order Dates]])</f>
        <v>2024</v>
      </c>
      <c r="D167" s="6">
        <f>MONTH(Table1_1[[#This Row],[Order Dates]])</f>
        <v>4</v>
      </c>
      <c r="E167" s="4" t="s">
        <v>56</v>
      </c>
      <c r="F167" s="4" t="s">
        <v>133</v>
      </c>
      <c r="G167" s="4" t="s">
        <v>58</v>
      </c>
      <c r="H167" s="4" t="str">
        <f>TRIM(CLEAN(SUBSTITUTE(Table1_1[[#This Row],[Salesperson]],"   "," ")))</f>
        <v>Karthik Raman</v>
      </c>
      <c r="I167" s="4" t="s">
        <v>45</v>
      </c>
      <c r="J167" s="4" t="s">
        <v>83</v>
      </c>
      <c r="K167" s="4" t="s">
        <v>136</v>
      </c>
      <c r="L167" s="4" t="s">
        <v>307</v>
      </c>
      <c r="M167" s="4" t="s">
        <v>40</v>
      </c>
      <c r="N167" s="4" t="s">
        <v>35</v>
      </c>
      <c r="O167" s="4">
        <v>36</v>
      </c>
      <c r="P167" s="7">
        <v>930</v>
      </c>
      <c r="Q167" s="8">
        <v>0.05</v>
      </c>
      <c r="R167" s="7">
        <v>580</v>
      </c>
      <c r="S167" s="7">
        <f>Table1_1[[#This Row],[Units Sold]]*Table1_1[[#This Row],[Unit Price]]*(1-Table1_1[[#This Row],[Discount %]])</f>
        <v>31806</v>
      </c>
      <c r="T167" s="7">
        <f>Table1_1[[#This Row],[Units Sold]]*Table1_1[[#This Row],[Unit Cost]]</f>
        <v>20880</v>
      </c>
      <c r="U167" s="7">
        <f>Table1_1[[#This Row],[Calculated sales]]-Table1_1[[#This Row],[Total cost]]</f>
        <v>10926</v>
      </c>
      <c r="V167" s="4">
        <f>IFERROR(Table1_1[[#This Row],[Profit/Loss]]/Table1_1[[#This Row],[Calculated sales]],0)</f>
        <v>0.34352009054895305</v>
      </c>
    </row>
    <row r="168" spans="1:22" x14ac:dyDescent="0.25">
      <c r="A168" s="4" t="s">
        <v>308</v>
      </c>
      <c r="B168" s="5">
        <v>45385</v>
      </c>
      <c r="C168" s="4">
        <f>YEAR(Table1_1[[#This Row],[Order Dates]])</f>
        <v>2024</v>
      </c>
      <c r="D168" s="6">
        <f>MONTH(Table1_1[[#This Row],[Order Dates]])</f>
        <v>4</v>
      </c>
      <c r="E168" s="4" t="s">
        <v>16</v>
      </c>
      <c r="F168" s="4" t="s">
        <v>17</v>
      </c>
      <c r="G168" s="4" t="s">
        <v>32</v>
      </c>
      <c r="H168" s="4" t="str">
        <f>TRIM(CLEAN(SUBSTITUTE(Table1_1[[#This Row],[Salesperson]],"   "," ")))</f>
        <v>Neha Deshpande</v>
      </c>
      <c r="I168" s="4" t="s">
        <v>19</v>
      </c>
      <c r="J168" s="4" t="s">
        <v>83</v>
      </c>
      <c r="K168" s="4" t="s">
        <v>136</v>
      </c>
      <c r="L168" s="4" t="s">
        <v>307</v>
      </c>
      <c r="M168" s="4" t="s">
        <v>49</v>
      </c>
      <c r="N168" s="4" t="s">
        <v>94</v>
      </c>
      <c r="O168" s="4">
        <v>38</v>
      </c>
      <c r="P168" s="7">
        <v>860</v>
      </c>
      <c r="Q168" s="8">
        <v>0.1</v>
      </c>
      <c r="R168" s="7">
        <v>570</v>
      </c>
      <c r="S168" s="7">
        <f>Table1_1[[#This Row],[Units Sold]]*Table1_1[[#This Row],[Unit Price]]*(1-Table1_1[[#This Row],[Discount %]])</f>
        <v>29412</v>
      </c>
      <c r="T168" s="7">
        <f>Table1_1[[#This Row],[Units Sold]]*Table1_1[[#This Row],[Unit Cost]]</f>
        <v>21660</v>
      </c>
      <c r="U168" s="7">
        <f>Table1_1[[#This Row],[Calculated sales]]-Table1_1[[#This Row],[Total cost]]</f>
        <v>7752</v>
      </c>
      <c r="V168" s="4">
        <f>IFERROR(Table1_1[[#This Row],[Profit/Loss]]/Table1_1[[#This Row],[Calculated sales]],0)</f>
        <v>0.26356589147286824</v>
      </c>
    </row>
    <row r="169" spans="1:22" x14ac:dyDescent="0.25">
      <c r="A169" s="4" t="s">
        <v>309</v>
      </c>
      <c r="B169" s="5">
        <v>45386</v>
      </c>
      <c r="C169" s="4">
        <f>YEAR(Table1_1[[#This Row],[Order Dates]])</f>
        <v>2024</v>
      </c>
      <c r="D169" s="6">
        <f>MONTH(Table1_1[[#This Row],[Order Dates]])</f>
        <v>4</v>
      </c>
      <c r="E169" s="4" t="s">
        <v>42</v>
      </c>
      <c r="F169" s="4" t="s">
        <v>43</v>
      </c>
      <c r="G169" s="4" t="s">
        <v>64</v>
      </c>
      <c r="H169" s="4" t="str">
        <f>TRIM(CLEAN(SUBSTITUTE(Table1_1[[#This Row],[Salesperson]],"   "," ")))</f>
        <v>Aditya Verma</v>
      </c>
      <c r="I169" s="4" t="s">
        <v>19</v>
      </c>
      <c r="J169" s="4" t="s">
        <v>46</v>
      </c>
      <c r="K169" s="4" t="s">
        <v>100</v>
      </c>
      <c r="L169" s="4" t="s">
        <v>177</v>
      </c>
      <c r="M169" s="4" t="s">
        <v>40</v>
      </c>
      <c r="N169" s="4" t="s">
        <v>119</v>
      </c>
      <c r="O169" s="4">
        <v>39</v>
      </c>
      <c r="P169" s="7">
        <v>2600</v>
      </c>
      <c r="Q169" s="8">
        <v>0.18</v>
      </c>
      <c r="R169" s="7">
        <v>1550</v>
      </c>
      <c r="S169" s="7">
        <f>Table1_1[[#This Row],[Units Sold]]*Table1_1[[#This Row],[Unit Price]]*(1-Table1_1[[#This Row],[Discount %]])</f>
        <v>83148</v>
      </c>
      <c r="T169" s="7">
        <f>Table1_1[[#This Row],[Units Sold]]*Table1_1[[#This Row],[Unit Cost]]</f>
        <v>60450</v>
      </c>
      <c r="U169" s="7">
        <f>Table1_1[[#This Row],[Calculated sales]]-Table1_1[[#This Row],[Total cost]]</f>
        <v>22698</v>
      </c>
      <c r="V169" s="4">
        <f>IFERROR(Table1_1[[#This Row],[Profit/Loss]]/Table1_1[[#This Row],[Calculated sales]],0)</f>
        <v>0.27298311444652906</v>
      </c>
    </row>
    <row r="170" spans="1:22" x14ac:dyDescent="0.25">
      <c r="A170" s="4" t="s">
        <v>310</v>
      </c>
      <c r="B170" s="5">
        <v>45386</v>
      </c>
      <c r="C170" s="4">
        <f>YEAR(Table1_1[[#This Row],[Order Dates]])</f>
        <v>2024</v>
      </c>
      <c r="D170" s="6">
        <f>MONTH(Table1_1[[#This Row],[Order Dates]])</f>
        <v>4</v>
      </c>
      <c r="E170" s="4" t="s">
        <v>37</v>
      </c>
      <c r="F170" s="4" t="s">
        <v>213</v>
      </c>
      <c r="G170" s="4" t="s">
        <v>39</v>
      </c>
      <c r="H170" s="4" t="str">
        <f>TRIM(CLEAN(SUBSTITUTE(Table1_1[[#This Row],[Salesperson]],"   "," ")))</f>
        <v>Sourav Das</v>
      </c>
      <c r="I170" s="4" t="s">
        <v>92</v>
      </c>
      <c r="J170" s="4" t="s">
        <v>27</v>
      </c>
      <c r="K170" s="4" t="s">
        <v>53</v>
      </c>
      <c r="L170" s="4" t="s">
        <v>1676</v>
      </c>
      <c r="M170" s="4" t="s">
        <v>40</v>
      </c>
      <c r="N170" s="4" t="s">
        <v>24</v>
      </c>
      <c r="O170" s="4">
        <v>2</v>
      </c>
      <c r="P170" s="7">
        <v>35070</v>
      </c>
      <c r="Q170" s="8">
        <v>0.08</v>
      </c>
      <c r="R170" s="7">
        <v>22820</v>
      </c>
      <c r="S170" s="7">
        <f>Table1_1[[#This Row],[Units Sold]]*Table1_1[[#This Row],[Unit Price]]*(1-Table1_1[[#This Row],[Discount %]])</f>
        <v>64528.800000000003</v>
      </c>
      <c r="T170" s="7">
        <f>Table1_1[[#This Row],[Units Sold]]*Table1_1[[#This Row],[Unit Cost]]</f>
        <v>45640</v>
      </c>
      <c r="U170" s="7">
        <f>Table1_1[[#This Row],[Calculated sales]]-Table1_1[[#This Row],[Total cost]]</f>
        <v>18888.800000000003</v>
      </c>
      <c r="V170" s="4">
        <f>IFERROR(Table1_1[[#This Row],[Profit/Loss]]/Table1_1[[#This Row],[Calculated sales]],0)</f>
        <v>0.29271891000607486</v>
      </c>
    </row>
    <row r="171" spans="1:22" x14ac:dyDescent="0.25">
      <c r="A171" s="4" t="s">
        <v>311</v>
      </c>
      <c r="B171" s="5">
        <v>45387</v>
      </c>
      <c r="C171" s="4">
        <f>YEAR(Table1_1[[#This Row],[Order Dates]])</f>
        <v>2024</v>
      </c>
      <c r="D171" s="6">
        <f>MONTH(Table1_1[[#This Row],[Order Dates]])</f>
        <v>4</v>
      </c>
      <c r="E171" s="4" t="s">
        <v>56</v>
      </c>
      <c r="F171" s="4" t="s">
        <v>143</v>
      </c>
      <c r="G171" s="4" t="s">
        <v>58</v>
      </c>
      <c r="H171" s="4" t="str">
        <f>TRIM(CLEAN(SUBSTITUTE(Table1_1[[#This Row],[Salesperson]],"   "," ")))</f>
        <v>Karthik Raman</v>
      </c>
      <c r="I171" s="4" t="s">
        <v>92</v>
      </c>
      <c r="J171" s="4" t="s">
        <v>46</v>
      </c>
      <c r="K171" s="4" t="s">
        <v>179</v>
      </c>
      <c r="L171" s="4" t="s">
        <v>180</v>
      </c>
      <c r="M171" s="4" t="s">
        <v>49</v>
      </c>
      <c r="N171" s="4" t="s">
        <v>24</v>
      </c>
      <c r="O171" s="4">
        <v>17</v>
      </c>
      <c r="P171" s="7">
        <v>3680</v>
      </c>
      <c r="Q171" s="8">
        <v>0.18</v>
      </c>
      <c r="R171" s="7">
        <v>2530</v>
      </c>
      <c r="S171" s="7">
        <f>Table1_1[[#This Row],[Units Sold]]*Table1_1[[#This Row],[Unit Price]]*(1-Table1_1[[#This Row],[Discount %]])</f>
        <v>51299.200000000004</v>
      </c>
      <c r="T171" s="7">
        <f>Table1_1[[#This Row],[Units Sold]]*Table1_1[[#This Row],[Unit Cost]]</f>
        <v>43010</v>
      </c>
      <c r="U171" s="7">
        <f>Table1_1[[#This Row],[Calculated sales]]-Table1_1[[#This Row],[Total cost]]</f>
        <v>8289.2000000000044</v>
      </c>
      <c r="V171" s="4">
        <f>IFERROR(Table1_1[[#This Row],[Profit/Loss]]/Table1_1[[#This Row],[Calculated sales]],0)</f>
        <v>0.1615853658536586</v>
      </c>
    </row>
    <row r="172" spans="1:22" x14ac:dyDescent="0.25">
      <c r="A172" s="4" t="s">
        <v>312</v>
      </c>
      <c r="B172" s="5">
        <v>45388</v>
      </c>
      <c r="C172" s="4">
        <f>YEAR(Table1_1[[#This Row],[Order Dates]])</f>
        <v>2024</v>
      </c>
      <c r="D172" s="6">
        <f>MONTH(Table1_1[[#This Row],[Order Dates]])</f>
        <v>4</v>
      </c>
      <c r="E172" s="4" t="s">
        <v>56</v>
      </c>
      <c r="F172" s="4" t="s">
        <v>72</v>
      </c>
      <c r="G172" s="4" t="s">
        <v>91</v>
      </c>
      <c r="H172" s="4" t="str">
        <f>TRIM(CLEAN(SUBSTITUTE(Table1_1[[#This Row],[Salesperson]],"   "," ")))</f>
        <v>Anjali Menon</v>
      </c>
      <c r="I172" s="4" t="s">
        <v>19</v>
      </c>
      <c r="J172" s="4" t="s">
        <v>27</v>
      </c>
      <c r="K172" s="4" t="s">
        <v>214</v>
      </c>
      <c r="L172" s="4" t="s">
        <v>1680</v>
      </c>
      <c r="M172" s="4" t="s">
        <v>40</v>
      </c>
      <c r="N172" s="4" t="s">
        <v>35</v>
      </c>
      <c r="O172" s="4">
        <v>4</v>
      </c>
      <c r="P172" s="7">
        <v>33130</v>
      </c>
      <c r="Q172" s="8">
        <v>0.1</v>
      </c>
      <c r="R172" s="7">
        <v>18810</v>
      </c>
      <c r="S172" s="7">
        <f>Table1_1[[#This Row],[Units Sold]]*Table1_1[[#This Row],[Unit Price]]*(1-Table1_1[[#This Row],[Discount %]])</f>
        <v>119268</v>
      </c>
      <c r="T172" s="7">
        <f>Table1_1[[#This Row],[Units Sold]]*Table1_1[[#This Row],[Unit Cost]]</f>
        <v>75240</v>
      </c>
      <c r="U172" s="7">
        <f>Table1_1[[#This Row],[Calculated sales]]-Table1_1[[#This Row],[Total cost]]</f>
        <v>44028</v>
      </c>
      <c r="V172" s="4">
        <f>IFERROR(Table1_1[[#This Row],[Profit/Loss]]/Table1_1[[#This Row],[Calculated sales]],0)</f>
        <v>0.36915182613945063</v>
      </c>
    </row>
    <row r="173" spans="1:22" x14ac:dyDescent="0.25">
      <c r="A173" s="4" t="s">
        <v>313</v>
      </c>
      <c r="B173" s="5">
        <v>45389</v>
      </c>
      <c r="C173" s="4">
        <f>YEAR(Table1_1[[#This Row],[Order Dates]])</f>
        <v>2024</v>
      </c>
      <c r="D173" s="6">
        <f>MONTH(Table1_1[[#This Row],[Order Dates]])</f>
        <v>4</v>
      </c>
      <c r="E173" s="4" t="s">
        <v>42</v>
      </c>
      <c r="F173" s="4" t="s">
        <v>43</v>
      </c>
      <c r="G173" s="4" t="s">
        <v>44</v>
      </c>
      <c r="H173" s="4" t="str">
        <f>TRIM(CLEAN(SUBSTITUTE(Table1_1[[#This Row],[Salesperson]],"   "," ")))</f>
        <v>Simran Kaur</v>
      </c>
      <c r="I173" s="4" t="s">
        <v>19</v>
      </c>
      <c r="J173" s="4" t="s">
        <v>27</v>
      </c>
      <c r="K173" s="4" t="s">
        <v>214</v>
      </c>
      <c r="L173" s="4" t="s">
        <v>1680</v>
      </c>
      <c r="M173" s="4" t="s">
        <v>40</v>
      </c>
      <c r="N173" s="4" t="s">
        <v>24</v>
      </c>
      <c r="O173" s="4">
        <v>4</v>
      </c>
      <c r="P173" s="7">
        <v>34010</v>
      </c>
      <c r="Q173" s="8">
        <v>0.18</v>
      </c>
      <c r="R173" s="7">
        <v>26300</v>
      </c>
      <c r="S173" s="7">
        <f>Table1_1[[#This Row],[Units Sold]]*Table1_1[[#This Row],[Unit Price]]*(1-Table1_1[[#This Row],[Discount %]])</f>
        <v>111552.8</v>
      </c>
      <c r="T173" s="7">
        <f>Table1_1[[#This Row],[Units Sold]]*Table1_1[[#This Row],[Unit Cost]]</f>
        <v>105200</v>
      </c>
      <c r="U173" s="7">
        <f>Table1_1[[#This Row],[Calculated sales]]-Table1_1[[#This Row],[Total cost]]</f>
        <v>6352.8000000000029</v>
      </c>
      <c r="V173" s="4">
        <f>IFERROR(Table1_1[[#This Row],[Profit/Loss]]/Table1_1[[#This Row],[Calculated sales]],0)</f>
        <v>5.6948817062413518E-2</v>
      </c>
    </row>
    <row r="174" spans="1:22" x14ac:dyDescent="0.25">
      <c r="A174" s="4" t="s">
        <v>314</v>
      </c>
      <c r="B174" s="5">
        <v>45389</v>
      </c>
      <c r="C174" s="4">
        <f>YEAR(Table1_1[[#This Row],[Order Dates]])</f>
        <v>2024</v>
      </c>
      <c r="D174" s="6">
        <f>MONTH(Table1_1[[#This Row],[Order Dates]])</f>
        <v>4</v>
      </c>
      <c r="E174" s="4" t="s">
        <v>56</v>
      </c>
      <c r="F174" s="4" t="s">
        <v>57</v>
      </c>
      <c r="G174" s="4" t="s">
        <v>58</v>
      </c>
      <c r="H174" s="4" t="str">
        <f>TRIM(CLEAN(SUBSTITUTE(Table1_1[[#This Row],[Salesperson]],"   "," ")))</f>
        <v>Karthik Raman</v>
      </c>
      <c r="I174" s="4" t="s">
        <v>19</v>
      </c>
      <c r="J174" s="4" t="s">
        <v>83</v>
      </c>
      <c r="K174" s="4" t="s">
        <v>184</v>
      </c>
      <c r="L174" s="4" t="s">
        <v>1679</v>
      </c>
      <c r="M174" s="4" t="s">
        <v>40</v>
      </c>
      <c r="N174" s="4" t="s">
        <v>24</v>
      </c>
      <c r="O174" s="4">
        <v>15</v>
      </c>
      <c r="P174" s="7">
        <v>4710</v>
      </c>
      <c r="Q174" s="8">
        <v>0.1</v>
      </c>
      <c r="R174" s="7">
        <v>3320</v>
      </c>
      <c r="S174" s="7">
        <f>Table1_1[[#This Row],[Units Sold]]*Table1_1[[#This Row],[Unit Price]]*(1-Table1_1[[#This Row],[Discount %]])</f>
        <v>63585</v>
      </c>
      <c r="T174" s="7">
        <f>Table1_1[[#This Row],[Units Sold]]*Table1_1[[#This Row],[Unit Cost]]</f>
        <v>49800</v>
      </c>
      <c r="U174" s="7">
        <f>Table1_1[[#This Row],[Calculated sales]]-Table1_1[[#This Row],[Total cost]]</f>
        <v>13785</v>
      </c>
      <c r="V174" s="4">
        <f>IFERROR(Table1_1[[#This Row],[Profit/Loss]]/Table1_1[[#This Row],[Calculated sales]],0)</f>
        <v>0.21679641424864354</v>
      </c>
    </row>
    <row r="175" spans="1:22" x14ac:dyDescent="0.25">
      <c r="A175" s="4" t="s">
        <v>315</v>
      </c>
      <c r="B175" s="5">
        <v>45389</v>
      </c>
      <c r="C175" s="4">
        <f>YEAR(Table1_1[[#This Row],[Order Dates]])</f>
        <v>2024</v>
      </c>
      <c r="D175" s="6">
        <f>MONTH(Table1_1[[#This Row],[Order Dates]])</f>
        <v>4</v>
      </c>
      <c r="E175" s="4" t="s">
        <v>76</v>
      </c>
      <c r="F175" s="4" t="s">
        <v>150</v>
      </c>
      <c r="G175" s="4" t="s">
        <v>78</v>
      </c>
      <c r="H175" s="4" t="str">
        <f>TRIM(CLEAN(SUBSTITUTE(Table1_1[[#This Row],[Salesperson]],"   "," ")))</f>
        <v>Pooja Chouhan</v>
      </c>
      <c r="I175" s="4" t="s">
        <v>19</v>
      </c>
      <c r="J175" s="4" t="s">
        <v>46</v>
      </c>
      <c r="K175" s="4" t="s">
        <v>47</v>
      </c>
      <c r="L175" s="4" t="s">
        <v>48</v>
      </c>
      <c r="M175" s="4" t="s">
        <v>23</v>
      </c>
      <c r="N175" s="4" t="s">
        <v>24</v>
      </c>
      <c r="O175" s="4">
        <v>7</v>
      </c>
      <c r="P175" s="7">
        <v>1820</v>
      </c>
      <c r="Q175" s="8">
        <v>0</v>
      </c>
      <c r="R175" s="7">
        <v>1160</v>
      </c>
      <c r="S175" s="7">
        <f>Table1_1[[#This Row],[Units Sold]]*Table1_1[[#This Row],[Unit Price]]*(1-Table1_1[[#This Row],[Discount %]])</f>
        <v>12740</v>
      </c>
      <c r="T175" s="7">
        <f>Table1_1[[#This Row],[Units Sold]]*Table1_1[[#This Row],[Unit Cost]]</f>
        <v>8120</v>
      </c>
      <c r="U175" s="7">
        <f>Table1_1[[#This Row],[Calculated sales]]-Table1_1[[#This Row],[Total cost]]</f>
        <v>4620</v>
      </c>
      <c r="V175" s="4">
        <f>IFERROR(Table1_1[[#This Row],[Profit/Loss]]/Table1_1[[#This Row],[Calculated sales]],0)</f>
        <v>0.36263736263736263</v>
      </c>
    </row>
    <row r="176" spans="1:22" x14ac:dyDescent="0.25">
      <c r="A176" s="4" t="s">
        <v>316</v>
      </c>
      <c r="B176" s="5">
        <v>45390</v>
      </c>
      <c r="C176" s="4">
        <f>YEAR(Table1_1[[#This Row],[Order Dates]])</f>
        <v>2024</v>
      </c>
      <c r="D176" s="6">
        <f>MONTH(Table1_1[[#This Row],[Order Dates]])</f>
        <v>4</v>
      </c>
      <c r="E176" s="4" t="s">
        <v>56</v>
      </c>
      <c r="F176" s="4" t="s">
        <v>57</v>
      </c>
      <c r="G176" s="4" t="s">
        <v>58</v>
      </c>
      <c r="H176" s="4" t="str">
        <f>TRIM(CLEAN(SUBSTITUTE(Table1_1[[#This Row],[Salesperson]],"   "," ")))</f>
        <v>Karthik Raman</v>
      </c>
      <c r="I176" s="4" t="s">
        <v>19</v>
      </c>
      <c r="J176" s="4" t="s">
        <v>20</v>
      </c>
      <c r="K176" s="4" t="s">
        <v>109</v>
      </c>
      <c r="L176" s="4" t="s">
        <v>1675</v>
      </c>
      <c r="M176" s="4" t="s">
        <v>23</v>
      </c>
      <c r="N176" s="4" t="s">
        <v>24</v>
      </c>
      <c r="O176" s="4">
        <v>3</v>
      </c>
      <c r="P176" s="7">
        <v>69780</v>
      </c>
      <c r="Q176" s="8">
        <v>0.12</v>
      </c>
      <c r="R176" s="7">
        <v>48060</v>
      </c>
      <c r="S176" s="7">
        <f>Table1_1[[#This Row],[Units Sold]]*Table1_1[[#This Row],[Unit Price]]*(1-Table1_1[[#This Row],[Discount %]])</f>
        <v>184219.2</v>
      </c>
      <c r="T176" s="7">
        <f>Table1_1[[#This Row],[Units Sold]]*Table1_1[[#This Row],[Unit Cost]]</f>
        <v>144180</v>
      </c>
      <c r="U176" s="7">
        <f>Table1_1[[#This Row],[Calculated sales]]-Table1_1[[#This Row],[Total cost]]</f>
        <v>40039.200000000012</v>
      </c>
      <c r="V176" s="4">
        <f>IFERROR(Table1_1[[#This Row],[Profit/Loss]]/Table1_1[[#This Row],[Calculated sales]],0)</f>
        <v>0.2173454232783554</v>
      </c>
    </row>
    <row r="177" spans="1:22" x14ac:dyDescent="0.25">
      <c r="A177" s="4" t="s">
        <v>317</v>
      </c>
      <c r="B177" s="5">
        <v>45391</v>
      </c>
      <c r="C177" s="4">
        <f>YEAR(Table1_1[[#This Row],[Order Dates]])</f>
        <v>2024</v>
      </c>
      <c r="D177" s="6">
        <f>MONTH(Table1_1[[#This Row],[Order Dates]])</f>
        <v>4</v>
      </c>
      <c r="E177" s="4" t="s">
        <v>56</v>
      </c>
      <c r="F177" s="4" t="s">
        <v>133</v>
      </c>
      <c r="G177" s="4" t="s">
        <v>58</v>
      </c>
      <c r="H177" s="4" t="str">
        <f>TRIM(CLEAN(SUBSTITUTE(Table1_1[[#This Row],[Salesperson]],"   "," ")))</f>
        <v>Karthik Raman</v>
      </c>
      <c r="I177" s="4" t="s">
        <v>52</v>
      </c>
      <c r="J177" s="4" t="s">
        <v>59</v>
      </c>
      <c r="K177" s="4" t="s">
        <v>60</v>
      </c>
      <c r="L177" s="4" t="s">
        <v>200</v>
      </c>
      <c r="M177" s="4" t="s">
        <v>23</v>
      </c>
      <c r="N177" s="4" t="s">
        <v>24</v>
      </c>
      <c r="O177" s="4">
        <v>9</v>
      </c>
      <c r="P177" s="7">
        <v>8220</v>
      </c>
      <c r="Q177" s="8">
        <v>0.12</v>
      </c>
      <c r="R177" s="7">
        <v>5360</v>
      </c>
      <c r="S177" s="7">
        <f>Table1_1[[#This Row],[Units Sold]]*Table1_1[[#This Row],[Unit Price]]*(1-Table1_1[[#This Row],[Discount %]])</f>
        <v>65102.400000000001</v>
      </c>
      <c r="T177" s="7">
        <f>Table1_1[[#This Row],[Units Sold]]*Table1_1[[#This Row],[Unit Cost]]</f>
        <v>48240</v>
      </c>
      <c r="U177" s="7">
        <f>Table1_1[[#This Row],[Calculated sales]]-Table1_1[[#This Row],[Total cost]]</f>
        <v>16862.400000000001</v>
      </c>
      <c r="V177" s="4">
        <f>IFERROR(Table1_1[[#This Row],[Profit/Loss]]/Table1_1[[#This Row],[Calculated sales]],0)</f>
        <v>0.25901349259013495</v>
      </c>
    </row>
    <row r="178" spans="1:22" x14ac:dyDescent="0.25">
      <c r="A178" s="4" t="s">
        <v>318</v>
      </c>
      <c r="B178" s="5">
        <v>45391</v>
      </c>
      <c r="C178" s="4">
        <f>YEAR(Table1_1[[#This Row],[Order Dates]])</f>
        <v>2024</v>
      </c>
      <c r="D178" s="6">
        <f>MONTH(Table1_1[[#This Row],[Order Dates]])</f>
        <v>4</v>
      </c>
      <c r="E178" s="4" t="s">
        <v>37</v>
      </c>
      <c r="F178" s="4" t="s">
        <v>166</v>
      </c>
      <c r="G178" s="4" t="s">
        <v>68</v>
      </c>
      <c r="H178" s="4" t="str">
        <f>TRIM(CLEAN(SUBSTITUTE(Table1_1[[#This Row],[Salesperson]],"   "," ")))</f>
        <v>Ritika Ghosh</v>
      </c>
      <c r="I178" s="4" t="s">
        <v>92</v>
      </c>
      <c r="J178" s="4" t="s">
        <v>27</v>
      </c>
      <c r="K178" s="4" t="s">
        <v>214</v>
      </c>
      <c r="L178" s="4" t="s">
        <v>1680</v>
      </c>
      <c r="M178" s="4" t="s">
        <v>23</v>
      </c>
      <c r="N178" s="4" t="s">
        <v>119</v>
      </c>
      <c r="O178" s="4">
        <v>4</v>
      </c>
      <c r="P178" s="7">
        <v>36560</v>
      </c>
      <c r="Q178" s="8">
        <v>0.05</v>
      </c>
      <c r="R178" s="7">
        <v>22120</v>
      </c>
      <c r="S178" s="7">
        <f>Table1_1[[#This Row],[Units Sold]]*Table1_1[[#This Row],[Unit Price]]*(1-Table1_1[[#This Row],[Discount %]])</f>
        <v>138928</v>
      </c>
      <c r="T178" s="7">
        <f>Table1_1[[#This Row],[Units Sold]]*Table1_1[[#This Row],[Unit Cost]]</f>
        <v>88480</v>
      </c>
      <c r="U178" s="7">
        <f>Table1_1[[#This Row],[Calculated sales]]-Table1_1[[#This Row],[Total cost]]</f>
        <v>50448</v>
      </c>
      <c r="V178" s="4">
        <f>IFERROR(Table1_1[[#This Row],[Profit/Loss]]/Table1_1[[#This Row],[Calculated sales]],0)</f>
        <v>0.36312334446619832</v>
      </c>
    </row>
    <row r="179" spans="1:22" x14ac:dyDescent="0.25">
      <c r="A179" s="4" t="s">
        <v>319</v>
      </c>
      <c r="B179" s="5">
        <v>45391</v>
      </c>
      <c r="C179" s="4">
        <f>YEAR(Table1_1[[#This Row],[Order Dates]])</f>
        <v>2024</v>
      </c>
      <c r="D179" s="6">
        <f>MONTH(Table1_1[[#This Row],[Order Dates]])</f>
        <v>4</v>
      </c>
      <c r="E179" s="4" t="s">
        <v>76</v>
      </c>
      <c r="F179" s="4" t="s">
        <v>217</v>
      </c>
      <c r="G179" s="4" t="s">
        <v>170</v>
      </c>
      <c r="H179" s="4" t="str">
        <f>TRIM(CLEAN(SUBSTITUTE(Table1_1[[#This Row],[Salesperson]],"   "," ")))</f>
        <v>Manish Tiwari</v>
      </c>
      <c r="I179" s="4" t="s">
        <v>45</v>
      </c>
      <c r="J179" s="4" t="s">
        <v>46</v>
      </c>
      <c r="K179" s="4" t="s">
        <v>179</v>
      </c>
      <c r="L179" s="4" t="s">
        <v>221</v>
      </c>
      <c r="M179" s="4" t="s">
        <v>40</v>
      </c>
      <c r="N179" s="4" t="s">
        <v>24</v>
      </c>
      <c r="O179" s="4">
        <v>48</v>
      </c>
      <c r="P179" s="7">
        <v>1660</v>
      </c>
      <c r="Q179" s="8">
        <v>0.25</v>
      </c>
      <c r="R179" s="7">
        <v>950</v>
      </c>
      <c r="S179" s="7">
        <f>Table1_1[[#This Row],[Units Sold]]*Table1_1[[#This Row],[Unit Price]]*(1-Table1_1[[#This Row],[Discount %]])</f>
        <v>59760</v>
      </c>
      <c r="T179" s="7">
        <f>Table1_1[[#This Row],[Units Sold]]*Table1_1[[#This Row],[Unit Cost]]</f>
        <v>45600</v>
      </c>
      <c r="U179" s="7">
        <f>Table1_1[[#This Row],[Calculated sales]]-Table1_1[[#This Row],[Total cost]]</f>
        <v>14160</v>
      </c>
      <c r="V179" s="4">
        <f>IFERROR(Table1_1[[#This Row],[Profit/Loss]]/Table1_1[[#This Row],[Calculated sales]],0)</f>
        <v>0.23694779116465864</v>
      </c>
    </row>
    <row r="180" spans="1:22" x14ac:dyDescent="0.25">
      <c r="A180" s="4" t="s">
        <v>320</v>
      </c>
      <c r="B180" s="5">
        <v>45391</v>
      </c>
      <c r="C180" s="4">
        <f>YEAR(Table1_1[[#This Row],[Order Dates]])</f>
        <v>2024</v>
      </c>
      <c r="D180" s="6">
        <f>MONTH(Table1_1[[#This Row],[Order Dates]])</f>
        <v>4</v>
      </c>
      <c r="E180" s="4" t="s">
        <v>16</v>
      </c>
      <c r="F180" s="4" t="s">
        <v>82</v>
      </c>
      <c r="G180" s="4" t="s">
        <v>18</v>
      </c>
      <c r="H180" s="4" t="str">
        <f>TRIM(CLEAN(SUBSTITUTE(Table1_1[[#This Row],[Salesperson]],"   "," ")))</f>
        <v>Imran Sheikh</v>
      </c>
      <c r="I180" s="4" t="s">
        <v>45</v>
      </c>
      <c r="J180" s="4" t="s">
        <v>83</v>
      </c>
      <c r="K180" s="4" t="s">
        <v>84</v>
      </c>
      <c r="L180" s="4" t="s">
        <v>1671</v>
      </c>
      <c r="M180" s="4" t="s">
        <v>23</v>
      </c>
      <c r="N180" s="4" t="s">
        <v>24</v>
      </c>
      <c r="O180" s="4">
        <v>32</v>
      </c>
      <c r="P180" s="7">
        <v>2340</v>
      </c>
      <c r="Q180" s="8">
        <v>0.1</v>
      </c>
      <c r="R180" s="7">
        <v>1790</v>
      </c>
      <c r="S180" s="7">
        <f>Table1_1[[#This Row],[Units Sold]]*Table1_1[[#This Row],[Unit Price]]*(1-Table1_1[[#This Row],[Discount %]])</f>
        <v>67392</v>
      </c>
      <c r="T180" s="7">
        <f>Table1_1[[#This Row],[Units Sold]]*Table1_1[[#This Row],[Unit Cost]]</f>
        <v>57280</v>
      </c>
      <c r="U180" s="7">
        <f>Table1_1[[#This Row],[Calculated sales]]-Table1_1[[#This Row],[Total cost]]</f>
        <v>10112</v>
      </c>
      <c r="V180" s="4">
        <f>IFERROR(Table1_1[[#This Row],[Profit/Loss]]/Table1_1[[#This Row],[Calculated sales]],0)</f>
        <v>0.15004748338081672</v>
      </c>
    </row>
    <row r="181" spans="1:22" x14ac:dyDescent="0.25">
      <c r="A181" s="4" t="s">
        <v>321</v>
      </c>
      <c r="B181" s="5">
        <v>45391</v>
      </c>
      <c r="C181" s="4">
        <f>YEAR(Table1_1[[#This Row],[Order Dates]])</f>
        <v>2024</v>
      </c>
      <c r="D181" s="6">
        <f>MONTH(Table1_1[[#This Row],[Order Dates]])</f>
        <v>4</v>
      </c>
      <c r="E181" s="4" t="s">
        <v>16</v>
      </c>
      <c r="F181" s="4" t="s">
        <v>82</v>
      </c>
      <c r="G181" s="4" t="s">
        <v>26</v>
      </c>
      <c r="H181" s="4" t="str">
        <f>TRIM(CLEAN(SUBSTITUTE(Table1_1[[#This Row],[Salesperson]],"   "," ")))</f>
        <v>Prateek Shah</v>
      </c>
      <c r="I181" s="4" t="s">
        <v>92</v>
      </c>
      <c r="J181" s="4" t="s">
        <v>20</v>
      </c>
      <c r="K181" s="4" t="s">
        <v>87</v>
      </c>
      <c r="L181" s="4" t="s">
        <v>1672</v>
      </c>
      <c r="M181" s="4" t="s">
        <v>40</v>
      </c>
      <c r="N181" s="4" t="s">
        <v>24</v>
      </c>
      <c r="O181" s="4">
        <v>8</v>
      </c>
      <c r="P181" s="7">
        <v>31740</v>
      </c>
      <c r="Q181" s="8">
        <v>0.2</v>
      </c>
      <c r="R181" s="7">
        <v>18530</v>
      </c>
      <c r="S181" s="7">
        <f>Table1_1[[#This Row],[Units Sold]]*Table1_1[[#This Row],[Unit Price]]*(1-Table1_1[[#This Row],[Discount %]])</f>
        <v>203136</v>
      </c>
      <c r="T181" s="7">
        <f>Table1_1[[#This Row],[Units Sold]]*Table1_1[[#This Row],[Unit Cost]]</f>
        <v>148240</v>
      </c>
      <c r="U181" s="7">
        <f>Table1_1[[#This Row],[Calculated sales]]-Table1_1[[#This Row],[Total cost]]</f>
        <v>54896</v>
      </c>
      <c r="V181" s="4">
        <f>IFERROR(Table1_1[[#This Row],[Profit/Loss]]/Table1_1[[#This Row],[Calculated sales]],0)</f>
        <v>0.27024259609325774</v>
      </c>
    </row>
    <row r="182" spans="1:22" x14ac:dyDescent="0.25">
      <c r="A182" s="4" t="s">
        <v>322</v>
      </c>
      <c r="B182" s="5">
        <v>45392</v>
      </c>
      <c r="C182" s="4">
        <f>YEAR(Table1_1[[#This Row],[Order Dates]])</f>
        <v>2024</v>
      </c>
      <c r="D182" s="6">
        <f>MONTH(Table1_1[[#This Row],[Order Dates]])</f>
        <v>4</v>
      </c>
      <c r="E182" s="4" t="s">
        <v>16</v>
      </c>
      <c r="F182" s="4" t="s">
        <v>82</v>
      </c>
      <c r="G182" s="4" t="s">
        <v>26</v>
      </c>
      <c r="H182" s="4" t="str">
        <f>TRIM(CLEAN(SUBSTITUTE(Table1_1[[#This Row],[Salesperson]],"   "," ")))</f>
        <v>Prateek Shah</v>
      </c>
      <c r="I182" s="4" t="s">
        <v>52</v>
      </c>
      <c r="J182" s="4" t="s">
        <v>46</v>
      </c>
      <c r="K182" s="4" t="s">
        <v>100</v>
      </c>
      <c r="L182" s="4" t="s">
        <v>101</v>
      </c>
      <c r="M182" s="4" t="s">
        <v>40</v>
      </c>
      <c r="N182" s="4" t="s">
        <v>24</v>
      </c>
      <c r="O182" s="4">
        <v>14</v>
      </c>
      <c r="P182" s="7">
        <v>1830</v>
      </c>
      <c r="Q182" s="8">
        <v>0.05</v>
      </c>
      <c r="R182" s="7">
        <v>1430</v>
      </c>
      <c r="S182" s="7">
        <f>Table1_1[[#This Row],[Units Sold]]*Table1_1[[#This Row],[Unit Price]]*(1-Table1_1[[#This Row],[Discount %]])</f>
        <v>24339</v>
      </c>
      <c r="T182" s="7">
        <f>Table1_1[[#This Row],[Units Sold]]*Table1_1[[#This Row],[Unit Cost]]</f>
        <v>20020</v>
      </c>
      <c r="U182" s="7">
        <f>Table1_1[[#This Row],[Calculated sales]]-Table1_1[[#This Row],[Total cost]]</f>
        <v>4319</v>
      </c>
      <c r="V182" s="4">
        <f>IFERROR(Table1_1[[#This Row],[Profit/Loss]]/Table1_1[[#This Row],[Calculated sales]],0)</f>
        <v>0.17745182628702905</v>
      </c>
    </row>
    <row r="183" spans="1:22" x14ac:dyDescent="0.25">
      <c r="A183" s="4" t="s">
        <v>323</v>
      </c>
      <c r="B183" s="5">
        <v>45392</v>
      </c>
      <c r="C183" s="4">
        <f>YEAR(Table1_1[[#This Row],[Order Dates]])</f>
        <v>2024</v>
      </c>
      <c r="D183" s="6">
        <f>MONTH(Table1_1[[#This Row],[Order Dates]])</f>
        <v>4</v>
      </c>
      <c r="E183" s="4" t="s">
        <v>42</v>
      </c>
      <c r="F183" s="4" t="s">
        <v>265</v>
      </c>
      <c r="G183" s="4" t="s">
        <v>64</v>
      </c>
      <c r="H183" s="4" t="str">
        <f>TRIM(CLEAN(SUBSTITUTE(Table1_1[[#This Row],[Salesperson]],"   "," ")))</f>
        <v>Aditya Verma</v>
      </c>
      <c r="I183" s="4" t="s">
        <v>92</v>
      </c>
      <c r="J183" s="4" t="s">
        <v>59</v>
      </c>
      <c r="K183" s="4" t="s">
        <v>154</v>
      </c>
      <c r="L183" s="4" t="s">
        <v>249</v>
      </c>
      <c r="M183" s="4" t="s">
        <v>40</v>
      </c>
      <c r="N183" s="4" t="s">
        <v>24</v>
      </c>
      <c r="O183" s="4">
        <v>16</v>
      </c>
      <c r="P183" s="7">
        <v>6550</v>
      </c>
      <c r="Q183" s="8">
        <v>0.18</v>
      </c>
      <c r="R183" s="7">
        <v>4650</v>
      </c>
      <c r="S183" s="7">
        <f>Table1_1[[#This Row],[Units Sold]]*Table1_1[[#This Row],[Unit Price]]*(1-Table1_1[[#This Row],[Discount %]])</f>
        <v>85936</v>
      </c>
      <c r="T183" s="7">
        <f>Table1_1[[#This Row],[Units Sold]]*Table1_1[[#This Row],[Unit Cost]]</f>
        <v>74400</v>
      </c>
      <c r="U183" s="7">
        <f>Table1_1[[#This Row],[Calculated sales]]-Table1_1[[#This Row],[Total cost]]</f>
        <v>11536</v>
      </c>
      <c r="V183" s="4">
        <f>IFERROR(Table1_1[[#This Row],[Profit/Loss]]/Table1_1[[#This Row],[Calculated sales]],0)</f>
        <v>0.13423943399739341</v>
      </c>
    </row>
    <row r="184" spans="1:22" x14ac:dyDescent="0.25">
      <c r="A184" s="4" t="s">
        <v>324</v>
      </c>
      <c r="B184" s="5">
        <v>45392</v>
      </c>
      <c r="C184" s="4">
        <f>YEAR(Table1_1[[#This Row],[Order Dates]])</f>
        <v>2024</v>
      </c>
      <c r="D184" s="6">
        <f>MONTH(Table1_1[[#This Row],[Order Dates]])</f>
        <v>4</v>
      </c>
      <c r="E184" s="4" t="s">
        <v>16</v>
      </c>
      <c r="F184" s="4" t="s">
        <v>191</v>
      </c>
      <c r="G184" s="4" t="s">
        <v>32</v>
      </c>
      <c r="H184" s="4" t="str">
        <f>TRIM(CLEAN(SUBSTITUTE(Table1_1[[#This Row],[Salesperson]],"   "," ")))</f>
        <v>Neha Deshpande</v>
      </c>
      <c r="I184" s="4" t="s">
        <v>19</v>
      </c>
      <c r="J184" s="4" t="s">
        <v>20</v>
      </c>
      <c r="K184" s="4" t="s">
        <v>87</v>
      </c>
      <c r="L184" s="4" t="s">
        <v>1672</v>
      </c>
      <c r="M184" s="4" t="s">
        <v>23</v>
      </c>
      <c r="N184" s="4" t="s">
        <v>24</v>
      </c>
      <c r="O184" s="4">
        <v>2</v>
      </c>
      <c r="P184" s="7">
        <v>32810</v>
      </c>
      <c r="Q184" s="8">
        <v>0.1</v>
      </c>
      <c r="R184" s="7">
        <v>20690</v>
      </c>
      <c r="S184" s="7">
        <f>Table1_1[[#This Row],[Units Sold]]*Table1_1[[#This Row],[Unit Price]]*(1-Table1_1[[#This Row],[Discount %]])</f>
        <v>59058</v>
      </c>
      <c r="T184" s="7">
        <f>Table1_1[[#This Row],[Units Sold]]*Table1_1[[#This Row],[Unit Cost]]</f>
        <v>41380</v>
      </c>
      <c r="U184" s="7">
        <f>Table1_1[[#This Row],[Calculated sales]]-Table1_1[[#This Row],[Total cost]]</f>
        <v>17678</v>
      </c>
      <c r="V184" s="4">
        <f>IFERROR(Table1_1[[#This Row],[Profit/Loss]]/Table1_1[[#This Row],[Calculated sales]],0)</f>
        <v>0.29933285922313657</v>
      </c>
    </row>
    <row r="185" spans="1:22" x14ac:dyDescent="0.25">
      <c r="A185" s="4" t="s">
        <v>325</v>
      </c>
      <c r="B185" s="5">
        <v>45393</v>
      </c>
      <c r="C185" s="4">
        <f>YEAR(Table1_1[[#This Row],[Order Dates]])</f>
        <v>2024</v>
      </c>
      <c r="D185" s="6">
        <f>MONTH(Table1_1[[#This Row],[Order Dates]])</f>
        <v>4</v>
      </c>
      <c r="E185" s="4" t="s">
        <v>42</v>
      </c>
      <c r="F185" s="4" t="s">
        <v>123</v>
      </c>
      <c r="G185" s="4" t="s">
        <v>44</v>
      </c>
      <c r="H185" s="4" t="str">
        <f>TRIM(CLEAN(SUBSTITUTE(Table1_1[[#This Row],[Salesperson]],"   "," ")))</f>
        <v>Simran Kaur</v>
      </c>
      <c r="I185" s="4" t="s">
        <v>52</v>
      </c>
      <c r="J185" s="4" t="s">
        <v>20</v>
      </c>
      <c r="K185" s="4" t="s">
        <v>21</v>
      </c>
      <c r="L185" s="4" t="s">
        <v>1670</v>
      </c>
      <c r="M185" s="4" t="s">
        <v>23</v>
      </c>
      <c r="N185" s="4" t="s">
        <v>24</v>
      </c>
      <c r="O185" s="4">
        <v>15</v>
      </c>
      <c r="P185" s="7">
        <v>8380</v>
      </c>
      <c r="Q185" s="8">
        <v>0</v>
      </c>
      <c r="R185" s="7">
        <v>5080</v>
      </c>
      <c r="S185" s="7">
        <f>Table1_1[[#This Row],[Units Sold]]*Table1_1[[#This Row],[Unit Price]]*(1-Table1_1[[#This Row],[Discount %]])</f>
        <v>125700</v>
      </c>
      <c r="T185" s="7">
        <f>Table1_1[[#This Row],[Units Sold]]*Table1_1[[#This Row],[Unit Cost]]</f>
        <v>76200</v>
      </c>
      <c r="U185" s="7">
        <f>Table1_1[[#This Row],[Calculated sales]]-Table1_1[[#This Row],[Total cost]]</f>
        <v>49500</v>
      </c>
      <c r="V185" s="4">
        <f>IFERROR(Table1_1[[#This Row],[Profit/Loss]]/Table1_1[[#This Row],[Calculated sales]],0)</f>
        <v>0.3937947494033413</v>
      </c>
    </row>
    <row r="186" spans="1:22" x14ac:dyDescent="0.25">
      <c r="A186" s="4" t="s">
        <v>326</v>
      </c>
      <c r="B186" s="5">
        <v>45394</v>
      </c>
      <c r="C186" s="4">
        <f>YEAR(Table1_1[[#This Row],[Order Dates]])</f>
        <v>2024</v>
      </c>
      <c r="D186" s="6">
        <f>MONTH(Table1_1[[#This Row],[Order Dates]])</f>
        <v>4</v>
      </c>
      <c r="E186" s="4" t="s">
        <v>37</v>
      </c>
      <c r="F186" s="4" t="s">
        <v>115</v>
      </c>
      <c r="G186" s="4" t="s">
        <v>68</v>
      </c>
      <c r="H186" s="4" t="str">
        <f>TRIM(CLEAN(SUBSTITUTE(Table1_1[[#This Row],[Salesperson]],"   "," ")))</f>
        <v>Ritika Ghosh</v>
      </c>
      <c r="I186" s="4" t="s">
        <v>92</v>
      </c>
      <c r="J186" s="4" t="s">
        <v>20</v>
      </c>
      <c r="K186" s="4" t="s">
        <v>33</v>
      </c>
      <c r="L186" s="4" t="s">
        <v>34</v>
      </c>
      <c r="M186" s="4" t="s">
        <v>23</v>
      </c>
      <c r="N186" s="4" t="s">
        <v>24</v>
      </c>
      <c r="O186" s="4">
        <v>6</v>
      </c>
      <c r="P186" s="7">
        <v>56340</v>
      </c>
      <c r="Q186" s="8">
        <v>0.08</v>
      </c>
      <c r="R186" s="7">
        <v>36840</v>
      </c>
      <c r="S186" s="7">
        <f>Table1_1[[#This Row],[Units Sold]]*Table1_1[[#This Row],[Unit Price]]*(1-Table1_1[[#This Row],[Discount %]])</f>
        <v>310996.8</v>
      </c>
      <c r="T186" s="7">
        <f>Table1_1[[#This Row],[Units Sold]]*Table1_1[[#This Row],[Unit Cost]]</f>
        <v>221040</v>
      </c>
      <c r="U186" s="7">
        <f>Table1_1[[#This Row],[Calculated sales]]-Table1_1[[#This Row],[Total cost]]</f>
        <v>89956.799999999988</v>
      </c>
      <c r="V186" s="4">
        <f>IFERROR(Table1_1[[#This Row],[Profit/Loss]]/Table1_1[[#This Row],[Calculated sales]],0)</f>
        <v>0.28925313700976985</v>
      </c>
    </row>
    <row r="187" spans="1:22" x14ac:dyDescent="0.25">
      <c r="A187" s="4" t="s">
        <v>327</v>
      </c>
      <c r="B187" s="5">
        <v>45394</v>
      </c>
      <c r="C187" s="4">
        <f>YEAR(Table1_1[[#This Row],[Order Dates]])</f>
        <v>2024</v>
      </c>
      <c r="D187" s="6">
        <f>MONTH(Table1_1[[#This Row],[Order Dates]])</f>
        <v>4</v>
      </c>
      <c r="E187" s="4" t="s">
        <v>16</v>
      </c>
      <c r="F187" s="4" t="s">
        <v>31</v>
      </c>
      <c r="G187" s="4" t="s">
        <v>26</v>
      </c>
      <c r="H187" s="4" t="str">
        <f>TRIM(CLEAN(SUBSTITUTE(Table1_1[[#This Row],[Salesperson]],"   "," ")))</f>
        <v>Prateek Shah</v>
      </c>
      <c r="I187" s="4" t="s">
        <v>52</v>
      </c>
      <c r="J187" s="4" t="s">
        <v>27</v>
      </c>
      <c r="K187" s="4" t="s">
        <v>53</v>
      </c>
      <c r="L187" s="4" t="s">
        <v>1676</v>
      </c>
      <c r="M187" s="4" t="s">
        <v>23</v>
      </c>
      <c r="N187" s="4" t="s">
        <v>35</v>
      </c>
      <c r="O187" s="4">
        <v>2</v>
      </c>
      <c r="P187" s="7">
        <v>34530</v>
      </c>
      <c r="Q187" s="8">
        <v>0</v>
      </c>
      <c r="R187" s="7">
        <v>26400</v>
      </c>
      <c r="S187" s="7">
        <f>Table1_1[[#This Row],[Units Sold]]*Table1_1[[#This Row],[Unit Price]]*(1-Table1_1[[#This Row],[Discount %]])</f>
        <v>69060</v>
      </c>
      <c r="T187" s="7">
        <f>Table1_1[[#This Row],[Units Sold]]*Table1_1[[#This Row],[Unit Cost]]</f>
        <v>52800</v>
      </c>
      <c r="U187" s="7">
        <f>Table1_1[[#This Row],[Calculated sales]]-Table1_1[[#This Row],[Total cost]]</f>
        <v>16260</v>
      </c>
      <c r="V187" s="4">
        <f>IFERROR(Table1_1[[#This Row],[Profit/Loss]]/Table1_1[[#This Row],[Calculated sales]],0)</f>
        <v>0.23544743701129453</v>
      </c>
    </row>
    <row r="188" spans="1:22" x14ac:dyDescent="0.25">
      <c r="A188" s="4" t="s">
        <v>328</v>
      </c>
      <c r="B188" s="5">
        <v>45395</v>
      </c>
      <c r="C188" s="4">
        <f>YEAR(Table1_1[[#This Row],[Order Dates]])</f>
        <v>2024</v>
      </c>
      <c r="D188" s="6">
        <f>MONTH(Table1_1[[#This Row],[Order Dates]])</f>
        <v>4</v>
      </c>
      <c r="E188" s="4" t="s">
        <v>37</v>
      </c>
      <c r="F188" s="4" t="s">
        <v>38</v>
      </c>
      <c r="G188" s="4" t="s">
        <v>39</v>
      </c>
      <c r="H188" s="4" t="str">
        <f>TRIM(CLEAN(SUBSTITUTE(Table1_1[[#This Row],[Salesperson]],"   "," ")))</f>
        <v>Sourav Das</v>
      </c>
      <c r="I188" s="4" t="s">
        <v>45</v>
      </c>
      <c r="J188" s="4" t="s">
        <v>27</v>
      </c>
      <c r="K188" s="4" t="s">
        <v>79</v>
      </c>
      <c r="L188" s="4" t="s">
        <v>80</v>
      </c>
      <c r="M188" s="4" t="s">
        <v>23</v>
      </c>
      <c r="N188" s="4" t="s">
        <v>119</v>
      </c>
      <c r="O188" s="4">
        <v>16</v>
      </c>
      <c r="P188" s="7">
        <v>4380</v>
      </c>
      <c r="Q188" s="8">
        <v>0.08</v>
      </c>
      <c r="R188" s="7">
        <v>3270</v>
      </c>
      <c r="S188" s="7">
        <f>Table1_1[[#This Row],[Units Sold]]*Table1_1[[#This Row],[Unit Price]]*(1-Table1_1[[#This Row],[Discount %]])</f>
        <v>64473.600000000006</v>
      </c>
      <c r="T188" s="7">
        <f>Table1_1[[#This Row],[Units Sold]]*Table1_1[[#This Row],[Unit Cost]]</f>
        <v>52320</v>
      </c>
      <c r="U188" s="7">
        <f>Table1_1[[#This Row],[Calculated sales]]-Table1_1[[#This Row],[Total cost]]</f>
        <v>12153.600000000006</v>
      </c>
      <c r="V188" s="4">
        <f>IFERROR(Table1_1[[#This Row],[Profit/Loss]]/Table1_1[[#This Row],[Calculated sales]],0)</f>
        <v>0.1885050625372246</v>
      </c>
    </row>
    <row r="189" spans="1:22" x14ac:dyDescent="0.25">
      <c r="A189" s="4" t="s">
        <v>329</v>
      </c>
      <c r="B189" s="5">
        <v>45396</v>
      </c>
      <c r="C189" s="4">
        <f>YEAR(Table1_1[[#This Row],[Order Dates]])</f>
        <v>2024</v>
      </c>
      <c r="D189" s="6">
        <f>MONTH(Table1_1[[#This Row],[Order Dates]])</f>
        <v>4</v>
      </c>
      <c r="E189" s="4" t="s">
        <v>16</v>
      </c>
      <c r="F189" s="4" t="s">
        <v>17</v>
      </c>
      <c r="G189" s="4" t="s">
        <v>18</v>
      </c>
      <c r="H189" s="4" t="str">
        <f>TRIM(CLEAN(SUBSTITUTE(Table1_1[[#This Row],[Salesperson]],"   "," ")))</f>
        <v>Imran Sheikh</v>
      </c>
      <c r="I189" s="4" t="s">
        <v>45</v>
      </c>
      <c r="J189" s="4" t="s">
        <v>20</v>
      </c>
      <c r="K189" s="4" t="s">
        <v>109</v>
      </c>
      <c r="L189" s="4" t="s">
        <v>1675</v>
      </c>
      <c r="M189" s="4" t="s">
        <v>23</v>
      </c>
      <c r="N189" s="4" t="s">
        <v>24</v>
      </c>
      <c r="O189" s="4">
        <v>4</v>
      </c>
      <c r="P189" s="7">
        <v>68260</v>
      </c>
      <c r="Q189" s="8">
        <v>0.05</v>
      </c>
      <c r="R189" s="7">
        <v>47440</v>
      </c>
      <c r="S189" s="7">
        <f>Table1_1[[#This Row],[Units Sold]]*Table1_1[[#This Row],[Unit Price]]*(1-Table1_1[[#This Row],[Discount %]])</f>
        <v>259388</v>
      </c>
      <c r="T189" s="7">
        <f>Table1_1[[#This Row],[Units Sold]]*Table1_1[[#This Row],[Unit Cost]]</f>
        <v>189760</v>
      </c>
      <c r="U189" s="7">
        <f>Table1_1[[#This Row],[Calculated sales]]-Table1_1[[#This Row],[Total cost]]</f>
        <v>69628</v>
      </c>
      <c r="V189" s="4">
        <f>IFERROR(Table1_1[[#This Row],[Profit/Loss]]/Table1_1[[#This Row],[Calculated sales]],0)</f>
        <v>0.26843184727126929</v>
      </c>
    </row>
    <row r="190" spans="1:22" x14ac:dyDescent="0.25">
      <c r="A190" s="4" t="s">
        <v>330</v>
      </c>
      <c r="B190" s="5">
        <v>45396</v>
      </c>
      <c r="C190" s="4">
        <f>YEAR(Table1_1[[#This Row],[Order Dates]])</f>
        <v>2024</v>
      </c>
      <c r="D190" s="6">
        <f>MONTH(Table1_1[[#This Row],[Order Dates]])</f>
        <v>4</v>
      </c>
      <c r="E190" s="4" t="s">
        <v>76</v>
      </c>
      <c r="F190" s="4" t="s">
        <v>217</v>
      </c>
      <c r="G190" s="4" t="s">
        <v>78</v>
      </c>
      <c r="H190" s="4" t="str">
        <f>TRIM(CLEAN(SUBSTITUTE(Table1_1[[#This Row],[Salesperson]],"   "," ")))</f>
        <v>Pooja Chouhan</v>
      </c>
      <c r="I190" s="4" t="s">
        <v>92</v>
      </c>
      <c r="J190" s="4" t="s">
        <v>83</v>
      </c>
      <c r="K190" s="4" t="s">
        <v>184</v>
      </c>
      <c r="L190" s="4" t="s">
        <v>1679</v>
      </c>
      <c r="M190" s="4" t="s">
        <v>23</v>
      </c>
      <c r="N190" s="4" t="s">
        <v>24</v>
      </c>
      <c r="O190" s="4">
        <v>16</v>
      </c>
      <c r="P190" s="7">
        <v>4490</v>
      </c>
      <c r="Q190" s="8">
        <v>0.2</v>
      </c>
      <c r="R190" s="7">
        <v>3210</v>
      </c>
      <c r="S190" s="7">
        <f>Table1_1[[#This Row],[Units Sold]]*Table1_1[[#This Row],[Unit Price]]*(1-Table1_1[[#This Row],[Discount %]])</f>
        <v>57472</v>
      </c>
      <c r="T190" s="7">
        <f>Table1_1[[#This Row],[Units Sold]]*Table1_1[[#This Row],[Unit Cost]]</f>
        <v>51360</v>
      </c>
      <c r="U190" s="7">
        <f>Table1_1[[#This Row],[Calculated sales]]-Table1_1[[#This Row],[Total cost]]</f>
        <v>6112</v>
      </c>
      <c r="V190" s="4">
        <f>IFERROR(Table1_1[[#This Row],[Profit/Loss]]/Table1_1[[#This Row],[Calculated sales]],0)</f>
        <v>0.10634743875278396</v>
      </c>
    </row>
    <row r="191" spans="1:22" x14ac:dyDescent="0.25">
      <c r="A191" s="4" t="s">
        <v>331</v>
      </c>
      <c r="B191" s="5">
        <v>45396</v>
      </c>
      <c r="C191" s="4">
        <f>YEAR(Table1_1[[#This Row],[Order Dates]])</f>
        <v>2024</v>
      </c>
      <c r="D191" s="6">
        <f>MONTH(Table1_1[[#This Row],[Order Dates]])</f>
        <v>4</v>
      </c>
      <c r="E191" s="4" t="s">
        <v>56</v>
      </c>
      <c r="F191" s="4" t="s">
        <v>72</v>
      </c>
      <c r="G191" s="4" t="s">
        <v>134</v>
      </c>
      <c r="H191" s="4" t="str">
        <f>TRIM(CLEAN(SUBSTITUTE(Table1_1[[#This Row],[Salesperson]],"   "," ")))</f>
        <v>Divya Nair</v>
      </c>
      <c r="I191" s="4" t="s">
        <v>92</v>
      </c>
      <c r="J191" s="4" t="s">
        <v>20</v>
      </c>
      <c r="K191" s="4" t="s">
        <v>21</v>
      </c>
      <c r="L191" s="4" t="s">
        <v>1670</v>
      </c>
      <c r="M191" s="4" t="s">
        <v>49</v>
      </c>
      <c r="N191" s="4" t="s">
        <v>24</v>
      </c>
      <c r="O191" s="4">
        <v>3</v>
      </c>
      <c r="P191" s="7">
        <v>8430</v>
      </c>
      <c r="Q191" s="8">
        <v>0.15</v>
      </c>
      <c r="R191" s="7">
        <v>5670</v>
      </c>
      <c r="S191" s="7">
        <f>Table1_1[[#This Row],[Units Sold]]*Table1_1[[#This Row],[Unit Price]]*(1-Table1_1[[#This Row],[Discount %]])</f>
        <v>21496.5</v>
      </c>
      <c r="T191" s="7">
        <f>Table1_1[[#This Row],[Units Sold]]*Table1_1[[#This Row],[Unit Cost]]</f>
        <v>17010</v>
      </c>
      <c r="U191" s="7">
        <f>Table1_1[[#This Row],[Calculated sales]]-Table1_1[[#This Row],[Total cost]]</f>
        <v>4486.5</v>
      </c>
      <c r="V191" s="4">
        <f>IFERROR(Table1_1[[#This Row],[Profit/Loss]]/Table1_1[[#This Row],[Calculated sales]],0)</f>
        <v>0.20870839438978439</v>
      </c>
    </row>
    <row r="192" spans="1:22" x14ac:dyDescent="0.25">
      <c r="A192" s="4" t="s">
        <v>332</v>
      </c>
      <c r="B192" s="5">
        <v>45398</v>
      </c>
      <c r="C192" s="4">
        <f>YEAR(Table1_1[[#This Row],[Order Dates]])</f>
        <v>2024</v>
      </c>
      <c r="D192" s="6">
        <f>MONTH(Table1_1[[#This Row],[Order Dates]])</f>
        <v>4</v>
      </c>
      <c r="E192" s="4" t="s">
        <v>37</v>
      </c>
      <c r="F192" s="4" t="s">
        <v>67</v>
      </c>
      <c r="G192" s="4" t="s">
        <v>68</v>
      </c>
      <c r="H192" s="4" t="str">
        <f>TRIM(CLEAN(SUBSTITUTE(Table1_1[[#This Row],[Salesperson]],"   "," ")))</f>
        <v>Ritika Ghosh</v>
      </c>
      <c r="I192" s="4" t="s">
        <v>92</v>
      </c>
      <c r="J192" s="4" t="s">
        <v>20</v>
      </c>
      <c r="K192" s="4" t="s">
        <v>21</v>
      </c>
      <c r="L192" s="4" t="s">
        <v>1667</v>
      </c>
      <c r="M192" s="4" t="s">
        <v>23</v>
      </c>
      <c r="N192" s="4" t="s">
        <v>94</v>
      </c>
      <c r="O192" s="4">
        <v>47</v>
      </c>
      <c r="P192" s="7">
        <v>1810</v>
      </c>
      <c r="Q192" s="8">
        <v>0.1</v>
      </c>
      <c r="R192" s="7">
        <v>1100</v>
      </c>
      <c r="S192" s="7">
        <f>Table1_1[[#This Row],[Units Sold]]*Table1_1[[#This Row],[Unit Price]]*(1-Table1_1[[#This Row],[Discount %]])</f>
        <v>76563</v>
      </c>
      <c r="T192" s="7">
        <f>Table1_1[[#This Row],[Units Sold]]*Table1_1[[#This Row],[Unit Cost]]</f>
        <v>51700</v>
      </c>
      <c r="U192" s="7">
        <f>Table1_1[[#This Row],[Calculated sales]]-Table1_1[[#This Row],[Total cost]]</f>
        <v>24863</v>
      </c>
      <c r="V192" s="4">
        <f>IFERROR(Table1_1[[#This Row],[Profit/Loss]]/Table1_1[[#This Row],[Calculated sales]],0)</f>
        <v>0.32473910374462861</v>
      </c>
    </row>
    <row r="193" spans="1:22" x14ac:dyDescent="0.25">
      <c r="A193" s="4" t="s">
        <v>333</v>
      </c>
      <c r="B193" s="5">
        <v>45400</v>
      </c>
      <c r="C193" s="4">
        <f>YEAR(Table1_1[[#This Row],[Order Dates]])</f>
        <v>2024</v>
      </c>
      <c r="D193" s="6">
        <f>MONTH(Table1_1[[#This Row],[Order Dates]])</f>
        <v>4</v>
      </c>
      <c r="E193" s="4" t="s">
        <v>56</v>
      </c>
      <c r="F193" s="4" t="s">
        <v>103</v>
      </c>
      <c r="G193" s="4" t="s">
        <v>58</v>
      </c>
      <c r="H193" s="4" t="str">
        <f>TRIM(CLEAN(SUBSTITUTE(Table1_1[[#This Row],[Salesperson]],"   "," ")))</f>
        <v>Karthik Raman</v>
      </c>
      <c r="I193" s="4" t="s">
        <v>19</v>
      </c>
      <c r="J193" s="4" t="s">
        <v>27</v>
      </c>
      <c r="K193" s="4" t="s">
        <v>214</v>
      </c>
      <c r="L193" s="4" t="s">
        <v>1680</v>
      </c>
      <c r="M193" s="4" t="s">
        <v>40</v>
      </c>
      <c r="N193" s="4" t="s">
        <v>24</v>
      </c>
      <c r="O193" s="4">
        <v>4</v>
      </c>
      <c r="P193" s="7">
        <v>32410</v>
      </c>
      <c r="Q193" s="8">
        <v>0</v>
      </c>
      <c r="R193" s="7">
        <v>20450</v>
      </c>
      <c r="S193" s="7">
        <f>Table1_1[[#This Row],[Units Sold]]*Table1_1[[#This Row],[Unit Price]]*(1-Table1_1[[#This Row],[Discount %]])</f>
        <v>129640</v>
      </c>
      <c r="T193" s="7">
        <f>Table1_1[[#This Row],[Units Sold]]*Table1_1[[#This Row],[Unit Cost]]</f>
        <v>81800</v>
      </c>
      <c r="U193" s="7">
        <f>Table1_1[[#This Row],[Calculated sales]]-Table1_1[[#This Row],[Total cost]]</f>
        <v>47840</v>
      </c>
      <c r="V193" s="4">
        <f>IFERROR(Table1_1[[#This Row],[Profit/Loss]]/Table1_1[[#This Row],[Calculated sales]],0)</f>
        <v>0.36902190681888308</v>
      </c>
    </row>
    <row r="194" spans="1:22" x14ac:dyDescent="0.25">
      <c r="A194" s="4" t="s">
        <v>335</v>
      </c>
      <c r="B194" s="5">
        <v>45401</v>
      </c>
      <c r="C194" s="4">
        <f>YEAR(Table1_1[[#This Row],[Order Dates]])</f>
        <v>2024</v>
      </c>
      <c r="D194" s="6">
        <f>MONTH(Table1_1[[#This Row],[Order Dates]])</f>
        <v>4</v>
      </c>
      <c r="E194" s="4" t="s">
        <v>42</v>
      </c>
      <c r="F194" s="4" t="s">
        <v>43</v>
      </c>
      <c r="G194" s="4" t="s">
        <v>64</v>
      </c>
      <c r="H194" s="4" t="str">
        <f>TRIM(CLEAN(SUBSTITUTE(Table1_1[[#This Row],[Salesperson]],"   "," ")))</f>
        <v>Aditya Verma</v>
      </c>
      <c r="I194" s="4" t="s">
        <v>19</v>
      </c>
      <c r="J194" s="4" t="s">
        <v>59</v>
      </c>
      <c r="K194" s="4" t="s">
        <v>73</v>
      </c>
      <c r="L194" s="4" t="s">
        <v>113</v>
      </c>
      <c r="M194" s="4" t="s">
        <v>23</v>
      </c>
      <c r="N194" s="4" t="s">
        <v>24</v>
      </c>
      <c r="O194" s="4">
        <v>4</v>
      </c>
      <c r="P194" s="7">
        <v>34470</v>
      </c>
      <c r="Q194" s="8">
        <v>0.1</v>
      </c>
      <c r="R194" s="7">
        <v>20990</v>
      </c>
      <c r="S194" s="7">
        <f>Table1_1[[#This Row],[Units Sold]]*Table1_1[[#This Row],[Unit Price]]*(1-Table1_1[[#This Row],[Discount %]])</f>
        <v>124092</v>
      </c>
      <c r="T194" s="7">
        <f>Table1_1[[#This Row],[Units Sold]]*Table1_1[[#This Row],[Unit Cost]]</f>
        <v>83960</v>
      </c>
      <c r="U194" s="7">
        <f>Table1_1[[#This Row],[Calculated sales]]-Table1_1[[#This Row],[Total cost]]</f>
        <v>40132</v>
      </c>
      <c r="V194" s="4">
        <f>IFERROR(Table1_1[[#This Row],[Profit/Loss]]/Table1_1[[#This Row],[Calculated sales]],0)</f>
        <v>0.32340521548528511</v>
      </c>
    </row>
    <row r="195" spans="1:22" x14ac:dyDescent="0.25">
      <c r="A195" s="4" t="s">
        <v>336</v>
      </c>
      <c r="B195" s="5">
        <v>45401</v>
      </c>
      <c r="C195" s="4">
        <f>YEAR(Table1_1[[#This Row],[Order Dates]])</f>
        <v>2024</v>
      </c>
      <c r="D195" s="6">
        <f>MONTH(Table1_1[[#This Row],[Order Dates]])</f>
        <v>4</v>
      </c>
      <c r="E195" s="4" t="s">
        <v>16</v>
      </c>
      <c r="F195" s="4" t="s">
        <v>153</v>
      </c>
      <c r="G195" s="4" t="s">
        <v>18</v>
      </c>
      <c r="H195" s="4" t="str">
        <f>TRIM(CLEAN(SUBSTITUTE(Table1_1[[#This Row],[Salesperson]],"   "," ")))</f>
        <v>Imran Sheikh</v>
      </c>
      <c r="I195" s="4" t="s">
        <v>19</v>
      </c>
      <c r="J195" s="4" t="s">
        <v>20</v>
      </c>
      <c r="K195" s="4" t="s">
        <v>87</v>
      </c>
      <c r="L195" s="4" t="s">
        <v>1672</v>
      </c>
      <c r="M195" s="4" t="s">
        <v>40</v>
      </c>
      <c r="N195" s="4" t="s">
        <v>24</v>
      </c>
      <c r="O195" s="4">
        <v>1</v>
      </c>
      <c r="P195" s="7">
        <v>31750</v>
      </c>
      <c r="Q195" s="8">
        <v>0.08</v>
      </c>
      <c r="R195" s="7">
        <v>17860</v>
      </c>
      <c r="S195" s="7">
        <f>Table1_1[[#This Row],[Units Sold]]*Table1_1[[#This Row],[Unit Price]]*(1-Table1_1[[#This Row],[Discount %]])</f>
        <v>29210</v>
      </c>
      <c r="T195" s="7">
        <f>Table1_1[[#This Row],[Units Sold]]*Table1_1[[#This Row],[Unit Cost]]</f>
        <v>17860</v>
      </c>
      <c r="U195" s="7">
        <f>Table1_1[[#This Row],[Calculated sales]]-Table1_1[[#This Row],[Total cost]]</f>
        <v>11350</v>
      </c>
      <c r="V195" s="4">
        <f>IFERROR(Table1_1[[#This Row],[Profit/Loss]]/Table1_1[[#This Row],[Calculated sales]],0)</f>
        <v>0.38856555973981516</v>
      </c>
    </row>
    <row r="196" spans="1:22" x14ac:dyDescent="0.25">
      <c r="A196" s="4" t="s">
        <v>337</v>
      </c>
      <c r="B196" s="5">
        <v>45401</v>
      </c>
      <c r="C196" s="4">
        <f>YEAR(Table1_1[[#This Row],[Order Dates]])</f>
        <v>2024</v>
      </c>
      <c r="D196" s="6">
        <f>MONTH(Table1_1[[#This Row],[Order Dates]])</f>
        <v>4</v>
      </c>
      <c r="E196" s="4" t="s">
        <v>37</v>
      </c>
      <c r="F196" s="4" t="s">
        <v>67</v>
      </c>
      <c r="G196" s="4" t="s">
        <v>39</v>
      </c>
      <c r="H196" s="4" t="str">
        <f>TRIM(CLEAN(SUBSTITUTE(Table1_1[[#This Row],[Salesperson]],"   "," ")))</f>
        <v>Sourav Das</v>
      </c>
      <c r="I196" s="4" t="s">
        <v>19</v>
      </c>
      <c r="J196" s="4" t="s">
        <v>27</v>
      </c>
      <c r="K196" s="4" t="s">
        <v>79</v>
      </c>
      <c r="L196" s="4" t="s">
        <v>262</v>
      </c>
      <c r="M196" s="4" t="s">
        <v>23</v>
      </c>
      <c r="N196" s="4" t="s">
        <v>24</v>
      </c>
      <c r="O196" s="4">
        <v>12</v>
      </c>
      <c r="P196" s="7">
        <v>2470</v>
      </c>
      <c r="Q196" s="8">
        <v>0.12</v>
      </c>
      <c r="R196" s="7">
        <v>1520</v>
      </c>
      <c r="S196" s="7">
        <f>Table1_1[[#This Row],[Units Sold]]*Table1_1[[#This Row],[Unit Price]]*(1-Table1_1[[#This Row],[Discount %]])</f>
        <v>26083.200000000001</v>
      </c>
      <c r="T196" s="7">
        <f>Table1_1[[#This Row],[Units Sold]]*Table1_1[[#This Row],[Unit Cost]]</f>
        <v>18240</v>
      </c>
      <c r="U196" s="7">
        <f>Table1_1[[#This Row],[Calculated sales]]-Table1_1[[#This Row],[Total cost]]</f>
        <v>7843.2000000000007</v>
      </c>
      <c r="V196" s="4">
        <f>IFERROR(Table1_1[[#This Row],[Profit/Loss]]/Table1_1[[#This Row],[Calculated sales]],0)</f>
        <v>0.30069930069930073</v>
      </c>
    </row>
    <row r="197" spans="1:22" x14ac:dyDescent="0.25">
      <c r="A197" s="4" t="s">
        <v>338</v>
      </c>
      <c r="B197" s="5">
        <v>45402</v>
      </c>
      <c r="C197" s="4">
        <f>YEAR(Table1_1[[#This Row],[Order Dates]])</f>
        <v>2024</v>
      </c>
      <c r="D197" s="6">
        <f>MONTH(Table1_1[[#This Row],[Order Dates]])</f>
        <v>4</v>
      </c>
      <c r="E197" s="4" t="s">
        <v>56</v>
      </c>
      <c r="F197" s="4" t="s">
        <v>127</v>
      </c>
      <c r="G197" s="4" t="s">
        <v>134</v>
      </c>
      <c r="H197" s="4" t="str">
        <f>TRIM(CLEAN(SUBSTITUTE(Table1_1[[#This Row],[Salesperson]],"   "," ")))</f>
        <v>Divya Nair</v>
      </c>
      <c r="I197" s="4" t="s">
        <v>45</v>
      </c>
      <c r="J197" s="4" t="s">
        <v>46</v>
      </c>
      <c r="K197" s="4" t="s">
        <v>179</v>
      </c>
      <c r="L197" s="4" t="s">
        <v>221</v>
      </c>
      <c r="M197" s="4" t="s">
        <v>40</v>
      </c>
      <c r="N197" s="4" t="s">
        <v>24</v>
      </c>
      <c r="O197" s="4">
        <v>70</v>
      </c>
      <c r="P197" s="7">
        <v>1720</v>
      </c>
      <c r="Q197" s="8">
        <v>0.12</v>
      </c>
      <c r="R197" s="7">
        <v>1120</v>
      </c>
      <c r="S197" s="7">
        <f>Table1_1[[#This Row],[Units Sold]]*Table1_1[[#This Row],[Unit Price]]*(1-Table1_1[[#This Row],[Discount %]])</f>
        <v>105952</v>
      </c>
      <c r="T197" s="7">
        <f>Table1_1[[#This Row],[Units Sold]]*Table1_1[[#This Row],[Unit Cost]]</f>
        <v>78400</v>
      </c>
      <c r="U197" s="7">
        <f>Table1_1[[#This Row],[Calculated sales]]-Table1_1[[#This Row],[Total cost]]</f>
        <v>27552</v>
      </c>
      <c r="V197" s="4">
        <f>IFERROR(Table1_1[[#This Row],[Profit/Loss]]/Table1_1[[#This Row],[Calculated sales]],0)</f>
        <v>0.26004228329809725</v>
      </c>
    </row>
    <row r="198" spans="1:22" x14ac:dyDescent="0.25">
      <c r="A198" s="4" t="s">
        <v>339</v>
      </c>
      <c r="B198" s="5">
        <v>45403</v>
      </c>
      <c r="C198" s="4">
        <f>YEAR(Table1_1[[#This Row],[Order Dates]])</f>
        <v>2024</v>
      </c>
      <c r="D198" s="6">
        <f>MONTH(Table1_1[[#This Row],[Order Dates]])</f>
        <v>4</v>
      </c>
      <c r="E198" s="4" t="s">
        <v>56</v>
      </c>
      <c r="F198" s="4" t="s">
        <v>133</v>
      </c>
      <c r="G198" s="4" t="s">
        <v>91</v>
      </c>
      <c r="H198" s="4" t="str">
        <f>TRIM(CLEAN(SUBSTITUTE(Table1_1[[#This Row],[Salesperson]],"   "," ")))</f>
        <v>Anjali Menon</v>
      </c>
      <c r="I198" s="4" t="s">
        <v>52</v>
      </c>
      <c r="J198" s="4" t="s">
        <v>20</v>
      </c>
      <c r="K198" s="4" t="s">
        <v>33</v>
      </c>
      <c r="L198" s="4" t="s">
        <v>34</v>
      </c>
      <c r="M198" s="4" t="s">
        <v>23</v>
      </c>
      <c r="N198" s="4" t="s">
        <v>94</v>
      </c>
      <c r="O198" s="4">
        <v>3</v>
      </c>
      <c r="P198" s="7">
        <v>54670</v>
      </c>
      <c r="Q198" s="8">
        <v>0.15</v>
      </c>
      <c r="R198" s="7">
        <v>31590</v>
      </c>
      <c r="S198" s="7">
        <f>Table1_1[[#This Row],[Units Sold]]*Table1_1[[#This Row],[Unit Price]]*(1-Table1_1[[#This Row],[Discount %]])</f>
        <v>139408.5</v>
      </c>
      <c r="T198" s="7">
        <f>Table1_1[[#This Row],[Units Sold]]*Table1_1[[#This Row],[Unit Cost]]</f>
        <v>94770</v>
      </c>
      <c r="U198" s="7">
        <f>Table1_1[[#This Row],[Calculated sales]]-Table1_1[[#This Row],[Total cost]]</f>
        <v>44638.5</v>
      </c>
      <c r="V198" s="4">
        <f>IFERROR(Table1_1[[#This Row],[Profit/Loss]]/Table1_1[[#This Row],[Calculated sales]],0)</f>
        <v>0.32019927048924562</v>
      </c>
    </row>
    <row r="199" spans="1:22" x14ac:dyDescent="0.25">
      <c r="A199" s="4" t="s">
        <v>340</v>
      </c>
      <c r="B199" s="5">
        <v>45403</v>
      </c>
      <c r="C199" s="4">
        <f>YEAR(Table1_1[[#This Row],[Order Dates]])</f>
        <v>2024</v>
      </c>
      <c r="D199" s="6">
        <f>MONTH(Table1_1[[#This Row],[Order Dates]])</f>
        <v>4</v>
      </c>
      <c r="E199" s="4" t="s">
        <v>42</v>
      </c>
      <c r="F199" s="4" t="s">
        <v>265</v>
      </c>
      <c r="G199" s="4" t="s">
        <v>64</v>
      </c>
      <c r="H199" s="4" t="str">
        <f>TRIM(CLEAN(SUBSTITUTE(Table1_1[[#This Row],[Salesperson]],"   "," ")))</f>
        <v>Aditya Verma</v>
      </c>
      <c r="I199" s="4" t="s">
        <v>92</v>
      </c>
      <c r="J199" s="4" t="s">
        <v>20</v>
      </c>
      <c r="K199" s="4" t="s">
        <v>87</v>
      </c>
      <c r="L199" s="4" t="s">
        <v>1674</v>
      </c>
      <c r="M199" s="4" t="s">
        <v>40</v>
      </c>
      <c r="N199" s="4" t="s">
        <v>24</v>
      </c>
      <c r="O199" s="4">
        <v>2</v>
      </c>
      <c r="P199" s="7">
        <v>55270</v>
      </c>
      <c r="Q199" s="8">
        <v>0.18</v>
      </c>
      <c r="R199" s="7">
        <v>42730</v>
      </c>
      <c r="S199" s="7">
        <f>Table1_1[[#This Row],[Units Sold]]*Table1_1[[#This Row],[Unit Price]]*(1-Table1_1[[#This Row],[Discount %]])</f>
        <v>90642.8</v>
      </c>
      <c r="T199" s="7">
        <f>Table1_1[[#This Row],[Units Sold]]*Table1_1[[#This Row],[Unit Cost]]</f>
        <v>85460</v>
      </c>
      <c r="U199" s="7">
        <f>Table1_1[[#This Row],[Calculated sales]]-Table1_1[[#This Row],[Total cost]]</f>
        <v>5182.8000000000029</v>
      </c>
      <c r="V199" s="4">
        <f>IFERROR(Table1_1[[#This Row],[Profit/Loss]]/Table1_1[[#This Row],[Calculated sales]],0)</f>
        <v>5.7178286637217766E-2</v>
      </c>
    </row>
    <row r="200" spans="1:22" x14ac:dyDescent="0.25">
      <c r="A200" s="4" t="s">
        <v>341</v>
      </c>
      <c r="B200" s="5">
        <v>45404</v>
      </c>
      <c r="C200" s="4">
        <f>YEAR(Table1_1[[#This Row],[Order Dates]])</f>
        <v>2024</v>
      </c>
      <c r="D200" s="6">
        <f>MONTH(Table1_1[[#This Row],[Order Dates]])</f>
        <v>4</v>
      </c>
      <c r="E200" s="4" t="s">
        <v>56</v>
      </c>
      <c r="F200" s="4" t="s">
        <v>143</v>
      </c>
      <c r="G200" s="4" t="s">
        <v>134</v>
      </c>
      <c r="H200" s="4" t="str">
        <f>TRIM(CLEAN(SUBSTITUTE(Table1_1[[#This Row],[Salesperson]],"   "," ")))</f>
        <v>Divya Nair</v>
      </c>
      <c r="I200" s="4" t="s">
        <v>19</v>
      </c>
      <c r="J200" s="4" t="s">
        <v>59</v>
      </c>
      <c r="K200" s="4" t="s">
        <v>73</v>
      </c>
      <c r="L200" s="4" t="s">
        <v>74</v>
      </c>
      <c r="M200" s="4" t="s">
        <v>49</v>
      </c>
      <c r="N200" s="4" t="s">
        <v>24</v>
      </c>
      <c r="O200" s="4">
        <v>3</v>
      </c>
      <c r="P200" s="7">
        <v>42950</v>
      </c>
      <c r="Q200" s="8">
        <v>0.12</v>
      </c>
      <c r="R200" s="7">
        <v>30320</v>
      </c>
      <c r="S200" s="7">
        <f>Table1_1[[#This Row],[Units Sold]]*Table1_1[[#This Row],[Unit Price]]*(1-Table1_1[[#This Row],[Discount %]])</f>
        <v>113388</v>
      </c>
      <c r="T200" s="7">
        <f>Table1_1[[#This Row],[Units Sold]]*Table1_1[[#This Row],[Unit Cost]]</f>
        <v>90960</v>
      </c>
      <c r="U200" s="7">
        <f>Table1_1[[#This Row],[Calculated sales]]-Table1_1[[#This Row],[Total cost]]</f>
        <v>22428</v>
      </c>
      <c r="V200" s="4">
        <f>IFERROR(Table1_1[[#This Row],[Profit/Loss]]/Table1_1[[#This Row],[Calculated sales]],0)</f>
        <v>0.19779870885808021</v>
      </c>
    </row>
    <row r="201" spans="1:22" x14ac:dyDescent="0.25">
      <c r="A201" s="4" t="s">
        <v>342</v>
      </c>
      <c r="B201" s="5">
        <v>45404</v>
      </c>
      <c r="C201" s="4">
        <f>YEAR(Table1_1[[#This Row],[Order Dates]])</f>
        <v>2024</v>
      </c>
      <c r="D201" s="6">
        <f>MONTH(Table1_1[[#This Row],[Order Dates]])</f>
        <v>4</v>
      </c>
      <c r="E201" s="4" t="s">
        <v>42</v>
      </c>
      <c r="F201" s="4" t="s">
        <v>265</v>
      </c>
      <c r="G201" s="4" t="s">
        <v>97</v>
      </c>
      <c r="H201" s="4" t="str">
        <f>TRIM(CLEAN(SUBSTITUTE(Table1_1[[#This Row],[Salesperson]],"   "," ")))</f>
        <v>Rohit Malhotra</v>
      </c>
      <c r="I201" s="4" t="s">
        <v>19</v>
      </c>
      <c r="J201" s="4" t="s">
        <v>46</v>
      </c>
      <c r="K201" s="4" t="s">
        <v>100</v>
      </c>
      <c r="L201" s="4" t="s">
        <v>177</v>
      </c>
      <c r="M201" s="4" t="s">
        <v>23</v>
      </c>
      <c r="N201" s="4" t="s">
        <v>24</v>
      </c>
      <c r="O201" s="4">
        <v>28</v>
      </c>
      <c r="P201" s="7">
        <v>2560</v>
      </c>
      <c r="Q201" s="8">
        <v>0.08</v>
      </c>
      <c r="R201" s="7">
        <v>1600</v>
      </c>
      <c r="S201" s="7">
        <f>Table1_1[[#This Row],[Units Sold]]*Table1_1[[#This Row],[Unit Price]]*(1-Table1_1[[#This Row],[Discount %]])</f>
        <v>65945.600000000006</v>
      </c>
      <c r="T201" s="7">
        <f>Table1_1[[#This Row],[Units Sold]]*Table1_1[[#This Row],[Unit Cost]]</f>
        <v>44800</v>
      </c>
      <c r="U201" s="7">
        <f>Table1_1[[#This Row],[Calculated sales]]-Table1_1[[#This Row],[Total cost]]</f>
        <v>21145.600000000006</v>
      </c>
      <c r="V201" s="4">
        <f>IFERROR(Table1_1[[#This Row],[Profit/Loss]]/Table1_1[[#This Row],[Calculated sales]],0)</f>
        <v>0.32065217391304351</v>
      </c>
    </row>
    <row r="202" spans="1:22" x14ac:dyDescent="0.25">
      <c r="A202" s="4" t="s">
        <v>343</v>
      </c>
      <c r="B202" s="5">
        <v>45406</v>
      </c>
      <c r="C202" s="4">
        <f>YEAR(Table1_1[[#This Row],[Order Dates]])</f>
        <v>2024</v>
      </c>
      <c r="D202" s="6">
        <f>MONTH(Table1_1[[#This Row],[Order Dates]])</f>
        <v>4</v>
      </c>
      <c r="E202" s="4" t="s">
        <v>56</v>
      </c>
      <c r="F202" s="4" t="s">
        <v>57</v>
      </c>
      <c r="G202" s="4" t="s">
        <v>91</v>
      </c>
      <c r="H202" s="4" t="str">
        <f>TRIM(CLEAN(SUBSTITUTE(Table1_1[[#This Row],[Salesperson]],"   "," ")))</f>
        <v>Anjali Menon</v>
      </c>
      <c r="I202" s="4" t="s">
        <v>19</v>
      </c>
      <c r="J202" s="4" t="s">
        <v>27</v>
      </c>
      <c r="K202" s="4" t="s">
        <v>53</v>
      </c>
      <c r="L202" s="4" t="s">
        <v>1669</v>
      </c>
      <c r="M202" s="4" t="s">
        <v>40</v>
      </c>
      <c r="N202" s="4" t="s">
        <v>24</v>
      </c>
      <c r="O202" s="4">
        <v>2</v>
      </c>
      <c r="P202" s="7">
        <v>42470</v>
      </c>
      <c r="Q202" s="8">
        <v>0.05</v>
      </c>
      <c r="R202" s="7">
        <v>31170</v>
      </c>
      <c r="S202" s="7">
        <f>Table1_1[[#This Row],[Units Sold]]*Table1_1[[#This Row],[Unit Price]]*(1-Table1_1[[#This Row],[Discount %]])</f>
        <v>80693</v>
      </c>
      <c r="T202" s="7">
        <f>Table1_1[[#This Row],[Units Sold]]*Table1_1[[#This Row],[Unit Cost]]</f>
        <v>62340</v>
      </c>
      <c r="U202" s="7">
        <f>Table1_1[[#This Row],[Calculated sales]]-Table1_1[[#This Row],[Total cost]]</f>
        <v>18353</v>
      </c>
      <c r="V202" s="4">
        <f>IFERROR(Table1_1[[#This Row],[Profit/Loss]]/Table1_1[[#This Row],[Calculated sales]],0)</f>
        <v>0.22744228123876917</v>
      </c>
    </row>
    <row r="203" spans="1:22" x14ac:dyDescent="0.25">
      <c r="A203" s="4" t="s">
        <v>344</v>
      </c>
      <c r="B203" s="5">
        <v>45406</v>
      </c>
      <c r="C203" s="4">
        <f>YEAR(Table1_1[[#This Row],[Order Dates]])</f>
        <v>2024</v>
      </c>
      <c r="D203" s="6">
        <f>MONTH(Table1_1[[#This Row],[Order Dates]])</f>
        <v>4</v>
      </c>
      <c r="E203" s="4" t="s">
        <v>16</v>
      </c>
      <c r="F203" s="4" t="s">
        <v>82</v>
      </c>
      <c r="G203" s="4" t="s">
        <v>18</v>
      </c>
      <c r="H203" s="4" t="str">
        <f>TRIM(CLEAN(SUBSTITUTE(Table1_1[[#This Row],[Salesperson]],"   "," ")))</f>
        <v>Imran Sheikh</v>
      </c>
      <c r="I203" s="4" t="s">
        <v>19</v>
      </c>
      <c r="J203" s="4" t="s">
        <v>46</v>
      </c>
      <c r="K203" s="4" t="s">
        <v>47</v>
      </c>
      <c r="L203" s="4" t="s">
        <v>48</v>
      </c>
      <c r="M203" s="4" t="s">
        <v>23</v>
      </c>
      <c r="N203" s="4" t="s">
        <v>24</v>
      </c>
      <c r="O203" s="4">
        <v>37</v>
      </c>
      <c r="P203" s="7">
        <v>1750</v>
      </c>
      <c r="Q203" s="8">
        <v>0</v>
      </c>
      <c r="R203" s="7">
        <v>1100</v>
      </c>
      <c r="S203" s="7">
        <f>Table1_1[[#This Row],[Units Sold]]*Table1_1[[#This Row],[Unit Price]]*(1-Table1_1[[#This Row],[Discount %]])</f>
        <v>64750</v>
      </c>
      <c r="T203" s="7">
        <f>Table1_1[[#This Row],[Units Sold]]*Table1_1[[#This Row],[Unit Cost]]</f>
        <v>40700</v>
      </c>
      <c r="U203" s="7">
        <f>Table1_1[[#This Row],[Calculated sales]]-Table1_1[[#This Row],[Total cost]]</f>
        <v>24050</v>
      </c>
      <c r="V203" s="4">
        <f>IFERROR(Table1_1[[#This Row],[Profit/Loss]]/Table1_1[[#This Row],[Calculated sales]],0)</f>
        <v>0.37142857142857144</v>
      </c>
    </row>
    <row r="204" spans="1:22" x14ac:dyDescent="0.25">
      <c r="A204" s="4" t="s">
        <v>345</v>
      </c>
      <c r="B204" s="5">
        <v>45406</v>
      </c>
      <c r="C204" s="4">
        <f>YEAR(Table1_1[[#This Row],[Order Dates]])</f>
        <v>2024</v>
      </c>
      <c r="D204" s="6">
        <f>MONTH(Table1_1[[#This Row],[Order Dates]])</f>
        <v>4</v>
      </c>
      <c r="E204" s="4" t="s">
        <v>16</v>
      </c>
      <c r="F204" s="4" t="s">
        <v>31</v>
      </c>
      <c r="G204" s="4" t="s">
        <v>26</v>
      </c>
      <c r="H204" s="4" t="str">
        <f>TRIM(CLEAN(SUBSTITUTE(Table1_1[[#This Row],[Salesperson]],"   "," ")))</f>
        <v>Prateek Shah</v>
      </c>
      <c r="I204" s="4" t="s">
        <v>92</v>
      </c>
      <c r="J204" s="4" t="s">
        <v>20</v>
      </c>
      <c r="K204" s="4" t="s">
        <v>33</v>
      </c>
      <c r="L204" s="4" t="s">
        <v>34</v>
      </c>
      <c r="M204" s="4" t="s">
        <v>23</v>
      </c>
      <c r="N204" s="4" t="s">
        <v>24</v>
      </c>
      <c r="O204" s="4">
        <v>4</v>
      </c>
      <c r="P204" s="7">
        <v>52410</v>
      </c>
      <c r="Q204" s="8">
        <v>0</v>
      </c>
      <c r="R204" s="7">
        <v>41220</v>
      </c>
      <c r="S204" s="7">
        <f>Table1_1[[#This Row],[Units Sold]]*Table1_1[[#This Row],[Unit Price]]*(1-Table1_1[[#This Row],[Discount %]])</f>
        <v>209640</v>
      </c>
      <c r="T204" s="7">
        <f>Table1_1[[#This Row],[Units Sold]]*Table1_1[[#This Row],[Unit Cost]]</f>
        <v>164880</v>
      </c>
      <c r="U204" s="7">
        <f>Table1_1[[#This Row],[Calculated sales]]-Table1_1[[#This Row],[Total cost]]</f>
        <v>44760</v>
      </c>
      <c r="V204" s="4">
        <f>IFERROR(Table1_1[[#This Row],[Profit/Loss]]/Table1_1[[#This Row],[Calculated sales]],0)</f>
        <v>0.21350887235260446</v>
      </c>
    </row>
    <row r="205" spans="1:22" x14ac:dyDescent="0.25">
      <c r="A205" s="4" t="s">
        <v>346</v>
      </c>
      <c r="B205" s="5">
        <v>45406</v>
      </c>
      <c r="C205" s="4">
        <f>YEAR(Table1_1[[#This Row],[Order Dates]])</f>
        <v>2024</v>
      </c>
      <c r="D205" s="6">
        <f>MONTH(Table1_1[[#This Row],[Order Dates]])</f>
        <v>4</v>
      </c>
      <c r="E205" s="4" t="s">
        <v>42</v>
      </c>
      <c r="F205" s="4" t="s">
        <v>96</v>
      </c>
      <c r="G205" s="4" t="s">
        <v>44</v>
      </c>
      <c r="H205" s="4" t="str">
        <f>TRIM(CLEAN(SUBSTITUTE(Table1_1[[#This Row],[Salesperson]],"   "," ")))</f>
        <v>Simran Kaur</v>
      </c>
      <c r="I205" s="4" t="s">
        <v>19</v>
      </c>
      <c r="J205" s="4" t="s">
        <v>46</v>
      </c>
      <c r="K205" s="4" t="s">
        <v>100</v>
      </c>
      <c r="L205" s="4" t="s">
        <v>101</v>
      </c>
      <c r="M205" s="4" t="s">
        <v>40</v>
      </c>
      <c r="N205" s="4" t="s">
        <v>24</v>
      </c>
      <c r="O205" s="4">
        <v>21</v>
      </c>
      <c r="P205" s="7">
        <v>1990</v>
      </c>
      <c r="Q205" s="8">
        <v>0.1</v>
      </c>
      <c r="R205" s="7">
        <v>1130</v>
      </c>
      <c r="S205" s="7">
        <f>Table1_1[[#This Row],[Units Sold]]*Table1_1[[#This Row],[Unit Price]]*(1-Table1_1[[#This Row],[Discount %]])</f>
        <v>37611</v>
      </c>
      <c r="T205" s="7">
        <f>Table1_1[[#This Row],[Units Sold]]*Table1_1[[#This Row],[Unit Cost]]</f>
        <v>23730</v>
      </c>
      <c r="U205" s="7">
        <f>Table1_1[[#This Row],[Calculated sales]]-Table1_1[[#This Row],[Total cost]]</f>
        <v>13881</v>
      </c>
      <c r="V205" s="4">
        <f>IFERROR(Table1_1[[#This Row],[Profit/Loss]]/Table1_1[[#This Row],[Calculated sales]],0)</f>
        <v>0.36906756002233387</v>
      </c>
    </row>
    <row r="206" spans="1:22" x14ac:dyDescent="0.25">
      <c r="A206" s="4" t="s">
        <v>347</v>
      </c>
      <c r="B206" s="5">
        <v>45406</v>
      </c>
      <c r="C206" s="4">
        <f>YEAR(Table1_1[[#This Row],[Order Dates]])</f>
        <v>2024</v>
      </c>
      <c r="D206" s="6">
        <f>MONTH(Table1_1[[#This Row],[Order Dates]])</f>
        <v>4</v>
      </c>
      <c r="E206" s="4" t="s">
        <v>42</v>
      </c>
      <c r="F206" s="4" t="s">
        <v>43</v>
      </c>
      <c r="G206" s="4" t="s">
        <v>97</v>
      </c>
      <c r="H206" s="4" t="str">
        <f>TRIM(CLEAN(SUBSTITUTE(Table1_1[[#This Row],[Salesperson]],"   "," ")))</f>
        <v>Rohit Malhotra</v>
      </c>
      <c r="I206" s="4" t="s">
        <v>19</v>
      </c>
      <c r="J206" s="4" t="s">
        <v>20</v>
      </c>
      <c r="K206" s="4" t="s">
        <v>33</v>
      </c>
      <c r="L206" s="4" t="s">
        <v>1677</v>
      </c>
      <c r="M206" s="4" t="s">
        <v>40</v>
      </c>
      <c r="N206" s="4" t="s">
        <v>119</v>
      </c>
      <c r="O206" s="4">
        <v>4</v>
      </c>
      <c r="P206" s="7">
        <v>61350</v>
      </c>
      <c r="Q206" s="8">
        <v>0.08</v>
      </c>
      <c r="R206" s="7">
        <v>36520</v>
      </c>
      <c r="S206" s="7">
        <f>Table1_1[[#This Row],[Units Sold]]*Table1_1[[#This Row],[Unit Price]]*(1-Table1_1[[#This Row],[Discount %]])</f>
        <v>225768</v>
      </c>
      <c r="T206" s="7">
        <f>Table1_1[[#This Row],[Units Sold]]*Table1_1[[#This Row],[Unit Cost]]</f>
        <v>146080</v>
      </c>
      <c r="U206" s="7">
        <f>Table1_1[[#This Row],[Calculated sales]]-Table1_1[[#This Row],[Total cost]]</f>
        <v>79688</v>
      </c>
      <c r="V206" s="4">
        <f>IFERROR(Table1_1[[#This Row],[Profit/Loss]]/Table1_1[[#This Row],[Calculated sales]],0)</f>
        <v>0.35296410474469364</v>
      </c>
    </row>
    <row r="207" spans="1:22" x14ac:dyDescent="0.25">
      <c r="A207" s="4" t="s">
        <v>348</v>
      </c>
      <c r="B207" s="5">
        <v>45407</v>
      </c>
      <c r="C207" s="4">
        <f>YEAR(Table1_1[[#This Row],[Order Dates]])</f>
        <v>2024</v>
      </c>
      <c r="D207" s="6">
        <f>MONTH(Table1_1[[#This Row],[Order Dates]])</f>
        <v>4</v>
      </c>
      <c r="E207" s="4" t="s">
        <v>76</v>
      </c>
      <c r="F207" s="4" t="s">
        <v>112</v>
      </c>
      <c r="G207" s="4" t="s">
        <v>170</v>
      </c>
      <c r="H207" s="4" t="str">
        <f>TRIM(CLEAN(SUBSTITUTE(Table1_1[[#This Row],[Salesperson]],"   "," ")))</f>
        <v>Manish Tiwari</v>
      </c>
      <c r="I207" s="4" t="s">
        <v>45</v>
      </c>
      <c r="J207" s="4" t="s">
        <v>46</v>
      </c>
      <c r="K207" s="4" t="s">
        <v>179</v>
      </c>
      <c r="L207" s="4" t="s">
        <v>236</v>
      </c>
      <c r="M207" s="4" t="s">
        <v>23</v>
      </c>
      <c r="N207" s="4" t="s">
        <v>24</v>
      </c>
      <c r="O207" s="4">
        <v>45</v>
      </c>
      <c r="P207" s="7">
        <v>2180</v>
      </c>
      <c r="Q207" s="8">
        <v>0.12</v>
      </c>
      <c r="R207" s="7">
        <v>1370</v>
      </c>
      <c r="S207" s="7">
        <f>Table1_1[[#This Row],[Units Sold]]*Table1_1[[#This Row],[Unit Price]]*(1-Table1_1[[#This Row],[Discount %]])</f>
        <v>86328</v>
      </c>
      <c r="T207" s="7">
        <f>Table1_1[[#This Row],[Units Sold]]*Table1_1[[#This Row],[Unit Cost]]</f>
        <v>61650</v>
      </c>
      <c r="U207" s="7">
        <f>Table1_1[[#This Row],[Calculated sales]]-Table1_1[[#This Row],[Total cost]]</f>
        <v>24678</v>
      </c>
      <c r="V207" s="4">
        <f>IFERROR(Table1_1[[#This Row],[Profit/Loss]]/Table1_1[[#This Row],[Calculated sales]],0)</f>
        <v>0.28586321934945791</v>
      </c>
    </row>
    <row r="208" spans="1:22" x14ac:dyDescent="0.25">
      <c r="A208" s="4" t="s">
        <v>349</v>
      </c>
      <c r="B208" s="5">
        <v>45407</v>
      </c>
      <c r="C208" s="4">
        <f>YEAR(Table1_1[[#This Row],[Order Dates]])</f>
        <v>2024</v>
      </c>
      <c r="D208" s="6">
        <f>MONTH(Table1_1[[#This Row],[Order Dates]])</f>
        <v>4</v>
      </c>
      <c r="E208" s="4" t="s">
        <v>16</v>
      </c>
      <c r="F208" s="4" t="s">
        <v>191</v>
      </c>
      <c r="G208" s="4" t="s">
        <v>18</v>
      </c>
      <c r="H208" s="4" t="str">
        <f>TRIM(CLEAN(SUBSTITUTE(Table1_1[[#This Row],[Salesperson]],"   "," ")))</f>
        <v>Imran Sheikh</v>
      </c>
      <c r="I208" s="4" t="s">
        <v>19</v>
      </c>
      <c r="J208" s="4" t="s">
        <v>27</v>
      </c>
      <c r="K208" s="4" t="s">
        <v>79</v>
      </c>
      <c r="L208" s="4" t="s">
        <v>168</v>
      </c>
      <c r="M208" s="4" t="s">
        <v>40</v>
      </c>
      <c r="N208" s="4" t="s">
        <v>24</v>
      </c>
      <c r="O208" s="4">
        <v>14</v>
      </c>
      <c r="P208" s="7">
        <v>9420</v>
      </c>
      <c r="Q208" s="8">
        <v>0.15</v>
      </c>
      <c r="R208" s="7">
        <v>7150</v>
      </c>
      <c r="S208" s="7">
        <f>Table1_1[[#This Row],[Units Sold]]*Table1_1[[#This Row],[Unit Price]]*(1-Table1_1[[#This Row],[Discount %]])</f>
        <v>112098</v>
      </c>
      <c r="T208" s="7">
        <f>Table1_1[[#This Row],[Units Sold]]*Table1_1[[#This Row],[Unit Cost]]</f>
        <v>100100</v>
      </c>
      <c r="U208" s="7">
        <f>Table1_1[[#This Row],[Calculated sales]]-Table1_1[[#This Row],[Total cost]]</f>
        <v>11998</v>
      </c>
      <c r="V208" s="4">
        <f>IFERROR(Table1_1[[#This Row],[Profit/Loss]]/Table1_1[[#This Row],[Calculated sales]],0)</f>
        <v>0.10703134757087548</v>
      </c>
    </row>
    <row r="209" spans="1:22" x14ac:dyDescent="0.25">
      <c r="A209" s="4" t="s">
        <v>351</v>
      </c>
      <c r="B209" s="5">
        <v>45409</v>
      </c>
      <c r="C209" s="4">
        <f>YEAR(Table1_1[[#This Row],[Order Dates]])</f>
        <v>2024</v>
      </c>
      <c r="D209" s="6">
        <f>MONTH(Table1_1[[#This Row],[Order Dates]])</f>
        <v>4</v>
      </c>
      <c r="E209" s="4" t="s">
        <v>42</v>
      </c>
      <c r="F209" s="4" t="s">
        <v>123</v>
      </c>
      <c r="G209" s="4" t="s">
        <v>44</v>
      </c>
      <c r="H209" s="4" t="str">
        <f>TRIM(CLEAN(SUBSTITUTE(Table1_1[[#This Row],[Salesperson]],"   "," ")))</f>
        <v>Simran Kaur</v>
      </c>
      <c r="I209" s="4" t="s">
        <v>52</v>
      </c>
      <c r="J209" s="4" t="s">
        <v>46</v>
      </c>
      <c r="K209" s="4" t="s">
        <v>100</v>
      </c>
      <c r="L209" s="4" t="s">
        <v>101</v>
      </c>
      <c r="M209" s="4" t="s">
        <v>23</v>
      </c>
      <c r="N209" s="4" t="s">
        <v>94</v>
      </c>
      <c r="O209" s="4">
        <v>29</v>
      </c>
      <c r="P209" s="7">
        <v>1910</v>
      </c>
      <c r="Q209" s="8">
        <v>0.12</v>
      </c>
      <c r="R209" s="7">
        <v>1230</v>
      </c>
      <c r="S209" s="7">
        <f>Table1_1[[#This Row],[Units Sold]]*Table1_1[[#This Row],[Unit Price]]*(1-Table1_1[[#This Row],[Discount %]])</f>
        <v>48743.199999999997</v>
      </c>
      <c r="T209" s="7">
        <f>Table1_1[[#This Row],[Units Sold]]*Table1_1[[#This Row],[Unit Cost]]</f>
        <v>35670</v>
      </c>
      <c r="U209" s="7">
        <f>Table1_1[[#This Row],[Calculated sales]]-Table1_1[[#This Row],[Total cost]]</f>
        <v>13073.199999999997</v>
      </c>
      <c r="V209" s="4">
        <f>IFERROR(Table1_1[[#This Row],[Profit/Loss]]/Table1_1[[#This Row],[Calculated sales]],0)</f>
        <v>0.2682056163731556</v>
      </c>
    </row>
    <row r="210" spans="1:22" x14ac:dyDescent="0.25">
      <c r="A210" s="4" t="s">
        <v>352</v>
      </c>
      <c r="B210" s="5">
        <v>45409</v>
      </c>
      <c r="C210" s="4">
        <f>YEAR(Table1_1[[#This Row],[Order Dates]])</f>
        <v>2024</v>
      </c>
      <c r="D210" s="6">
        <f>MONTH(Table1_1[[#This Row],[Order Dates]])</f>
        <v>4</v>
      </c>
      <c r="E210" s="4" t="s">
        <v>37</v>
      </c>
      <c r="F210" s="4" t="s">
        <v>115</v>
      </c>
      <c r="G210" s="4" t="s">
        <v>39</v>
      </c>
      <c r="H210" s="4" t="str">
        <f>TRIM(CLEAN(SUBSTITUTE(Table1_1[[#This Row],[Salesperson]],"   "," ")))</f>
        <v>Sourav Das</v>
      </c>
      <c r="I210" s="4" t="s">
        <v>19</v>
      </c>
      <c r="J210" s="4" t="s">
        <v>83</v>
      </c>
      <c r="K210" s="4" t="s">
        <v>84</v>
      </c>
      <c r="L210" s="4" t="s">
        <v>1671</v>
      </c>
      <c r="M210" s="4" t="s">
        <v>40</v>
      </c>
      <c r="N210" s="4" t="s">
        <v>119</v>
      </c>
      <c r="O210" s="4">
        <v>19</v>
      </c>
      <c r="P210" s="7">
        <v>2520</v>
      </c>
      <c r="Q210" s="8">
        <v>0.15</v>
      </c>
      <c r="R210" s="7">
        <v>1490</v>
      </c>
      <c r="S210" s="7">
        <f>Table1_1[[#This Row],[Units Sold]]*Table1_1[[#This Row],[Unit Price]]*(1-Table1_1[[#This Row],[Discount %]])</f>
        <v>40698</v>
      </c>
      <c r="T210" s="7">
        <f>Table1_1[[#This Row],[Units Sold]]*Table1_1[[#This Row],[Unit Cost]]</f>
        <v>28310</v>
      </c>
      <c r="U210" s="7">
        <f>Table1_1[[#This Row],[Calculated sales]]-Table1_1[[#This Row],[Total cost]]</f>
        <v>12388</v>
      </c>
      <c r="V210" s="4">
        <f>IFERROR(Table1_1[[#This Row],[Profit/Loss]]/Table1_1[[#This Row],[Calculated sales]],0)</f>
        <v>0.30438842203548083</v>
      </c>
    </row>
    <row r="211" spans="1:22" x14ac:dyDescent="0.25">
      <c r="A211" s="4" t="s">
        <v>353</v>
      </c>
      <c r="B211" s="5">
        <v>45410</v>
      </c>
      <c r="C211" s="4">
        <f>YEAR(Table1_1[[#This Row],[Order Dates]])</f>
        <v>2024</v>
      </c>
      <c r="D211" s="6">
        <f>MONTH(Table1_1[[#This Row],[Order Dates]])</f>
        <v>4</v>
      </c>
      <c r="E211" s="4" t="s">
        <v>42</v>
      </c>
      <c r="F211" s="4" t="s">
        <v>43</v>
      </c>
      <c r="G211" s="4" t="s">
        <v>64</v>
      </c>
      <c r="H211" s="4" t="str">
        <f>TRIM(CLEAN(SUBSTITUTE(Table1_1[[#This Row],[Salesperson]],"   "," ")))</f>
        <v>Aditya Verma</v>
      </c>
      <c r="I211" s="4" t="s">
        <v>52</v>
      </c>
      <c r="J211" s="4" t="s">
        <v>46</v>
      </c>
      <c r="K211" s="4" t="s">
        <v>47</v>
      </c>
      <c r="L211" s="4" t="s">
        <v>48</v>
      </c>
      <c r="M211" s="4" t="s">
        <v>49</v>
      </c>
      <c r="N211" s="4" t="s">
        <v>24</v>
      </c>
      <c r="O211" s="4">
        <v>40</v>
      </c>
      <c r="P211" s="7">
        <v>1930</v>
      </c>
      <c r="Q211" s="8">
        <v>0</v>
      </c>
      <c r="R211" s="7">
        <v>1520</v>
      </c>
      <c r="S211" s="7">
        <f>Table1_1[[#This Row],[Units Sold]]*Table1_1[[#This Row],[Unit Price]]*(1-Table1_1[[#This Row],[Discount %]])</f>
        <v>77200</v>
      </c>
      <c r="T211" s="7">
        <f>Table1_1[[#This Row],[Units Sold]]*Table1_1[[#This Row],[Unit Cost]]</f>
        <v>60800</v>
      </c>
      <c r="U211" s="7">
        <f>Table1_1[[#This Row],[Calculated sales]]-Table1_1[[#This Row],[Total cost]]</f>
        <v>16400</v>
      </c>
      <c r="V211" s="4">
        <f>IFERROR(Table1_1[[#This Row],[Profit/Loss]]/Table1_1[[#This Row],[Calculated sales]],0)</f>
        <v>0.21243523316062177</v>
      </c>
    </row>
    <row r="212" spans="1:22" x14ac:dyDescent="0.25">
      <c r="A212" s="4" t="s">
        <v>354</v>
      </c>
      <c r="B212" s="5">
        <v>45410</v>
      </c>
      <c r="C212" s="4">
        <f>YEAR(Table1_1[[#This Row],[Order Dates]])</f>
        <v>2024</v>
      </c>
      <c r="D212" s="6">
        <f>MONTH(Table1_1[[#This Row],[Order Dates]])</f>
        <v>4</v>
      </c>
      <c r="E212" s="4" t="s">
        <v>42</v>
      </c>
      <c r="F212" s="4" t="s">
        <v>146</v>
      </c>
      <c r="G212" s="4" t="s">
        <v>44</v>
      </c>
      <c r="H212" s="4" t="str">
        <f>TRIM(CLEAN(SUBSTITUTE(Table1_1[[#This Row],[Salesperson]],"   "," ")))</f>
        <v>Simran Kaur</v>
      </c>
      <c r="I212" s="4" t="s">
        <v>19</v>
      </c>
      <c r="J212" s="4" t="s">
        <v>20</v>
      </c>
      <c r="K212" s="4" t="s">
        <v>109</v>
      </c>
      <c r="L212" s="4" t="s">
        <v>171</v>
      </c>
      <c r="M212" s="4" t="s">
        <v>40</v>
      </c>
      <c r="N212" s="4" t="s">
        <v>24</v>
      </c>
      <c r="O212" s="4">
        <v>3</v>
      </c>
      <c r="P212" s="7">
        <v>21430</v>
      </c>
      <c r="Q212" s="8">
        <v>0</v>
      </c>
      <c r="R212" s="7">
        <v>14830</v>
      </c>
      <c r="S212" s="7">
        <f>Table1_1[[#This Row],[Units Sold]]*Table1_1[[#This Row],[Unit Price]]*(1-Table1_1[[#This Row],[Discount %]])</f>
        <v>64290</v>
      </c>
      <c r="T212" s="7">
        <f>Table1_1[[#This Row],[Units Sold]]*Table1_1[[#This Row],[Unit Cost]]</f>
        <v>44490</v>
      </c>
      <c r="U212" s="7">
        <f>Table1_1[[#This Row],[Calculated sales]]-Table1_1[[#This Row],[Total cost]]</f>
        <v>19800</v>
      </c>
      <c r="V212" s="4">
        <f>IFERROR(Table1_1[[#This Row],[Profit/Loss]]/Table1_1[[#This Row],[Calculated sales]],0)</f>
        <v>0.30797946803546428</v>
      </c>
    </row>
    <row r="213" spans="1:22" x14ac:dyDescent="0.25">
      <c r="A213" s="4" t="s">
        <v>355</v>
      </c>
      <c r="B213" s="5">
        <v>45412</v>
      </c>
      <c r="C213" s="4">
        <f>YEAR(Table1_1[[#This Row],[Order Dates]])</f>
        <v>2024</v>
      </c>
      <c r="D213" s="6">
        <f>MONTH(Table1_1[[#This Row],[Order Dates]])</f>
        <v>4</v>
      </c>
      <c r="E213" s="4" t="s">
        <v>56</v>
      </c>
      <c r="F213" s="4" t="s">
        <v>103</v>
      </c>
      <c r="G213" s="4" t="s">
        <v>134</v>
      </c>
      <c r="H213" s="4" t="str">
        <f>TRIM(CLEAN(SUBSTITUTE(Table1_1[[#This Row],[Salesperson]],"   "," ")))</f>
        <v>Divya Nair</v>
      </c>
      <c r="I213" s="4" t="s">
        <v>92</v>
      </c>
      <c r="J213" s="4" t="s">
        <v>20</v>
      </c>
      <c r="K213" s="4" t="s">
        <v>33</v>
      </c>
      <c r="L213" s="4" t="s">
        <v>1678</v>
      </c>
      <c r="M213" s="4" t="s">
        <v>40</v>
      </c>
      <c r="N213" s="4" t="s">
        <v>119</v>
      </c>
      <c r="O213" s="4">
        <v>1</v>
      </c>
      <c r="P213" s="7">
        <v>105600</v>
      </c>
      <c r="Q213" s="8">
        <v>0.15</v>
      </c>
      <c r="R213" s="7">
        <v>78440</v>
      </c>
      <c r="S213" s="7">
        <f>Table1_1[[#This Row],[Units Sold]]*Table1_1[[#This Row],[Unit Price]]*(1-Table1_1[[#This Row],[Discount %]])</f>
        <v>89760</v>
      </c>
      <c r="T213" s="7">
        <f>Table1_1[[#This Row],[Units Sold]]*Table1_1[[#This Row],[Unit Cost]]</f>
        <v>78440</v>
      </c>
      <c r="U213" s="7">
        <f>Table1_1[[#This Row],[Calculated sales]]-Table1_1[[#This Row],[Total cost]]</f>
        <v>11320</v>
      </c>
      <c r="V213" s="4">
        <f>IFERROR(Table1_1[[#This Row],[Profit/Loss]]/Table1_1[[#This Row],[Calculated sales]],0)</f>
        <v>0.12611408199643495</v>
      </c>
    </row>
    <row r="214" spans="1:22" x14ac:dyDescent="0.25">
      <c r="A214" s="4" t="s">
        <v>356</v>
      </c>
      <c r="B214" s="5">
        <v>45412</v>
      </c>
      <c r="C214" s="4">
        <f>YEAR(Table1_1[[#This Row],[Order Dates]])</f>
        <v>2024</v>
      </c>
      <c r="D214" s="6">
        <f>MONTH(Table1_1[[#This Row],[Order Dates]])</f>
        <v>4</v>
      </c>
      <c r="E214" s="4" t="s">
        <v>42</v>
      </c>
      <c r="F214" s="4" t="s">
        <v>43</v>
      </c>
      <c r="G214" s="4" t="s">
        <v>97</v>
      </c>
      <c r="H214" s="4" t="str">
        <f>TRIM(CLEAN(SUBSTITUTE(Table1_1[[#This Row],[Salesperson]],"   "," ")))</f>
        <v>Rohit Malhotra</v>
      </c>
      <c r="I214" s="4" t="s">
        <v>45</v>
      </c>
      <c r="J214" s="4" t="s">
        <v>27</v>
      </c>
      <c r="K214" s="4" t="s">
        <v>53</v>
      </c>
      <c r="L214" s="4" t="s">
        <v>1669</v>
      </c>
      <c r="M214" s="4" t="s">
        <v>23</v>
      </c>
      <c r="N214" s="4" t="s">
        <v>24</v>
      </c>
      <c r="O214" s="4">
        <v>3</v>
      </c>
      <c r="P214" s="7">
        <v>45030</v>
      </c>
      <c r="Q214" s="8">
        <v>0</v>
      </c>
      <c r="R214" s="7">
        <v>32350</v>
      </c>
      <c r="S214" s="7">
        <f>Table1_1[[#This Row],[Units Sold]]*Table1_1[[#This Row],[Unit Price]]*(1-Table1_1[[#This Row],[Discount %]])</f>
        <v>135090</v>
      </c>
      <c r="T214" s="7">
        <f>Table1_1[[#This Row],[Units Sold]]*Table1_1[[#This Row],[Unit Cost]]</f>
        <v>97050</v>
      </c>
      <c r="U214" s="7">
        <f>Table1_1[[#This Row],[Calculated sales]]-Table1_1[[#This Row],[Total cost]]</f>
        <v>38040</v>
      </c>
      <c r="V214" s="4">
        <f>IFERROR(Table1_1[[#This Row],[Profit/Loss]]/Table1_1[[#This Row],[Calculated sales]],0)</f>
        <v>0.28159005107705976</v>
      </c>
    </row>
    <row r="215" spans="1:22" x14ac:dyDescent="0.25">
      <c r="A215" s="4" t="s">
        <v>357</v>
      </c>
      <c r="B215" s="5">
        <v>45413</v>
      </c>
      <c r="C215" s="4">
        <f>YEAR(Table1_1[[#This Row],[Order Dates]])</f>
        <v>2024</v>
      </c>
      <c r="D215" s="6">
        <f>MONTH(Table1_1[[#This Row],[Order Dates]])</f>
        <v>5</v>
      </c>
      <c r="E215" s="4" t="s">
        <v>37</v>
      </c>
      <c r="F215" s="4" t="s">
        <v>213</v>
      </c>
      <c r="G215" s="4" t="s">
        <v>39</v>
      </c>
      <c r="H215" s="4" t="str">
        <f>TRIM(CLEAN(SUBSTITUTE(Table1_1[[#This Row],[Salesperson]],"   "," ")))</f>
        <v>Sourav Das</v>
      </c>
      <c r="I215" s="4" t="s">
        <v>19</v>
      </c>
      <c r="J215" s="4" t="s">
        <v>46</v>
      </c>
      <c r="K215" s="4" t="s">
        <v>179</v>
      </c>
      <c r="L215" s="4" t="s">
        <v>236</v>
      </c>
      <c r="M215" s="4" t="s">
        <v>40</v>
      </c>
      <c r="N215" s="4" t="s">
        <v>24</v>
      </c>
      <c r="O215" s="4">
        <v>29</v>
      </c>
      <c r="P215" s="7">
        <v>2340</v>
      </c>
      <c r="Q215" s="8">
        <v>0.15</v>
      </c>
      <c r="R215" s="7">
        <v>1530</v>
      </c>
      <c r="S215" s="7">
        <f>Table1_1[[#This Row],[Units Sold]]*Table1_1[[#This Row],[Unit Price]]*(1-Table1_1[[#This Row],[Discount %]])</f>
        <v>57681</v>
      </c>
      <c r="T215" s="7">
        <f>Table1_1[[#This Row],[Units Sold]]*Table1_1[[#This Row],[Unit Cost]]</f>
        <v>44370</v>
      </c>
      <c r="U215" s="7">
        <f>Table1_1[[#This Row],[Calculated sales]]-Table1_1[[#This Row],[Total cost]]</f>
        <v>13311</v>
      </c>
      <c r="V215" s="4">
        <f>IFERROR(Table1_1[[#This Row],[Profit/Loss]]/Table1_1[[#This Row],[Calculated sales]],0)</f>
        <v>0.23076923076923078</v>
      </c>
    </row>
    <row r="216" spans="1:22" x14ac:dyDescent="0.25">
      <c r="A216" s="4" t="s">
        <v>358</v>
      </c>
      <c r="B216" s="5">
        <v>45414</v>
      </c>
      <c r="C216" s="4">
        <f>YEAR(Table1_1[[#This Row],[Order Dates]])</f>
        <v>2024</v>
      </c>
      <c r="D216" s="6">
        <f>MONTH(Table1_1[[#This Row],[Order Dates]])</f>
        <v>5</v>
      </c>
      <c r="E216" s="4" t="s">
        <v>42</v>
      </c>
      <c r="F216" s="4" t="s">
        <v>130</v>
      </c>
      <c r="G216" s="4" t="s">
        <v>44</v>
      </c>
      <c r="H216" s="4" t="str">
        <f>TRIM(CLEAN(SUBSTITUTE(Table1_1[[#This Row],[Salesperson]],"   "," ")))</f>
        <v>Simran Kaur</v>
      </c>
      <c r="I216" s="4" t="s">
        <v>19</v>
      </c>
      <c r="J216" s="4" t="s">
        <v>83</v>
      </c>
      <c r="K216" s="4" t="s">
        <v>84</v>
      </c>
      <c r="L216" s="4" t="s">
        <v>1671</v>
      </c>
      <c r="M216" s="4" t="s">
        <v>40</v>
      </c>
      <c r="N216" s="4" t="s">
        <v>24</v>
      </c>
      <c r="O216" s="4">
        <v>24</v>
      </c>
      <c r="P216" s="7">
        <v>2330</v>
      </c>
      <c r="Q216" s="8">
        <v>0.08</v>
      </c>
      <c r="R216" s="7">
        <v>1400</v>
      </c>
      <c r="S216" s="7">
        <f>Table1_1[[#This Row],[Units Sold]]*Table1_1[[#This Row],[Unit Price]]*(1-Table1_1[[#This Row],[Discount %]])</f>
        <v>51446.400000000001</v>
      </c>
      <c r="T216" s="7">
        <f>Table1_1[[#This Row],[Units Sold]]*Table1_1[[#This Row],[Unit Cost]]</f>
        <v>33600</v>
      </c>
      <c r="U216" s="7">
        <f>Table1_1[[#This Row],[Calculated sales]]-Table1_1[[#This Row],[Total cost]]</f>
        <v>17846.400000000001</v>
      </c>
      <c r="V216" s="4">
        <f>IFERROR(Table1_1[[#This Row],[Profit/Loss]]/Table1_1[[#This Row],[Calculated sales]],0)</f>
        <v>0.34689307706661693</v>
      </c>
    </row>
    <row r="217" spans="1:22" x14ac:dyDescent="0.25">
      <c r="A217" s="4" t="s">
        <v>359</v>
      </c>
      <c r="B217" s="5">
        <v>45414</v>
      </c>
      <c r="C217" s="4">
        <f>YEAR(Table1_1[[#This Row],[Order Dates]])</f>
        <v>2024</v>
      </c>
      <c r="D217" s="6">
        <f>MONTH(Table1_1[[#This Row],[Order Dates]])</f>
        <v>5</v>
      </c>
      <c r="E217" s="4" t="s">
        <v>42</v>
      </c>
      <c r="F217" s="4" t="s">
        <v>123</v>
      </c>
      <c r="G217" s="4" t="s">
        <v>64</v>
      </c>
      <c r="H217" s="4" t="str">
        <f>TRIM(CLEAN(SUBSTITUTE(Table1_1[[#This Row],[Salesperson]],"   "," ")))</f>
        <v>Aditya Verma</v>
      </c>
      <c r="I217" s="4" t="s">
        <v>19</v>
      </c>
      <c r="J217" s="4" t="s">
        <v>46</v>
      </c>
      <c r="K217" s="4" t="s">
        <v>47</v>
      </c>
      <c r="L217" s="4" t="s">
        <v>48</v>
      </c>
      <c r="M217" s="4" t="s">
        <v>23</v>
      </c>
      <c r="N217" s="4" t="s">
        <v>94</v>
      </c>
      <c r="O217" s="4">
        <v>38</v>
      </c>
      <c r="P217" s="7">
        <v>1790</v>
      </c>
      <c r="Q217" s="8">
        <v>0.05</v>
      </c>
      <c r="R217" s="7">
        <v>1140</v>
      </c>
      <c r="S217" s="7">
        <f>Table1_1[[#This Row],[Units Sold]]*Table1_1[[#This Row],[Unit Price]]*(1-Table1_1[[#This Row],[Discount %]])</f>
        <v>64619</v>
      </c>
      <c r="T217" s="7">
        <f>Table1_1[[#This Row],[Units Sold]]*Table1_1[[#This Row],[Unit Cost]]</f>
        <v>43320</v>
      </c>
      <c r="U217" s="7">
        <f>Table1_1[[#This Row],[Calculated sales]]-Table1_1[[#This Row],[Total cost]]</f>
        <v>21299</v>
      </c>
      <c r="V217" s="4">
        <f>IFERROR(Table1_1[[#This Row],[Profit/Loss]]/Table1_1[[#This Row],[Calculated sales]],0)</f>
        <v>0.32960893854748602</v>
      </c>
    </row>
    <row r="218" spans="1:22" x14ac:dyDescent="0.25">
      <c r="A218" s="4" t="s">
        <v>360</v>
      </c>
      <c r="B218" s="5">
        <v>45415</v>
      </c>
      <c r="C218" s="4">
        <f>YEAR(Table1_1[[#This Row],[Order Dates]])</f>
        <v>2024</v>
      </c>
      <c r="D218" s="6">
        <f>MONTH(Table1_1[[#This Row],[Order Dates]])</f>
        <v>5</v>
      </c>
      <c r="E218" s="4" t="s">
        <v>42</v>
      </c>
      <c r="F218" s="4" t="s">
        <v>96</v>
      </c>
      <c r="G218" s="4" t="s">
        <v>97</v>
      </c>
      <c r="H218" s="4" t="str">
        <f>TRIM(CLEAN(SUBSTITUTE(Table1_1[[#This Row],[Salesperson]],"   "," ")))</f>
        <v>Rohit Malhotra</v>
      </c>
      <c r="I218" s="4" t="s">
        <v>19</v>
      </c>
      <c r="J218" s="4" t="s">
        <v>46</v>
      </c>
      <c r="K218" s="4" t="s">
        <v>179</v>
      </c>
      <c r="L218" s="4" t="s">
        <v>236</v>
      </c>
      <c r="M218" s="4" t="s">
        <v>23</v>
      </c>
      <c r="N218" s="4" t="s">
        <v>24</v>
      </c>
      <c r="O218" s="4">
        <v>38</v>
      </c>
      <c r="P218" s="7">
        <v>2290</v>
      </c>
      <c r="Q218" s="8">
        <v>0.1</v>
      </c>
      <c r="R218" s="7">
        <v>1320</v>
      </c>
      <c r="S218" s="7">
        <f>Table1_1[[#This Row],[Units Sold]]*Table1_1[[#This Row],[Unit Price]]*(1-Table1_1[[#This Row],[Discount %]])</f>
        <v>78318</v>
      </c>
      <c r="T218" s="7">
        <f>Table1_1[[#This Row],[Units Sold]]*Table1_1[[#This Row],[Unit Cost]]</f>
        <v>50160</v>
      </c>
      <c r="U218" s="7">
        <f>Table1_1[[#This Row],[Calculated sales]]-Table1_1[[#This Row],[Total cost]]</f>
        <v>28158</v>
      </c>
      <c r="V218" s="4">
        <f>IFERROR(Table1_1[[#This Row],[Profit/Loss]]/Table1_1[[#This Row],[Calculated sales]],0)</f>
        <v>0.35953420669577874</v>
      </c>
    </row>
    <row r="219" spans="1:22" x14ac:dyDescent="0.25">
      <c r="A219" s="4" t="s">
        <v>361</v>
      </c>
      <c r="B219" s="5">
        <v>45415</v>
      </c>
      <c r="C219" s="4">
        <f>YEAR(Table1_1[[#This Row],[Order Dates]])</f>
        <v>2024</v>
      </c>
      <c r="D219" s="6">
        <f>MONTH(Table1_1[[#This Row],[Order Dates]])</f>
        <v>5</v>
      </c>
      <c r="E219" s="4" t="s">
        <v>76</v>
      </c>
      <c r="F219" s="4" t="s">
        <v>150</v>
      </c>
      <c r="G219" s="4" t="s">
        <v>170</v>
      </c>
      <c r="H219" s="4" t="str">
        <f>TRIM(CLEAN(SUBSTITUTE(Table1_1[[#This Row],[Salesperson]],"   "," ")))</f>
        <v>Manish Tiwari</v>
      </c>
      <c r="I219" s="4" t="s">
        <v>19</v>
      </c>
      <c r="J219" s="4" t="s">
        <v>20</v>
      </c>
      <c r="K219" s="4" t="s">
        <v>21</v>
      </c>
      <c r="L219" s="4" t="s">
        <v>1682</v>
      </c>
      <c r="M219" s="4" t="s">
        <v>23</v>
      </c>
      <c r="N219" s="4" t="s">
        <v>35</v>
      </c>
      <c r="O219" s="4">
        <v>6</v>
      </c>
      <c r="P219" s="7">
        <v>8970</v>
      </c>
      <c r="Q219" s="8">
        <v>0.2</v>
      </c>
      <c r="R219" s="7">
        <v>7040</v>
      </c>
      <c r="S219" s="7">
        <f>Table1_1[[#This Row],[Units Sold]]*Table1_1[[#This Row],[Unit Price]]*(1-Table1_1[[#This Row],[Discount %]])</f>
        <v>43056</v>
      </c>
      <c r="T219" s="7">
        <f>Table1_1[[#This Row],[Units Sold]]*Table1_1[[#This Row],[Unit Cost]]</f>
        <v>42240</v>
      </c>
      <c r="U219" s="7">
        <f>Table1_1[[#This Row],[Calculated sales]]-Table1_1[[#This Row],[Total cost]]</f>
        <v>816</v>
      </c>
      <c r="V219" s="4">
        <f>IFERROR(Table1_1[[#This Row],[Profit/Loss]]/Table1_1[[#This Row],[Calculated sales]],0)</f>
        <v>1.89520624303233E-2</v>
      </c>
    </row>
    <row r="220" spans="1:22" x14ac:dyDescent="0.25">
      <c r="A220" s="4" t="s">
        <v>363</v>
      </c>
      <c r="B220" s="5">
        <v>45416</v>
      </c>
      <c r="C220" s="4">
        <f>YEAR(Table1_1[[#This Row],[Order Dates]])</f>
        <v>2024</v>
      </c>
      <c r="D220" s="6">
        <f>MONTH(Table1_1[[#This Row],[Order Dates]])</f>
        <v>5</v>
      </c>
      <c r="E220" s="4" t="s">
        <v>16</v>
      </c>
      <c r="F220" s="4" t="s">
        <v>82</v>
      </c>
      <c r="G220" s="4" t="s">
        <v>32</v>
      </c>
      <c r="H220" s="4" t="str">
        <f>TRIM(CLEAN(SUBSTITUTE(Table1_1[[#This Row],[Salesperson]],"   "," ")))</f>
        <v>Neha Deshpande</v>
      </c>
      <c r="I220" s="4" t="s">
        <v>92</v>
      </c>
      <c r="J220" s="4" t="s">
        <v>46</v>
      </c>
      <c r="K220" s="4" t="s">
        <v>179</v>
      </c>
      <c r="L220" s="4" t="s">
        <v>180</v>
      </c>
      <c r="M220" s="4" t="s">
        <v>40</v>
      </c>
      <c r="N220" s="4" t="s">
        <v>24</v>
      </c>
      <c r="O220" s="4">
        <v>6</v>
      </c>
      <c r="P220" s="7">
        <v>4030</v>
      </c>
      <c r="Q220" s="8">
        <v>0</v>
      </c>
      <c r="R220" s="7">
        <v>2950</v>
      </c>
      <c r="S220" s="7">
        <f>Table1_1[[#This Row],[Units Sold]]*Table1_1[[#This Row],[Unit Price]]*(1-Table1_1[[#This Row],[Discount %]])</f>
        <v>24180</v>
      </c>
      <c r="T220" s="7">
        <f>Table1_1[[#This Row],[Units Sold]]*Table1_1[[#This Row],[Unit Cost]]</f>
        <v>17700</v>
      </c>
      <c r="U220" s="7">
        <f>Table1_1[[#This Row],[Calculated sales]]-Table1_1[[#This Row],[Total cost]]</f>
        <v>6480</v>
      </c>
      <c r="V220" s="4">
        <f>IFERROR(Table1_1[[#This Row],[Profit/Loss]]/Table1_1[[#This Row],[Calculated sales]],0)</f>
        <v>0.26799007444168732</v>
      </c>
    </row>
    <row r="221" spans="1:22" x14ac:dyDescent="0.25">
      <c r="A221" s="4" t="s">
        <v>364</v>
      </c>
      <c r="B221" s="5">
        <v>45416</v>
      </c>
      <c r="C221" s="4">
        <f>YEAR(Table1_1[[#This Row],[Order Dates]])</f>
        <v>2024</v>
      </c>
      <c r="D221" s="6">
        <f>MONTH(Table1_1[[#This Row],[Order Dates]])</f>
        <v>5</v>
      </c>
      <c r="E221" s="4" t="s">
        <v>16</v>
      </c>
      <c r="F221" s="4" t="s">
        <v>153</v>
      </c>
      <c r="G221" s="4" t="s">
        <v>26</v>
      </c>
      <c r="H221" s="4" t="str">
        <f>TRIM(CLEAN(SUBSTITUTE(Table1_1[[#This Row],[Salesperson]],"   "," ")))</f>
        <v>Prateek Shah</v>
      </c>
      <c r="I221" s="4" t="s">
        <v>92</v>
      </c>
      <c r="J221" s="4" t="s">
        <v>83</v>
      </c>
      <c r="K221" s="4" t="s">
        <v>84</v>
      </c>
      <c r="L221" s="4" t="s">
        <v>292</v>
      </c>
      <c r="M221" s="4" t="s">
        <v>49</v>
      </c>
      <c r="N221" s="4" t="s">
        <v>24</v>
      </c>
      <c r="O221" s="4">
        <v>4</v>
      </c>
      <c r="P221" s="7">
        <v>40240</v>
      </c>
      <c r="Q221" s="8">
        <v>0.2</v>
      </c>
      <c r="R221" s="7">
        <v>30700</v>
      </c>
      <c r="S221" s="7">
        <f>Table1_1[[#This Row],[Units Sold]]*Table1_1[[#This Row],[Unit Price]]*(1-Table1_1[[#This Row],[Discount %]])</f>
        <v>128768</v>
      </c>
      <c r="T221" s="7">
        <f>Table1_1[[#This Row],[Units Sold]]*Table1_1[[#This Row],[Unit Cost]]</f>
        <v>122800</v>
      </c>
      <c r="U221" s="7">
        <f>Table1_1[[#This Row],[Calculated sales]]-Table1_1[[#This Row],[Total cost]]</f>
        <v>5968</v>
      </c>
      <c r="V221" s="4">
        <f>IFERROR(Table1_1[[#This Row],[Profit/Loss]]/Table1_1[[#This Row],[Calculated sales]],0)</f>
        <v>4.6346918489065608E-2</v>
      </c>
    </row>
    <row r="222" spans="1:22" x14ac:dyDescent="0.25">
      <c r="A222" s="4" t="s">
        <v>365</v>
      </c>
      <c r="B222" s="5">
        <v>45416</v>
      </c>
      <c r="C222" s="4">
        <f>YEAR(Table1_1[[#This Row],[Order Dates]])</f>
        <v>2024</v>
      </c>
      <c r="D222" s="6">
        <f>MONTH(Table1_1[[#This Row],[Order Dates]])</f>
        <v>5</v>
      </c>
      <c r="E222" s="4" t="s">
        <v>56</v>
      </c>
      <c r="F222" s="4" t="s">
        <v>127</v>
      </c>
      <c r="G222" s="4" t="s">
        <v>134</v>
      </c>
      <c r="H222" s="4" t="str">
        <f>TRIM(CLEAN(SUBSTITUTE(Table1_1[[#This Row],[Salesperson]],"   "," ")))</f>
        <v>Divya Nair</v>
      </c>
      <c r="I222" s="4" t="s">
        <v>52</v>
      </c>
      <c r="J222" s="4" t="s">
        <v>20</v>
      </c>
      <c r="K222" s="4" t="s">
        <v>109</v>
      </c>
      <c r="L222" s="4" t="s">
        <v>1675</v>
      </c>
      <c r="M222" s="4" t="s">
        <v>49</v>
      </c>
      <c r="N222" s="4" t="s">
        <v>24</v>
      </c>
      <c r="O222" s="4">
        <v>1</v>
      </c>
      <c r="P222" s="7">
        <v>70090</v>
      </c>
      <c r="Q222" s="8">
        <v>0</v>
      </c>
      <c r="R222" s="7">
        <v>46840</v>
      </c>
      <c r="S222" s="7">
        <f>Table1_1[[#This Row],[Units Sold]]*Table1_1[[#This Row],[Unit Price]]*(1-Table1_1[[#This Row],[Discount %]])</f>
        <v>70090</v>
      </c>
      <c r="T222" s="7">
        <f>Table1_1[[#This Row],[Units Sold]]*Table1_1[[#This Row],[Unit Cost]]</f>
        <v>46840</v>
      </c>
      <c r="U222" s="7">
        <f>Table1_1[[#This Row],[Calculated sales]]-Table1_1[[#This Row],[Total cost]]</f>
        <v>23250</v>
      </c>
      <c r="V222" s="4">
        <f>IFERROR(Table1_1[[#This Row],[Profit/Loss]]/Table1_1[[#This Row],[Calculated sales]],0)</f>
        <v>0.33171636467399057</v>
      </c>
    </row>
    <row r="223" spans="1:22" x14ac:dyDescent="0.25">
      <c r="A223" s="4" t="s">
        <v>366</v>
      </c>
      <c r="B223" s="5">
        <v>45416</v>
      </c>
      <c r="C223" s="4">
        <f>YEAR(Table1_1[[#This Row],[Order Dates]])</f>
        <v>2024</v>
      </c>
      <c r="D223" s="6">
        <f>MONTH(Table1_1[[#This Row],[Order Dates]])</f>
        <v>5</v>
      </c>
      <c r="E223" s="4" t="s">
        <v>16</v>
      </c>
      <c r="F223" s="4" t="s">
        <v>17</v>
      </c>
      <c r="G223" s="4" t="s">
        <v>18</v>
      </c>
      <c r="H223" s="4" t="str">
        <f>TRIM(CLEAN(SUBSTITUTE(Table1_1[[#This Row],[Salesperson]],"   "," ")))</f>
        <v>Imran Sheikh</v>
      </c>
      <c r="I223" s="4" t="s">
        <v>19</v>
      </c>
      <c r="J223" s="4" t="s">
        <v>20</v>
      </c>
      <c r="K223" s="4" t="s">
        <v>21</v>
      </c>
      <c r="L223" s="4" t="s">
        <v>1670</v>
      </c>
      <c r="M223" s="4" t="s">
        <v>23</v>
      </c>
      <c r="N223" s="4" t="s">
        <v>24</v>
      </c>
      <c r="O223" s="4">
        <v>14</v>
      </c>
      <c r="P223" s="7">
        <v>8470</v>
      </c>
      <c r="Q223" s="8">
        <v>0.15</v>
      </c>
      <c r="R223" s="7">
        <v>6170</v>
      </c>
      <c r="S223" s="7">
        <f>Table1_1[[#This Row],[Units Sold]]*Table1_1[[#This Row],[Unit Price]]*(1-Table1_1[[#This Row],[Discount %]])</f>
        <v>100793</v>
      </c>
      <c r="T223" s="7">
        <f>Table1_1[[#This Row],[Units Sold]]*Table1_1[[#This Row],[Unit Cost]]</f>
        <v>86380</v>
      </c>
      <c r="U223" s="7">
        <f>Table1_1[[#This Row],[Calculated sales]]-Table1_1[[#This Row],[Total cost]]</f>
        <v>14413</v>
      </c>
      <c r="V223" s="4">
        <f>IFERROR(Table1_1[[#This Row],[Profit/Loss]]/Table1_1[[#This Row],[Calculated sales]],0)</f>
        <v>0.14299604139176331</v>
      </c>
    </row>
    <row r="224" spans="1:22" x14ac:dyDescent="0.25">
      <c r="A224" s="4" t="s">
        <v>367</v>
      </c>
      <c r="B224" s="5">
        <v>45417</v>
      </c>
      <c r="C224" s="4">
        <f>YEAR(Table1_1[[#This Row],[Order Dates]])</f>
        <v>2024</v>
      </c>
      <c r="D224" s="6">
        <f>MONTH(Table1_1[[#This Row],[Order Dates]])</f>
        <v>5</v>
      </c>
      <c r="E224" s="4" t="s">
        <v>76</v>
      </c>
      <c r="F224" s="4" t="s">
        <v>77</v>
      </c>
      <c r="G224" s="4" t="s">
        <v>78</v>
      </c>
      <c r="H224" s="4" t="str">
        <f>TRIM(CLEAN(SUBSTITUTE(Table1_1[[#This Row],[Salesperson]],"   "," ")))</f>
        <v>Pooja Chouhan</v>
      </c>
      <c r="I224" s="4" t="s">
        <v>19</v>
      </c>
      <c r="J224" s="4" t="s">
        <v>20</v>
      </c>
      <c r="K224" s="4" t="s">
        <v>87</v>
      </c>
      <c r="L224" s="4" t="s">
        <v>1672</v>
      </c>
      <c r="M224" s="4" t="s">
        <v>40</v>
      </c>
      <c r="N224" s="4" t="s">
        <v>24</v>
      </c>
      <c r="O224" s="4">
        <v>3</v>
      </c>
      <c r="P224" s="7">
        <v>33490</v>
      </c>
      <c r="Q224" s="8">
        <v>0.18</v>
      </c>
      <c r="R224" s="7">
        <v>24320</v>
      </c>
      <c r="S224" s="7">
        <f>Table1_1[[#This Row],[Units Sold]]*Table1_1[[#This Row],[Unit Price]]*(1-Table1_1[[#This Row],[Discount %]])</f>
        <v>82385.400000000009</v>
      </c>
      <c r="T224" s="7">
        <f>Table1_1[[#This Row],[Units Sold]]*Table1_1[[#This Row],[Unit Cost]]</f>
        <v>72960</v>
      </c>
      <c r="U224" s="7">
        <f>Table1_1[[#This Row],[Calculated sales]]-Table1_1[[#This Row],[Total cost]]</f>
        <v>9425.4000000000087</v>
      </c>
      <c r="V224" s="4">
        <f>IFERROR(Table1_1[[#This Row],[Profit/Loss]]/Table1_1[[#This Row],[Calculated sales]],0)</f>
        <v>0.11440619333037173</v>
      </c>
    </row>
    <row r="225" spans="1:22" x14ac:dyDescent="0.25">
      <c r="A225" s="4" t="s">
        <v>369</v>
      </c>
      <c r="B225" s="5">
        <v>45418</v>
      </c>
      <c r="C225" s="4">
        <f>YEAR(Table1_1[[#This Row],[Order Dates]])</f>
        <v>2024</v>
      </c>
      <c r="D225" s="6">
        <f>MONTH(Table1_1[[#This Row],[Order Dates]])</f>
        <v>5</v>
      </c>
      <c r="E225" s="4" t="s">
        <v>42</v>
      </c>
      <c r="F225" s="4" t="s">
        <v>130</v>
      </c>
      <c r="G225" s="4" t="s">
        <v>44</v>
      </c>
      <c r="H225" s="4" t="str">
        <f>TRIM(CLEAN(SUBSTITUTE(Table1_1[[#This Row],[Salesperson]],"   "," ")))</f>
        <v>Simran Kaur</v>
      </c>
      <c r="I225" s="4" t="s">
        <v>19</v>
      </c>
      <c r="J225" s="4" t="s">
        <v>83</v>
      </c>
      <c r="K225" s="4" t="s">
        <v>84</v>
      </c>
      <c r="L225" s="4" t="s">
        <v>1671</v>
      </c>
      <c r="M225" s="4" t="s">
        <v>40</v>
      </c>
      <c r="N225" s="4" t="s">
        <v>24</v>
      </c>
      <c r="O225" s="4">
        <v>26</v>
      </c>
      <c r="P225" s="7">
        <v>2390</v>
      </c>
      <c r="Q225" s="8">
        <v>0.1</v>
      </c>
      <c r="R225" s="7">
        <v>1340</v>
      </c>
      <c r="S225" s="7">
        <f>Table1_1[[#This Row],[Units Sold]]*Table1_1[[#This Row],[Unit Price]]*(1-Table1_1[[#This Row],[Discount %]])</f>
        <v>55926</v>
      </c>
      <c r="T225" s="7">
        <f>Table1_1[[#This Row],[Units Sold]]*Table1_1[[#This Row],[Unit Cost]]</f>
        <v>34840</v>
      </c>
      <c r="U225" s="7">
        <f>Table1_1[[#This Row],[Calculated sales]]-Table1_1[[#This Row],[Total cost]]</f>
        <v>21086</v>
      </c>
      <c r="V225" s="4">
        <f>IFERROR(Table1_1[[#This Row],[Profit/Loss]]/Table1_1[[#This Row],[Calculated sales]],0)</f>
        <v>0.37703393770339377</v>
      </c>
    </row>
    <row r="226" spans="1:22" x14ac:dyDescent="0.25">
      <c r="A226" s="4" t="s">
        <v>370</v>
      </c>
      <c r="B226" s="5">
        <v>45418</v>
      </c>
      <c r="C226" s="4">
        <f>YEAR(Table1_1[[#This Row],[Order Dates]])</f>
        <v>2024</v>
      </c>
      <c r="D226" s="6">
        <f>MONTH(Table1_1[[#This Row],[Order Dates]])</f>
        <v>5</v>
      </c>
      <c r="E226" s="4" t="s">
        <v>42</v>
      </c>
      <c r="F226" s="4" t="s">
        <v>43</v>
      </c>
      <c r="G226" s="4" t="s">
        <v>44</v>
      </c>
      <c r="H226" s="4" t="str">
        <f>TRIM(CLEAN(SUBSTITUTE(Table1_1[[#This Row],[Salesperson]],"   "," ")))</f>
        <v>Simran Kaur</v>
      </c>
      <c r="I226" s="4" t="s">
        <v>45</v>
      </c>
      <c r="J226" s="4" t="s">
        <v>20</v>
      </c>
      <c r="K226" s="4" t="s">
        <v>33</v>
      </c>
      <c r="L226" s="4" t="s">
        <v>1678</v>
      </c>
      <c r="M226" s="4" t="s">
        <v>23</v>
      </c>
      <c r="N226" s="4" t="s">
        <v>24</v>
      </c>
      <c r="O226" s="4">
        <v>6</v>
      </c>
      <c r="P226" s="7">
        <v>113040</v>
      </c>
      <c r="Q226" s="8">
        <v>0.05</v>
      </c>
      <c r="R226" s="7">
        <v>88190</v>
      </c>
      <c r="S226" s="7">
        <f>Table1_1[[#This Row],[Units Sold]]*Table1_1[[#This Row],[Unit Price]]*(1-Table1_1[[#This Row],[Discount %]])</f>
        <v>644328</v>
      </c>
      <c r="T226" s="7">
        <f>Table1_1[[#This Row],[Units Sold]]*Table1_1[[#This Row],[Unit Cost]]</f>
        <v>529140</v>
      </c>
      <c r="U226" s="7">
        <f>Table1_1[[#This Row],[Calculated sales]]-Table1_1[[#This Row],[Total cost]]</f>
        <v>115188</v>
      </c>
      <c r="V226" s="4">
        <f>IFERROR(Table1_1[[#This Row],[Profit/Loss]]/Table1_1[[#This Row],[Calculated sales]],0)</f>
        <v>0.17877230230565799</v>
      </c>
    </row>
    <row r="227" spans="1:22" x14ac:dyDescent="0.25">
      <c r="A227" s="4" t="s">
        <v>371</v>
      </c>
      <c r="B227" s="5">
        <v>45418</v>
      </c>
      <c r="C227" s="4">
        <f>YEAR(Table1_1[[#This Row],[Order Dates]])</f>
        <v>2024</v>
      </c>
      <c r="D227" s="6">
        <f>MONTH(Table1_1[[#This Row],[Order Dates]])</f>
        <v>5</v>
      </c>
      <c r="E227" s="4" t="s">
        <v>56</v>
      </c>
      <c r="F227" s="4" t="s">
        <v>72</v>
      </c>
      <c r="G227" s="4" t="s">
        <v>134</v>
      </c>
      <c r="H227" s="4" t="str">
        <f>TRIM(CLEAN(SUBSTITUTE(Table1_1[[#This Row],[Salesperson]],"   "," ")))</f>
        <v>Divya Nair</v>
      </c>
      <c r="I227" s="4" t="s">
        <v>45</v>
      </c>
      <c r="J227" s="4" t="s">
        <v>46</v>
      </c>
      <c r="K227" s="4" t="s">
        <v>179</v>
      </c>
      <c r="L227" s="4" t="s">
        <v>180</v>
      </c>
      <c r="M227" s="4" t="s">
        <v>40</v>
      </c>
      <c r="N227" s="4" t="s">
        <v>24</v>
      </c>
      <c r="O227" s="4">
        <v>14</v>
      </c>
      <c r="P227" s="7">
        <v>3690</v>
      </c>
      <c r="Q227" s="8">
        <v>0.2</v>
      </c>
      <c r="R227" s="7">
        <v>2240</v>
      </c>
      <c r="S227" s="7">
        <f>Table1_1[[#This Row],[Units Sold]]*Table1_1[[#This Row],[Unit Price]]*(1-Table1_1[[#This Row],[Discount %]])</f>
        <v>41328</v>
      </c>
      <c r="T227" s="7">
        <f>Table1_1[[#This Row],[Units Sold]]*Table1_1[[#This Row],[Unit Cost]]</f>
        <v>31360</v>
      </c>
      <c r="U227" s="7">
        <f>Table1_1[[#This Row],[Calculated sales]]-Table1_1[[#This Row],[Total cost]]</f>
        <v>9968</v>
      </c>
      <c r="V227" s="4">
        <f>IFERROR(Table1_1[[#This Row],[Profit/Loss]]/Table1_1[[#This Row],[Calculated sales]],0)</f>
        <v>0.24119241192411925</v>
      </c>
    </row>
    <row r="228" spans="1:22" x14ac:dyDescent="0.25">
      <c r="A228" s="4" t="s">
        <v>372</v>
      </c>
      <c r="B228" s="5">
        <v>45419</v>
      </c>
      <c r="C228" s="4">
        <f>YEAR(Table1_1[[#This Row],[Order Dates]])</f>
        <v>2024</v>
      </c>
      <c r="D228" s="6">
        <f>MONTH(Table1_1[[#This Row],[Order Dates]])</f>
        <v>5</v>
      </c>
      <c r="E228" s="4" t="s">
        <v>56</v>
      </c>
      <c r="F228" s="4" t="s">
        <v>72</v>
      </c>
      <c r="G228" s="4" t="s">
        <v>91</v>
      </c>
      <c r="H228" s="4" t="str">
        <f>TRIM(CLEAN(SUBSTITUTE(Table1_1[[#This Row],[Salesperson]],"   "," ")))</f>
        <v>Anjali Menon</v>
      </c>
      <c r="I228" s="4" t="s">
        <v>19</v>
      </c>
      <c r="J228" s="4" t="s">
        <v>59</v>
      </c>
      <c r="K228" s="4" t="s">
        <v>73</v>
      </c>
      <c r="L228" s="4" t="s">
        <v>113</v>
      </c>
      <c r="M228" s="4" t="s">
        <v>23</v>
      </c>
      <c r="N228" s="4" t="s">
        <v>24</v>
      </c>
      <c r="O228" s="4">
        <v>1</v>
      </c>
      <c r="P228" s="7">
        <v>31730</v>
      </c>
      <c r="Q228" s="8">
        <v>0.1</v>
      </c>
      <c r="R228" s="7">
        <v>22860</v>
      </c>
      <c r="S228" s="7">
        <f>Table1_1[[#This Row],[Units Sold]]*Table1_1[[#This Row],[Unit Price]]*(1-Table1_1[[#This Row],[Discount %]])</f>
        <v>28557</v>
      </c>
      <c r="T228" s="7">
        <f>Table1_1[[#This Row],[Units Sold]]*Table1_1[[#This Row],[Unit Cost]]</f>
        <v>22860</v>
      </c>
      <c r="U228" s="7">
        <f>Table1_1[[#This Row],[Calculated sales]]-Table1_1[[#This Row],[Total cost]]</f>
        <v>5697</v>
      </c>
      <c r="V228" s="4">
        <f>IFERROR(Table1_1[[#This Row],[Profit/Loss]]/Table1_1[[#This Row],[Calculated sales]],0)</f>
        <v>0.19949574535140246</v>
      </c>
    </row>
    <row r="229" spans="1:22" x14ac:dyDescent="0.25">
      <c r="A229" s="4" t="s">
        <v>373</v>
      </c>
      <c r="B229" s="5">
        <v>45420</v>
      </c>
      <c r="C229" s="4">
        <f>YEAR(Table1_1[[#This Row],[Order Dates]])</f>
        <v>2024</v>
      </c>
      <c r="D229" s="6">
        <f>MONTH(Table1_1[[#This Row],[Order Dates]])</f>
        <v>5</v>
      </c>
      <c r="E229" s="4" t="s">
        <v>42</v>
      </c>
      <c r="F229" s="4" t="s">
        <v>130</v>
      </c>
      <c r="G229" s="4" t="s">
        <v>44</v>
      </c>
      <c r="H229" s="4" t="str">
        <f>TRIM(CLEAN(SUBSTITUTE(Table1_1[[#This Row],[Salesperson]],"   "," ")))</f>
        <v>Simran Kaur</v>
      </c>
      <c r="I229" s="4" t="s">
        <v>19</v>
      </c>
      <c r="J229" s="4" t="s">
        <v>59</v>
      </c>
      <c r="K229" s="4" t="s">
        <v>154</v>
      </c>
      <c r="L229" s="4" t="s">
        <v>155</v>
      </c>
      <c r="M229" s="4" t="s">
        <v>23</v>
      </c>
      <c r="N229" s="4" t="s">
        <v>24</v>
      </c>
      <c r="O229" s="4">
        <v>4</v>
      </c>
      <c r="P229" s="7">
        <v>12580</v>
      </c>
      <c r="Q229" s="8">
        <v>0.1</v>
      </c>
      <c r="R229" s="7">
        <v>9030</v>
      </c>
      <c r="S229" s="7">
        <f>Table1_1[[#This Row],[Units Sold]]*Table1_1[[#This Row],[Unit Price]]*(1-Table1_1[[#This Row],[Discount %]])</f>
        <v>45288</v>
      </c>
      <c r="T229" s="7">
        <f>Table1_1[[#This Row],[Units Sold]]*Table1_1[[#This Row],[Unit Cost]]</f>
        <v>36120</v>
      </c>
      <c r="U229" s="7">
        <f>Table1_1[[#This Row],[Calculated sales]]-Table1_1[[#This Row],[Total cost]]</f>
        <v>9168</v>
      </c>
      <c r="V229" s="4">
        <f>IFERROR(Table1_1[[#This Row],[Profit/Loss]]/Table1_1[[#This Row],[Calculated sales]],0)</f>
        <v>0.20243773184949657</v>
      </c>
    </row>
    <row r="230" spans="1:22" x14ac:dyDescent="0.25">
      <c r="A230" s="4" t="s">
        <v>374</v>
      </c>
      <c r="B230" s="5">
        <v>45420</v>
      </c>
      <c r="C230" s="4">
        <f>YEAR(Table1_1[[#This Row],[Order Dates]])</f>
        <v>2024</v>
      </c>
      <c r="D230" s="6">
        <f>MONTH(Table1_1[[#This Row],[Order Dates]])</f>
        <v>5</v>
      </c>
      <c r="E230" s="4" t="s">
        <v>42</v>
      </c>
      <c r="F230" s="4" t="s">
        <v>96</v>
      </c>
      <c r="G230" s="4" t="s">
        <v>64</v>
      </c>
      <c r="H230" s="4" t="str">
        <f>TRIM(CLEAN(SUBSTITUTE(Table1_1[[#This Row],[Salesperson]],"   "," ")))</f>
        <v>Aditya Verma</v>
      </c>
      <c r="I230" s="4" t="s">
        <v>19</v>
      </c>
      <c r="J230" s="4" t="s">
        <v>20</v>
      </c>
      <c r="K230" s="4" t="s">
        <v>109</v>
      </c>
      <c r="L230" s="4" t="s">
        <v>1675</v>
      </c>
      <c r="M230" s="4" t="s">
        <v>40</v>
      </c>
      <c r="N230" s="4" t="s">
        <v>24</v>
      </c>
      <c r="O230" s="4">
        <v>1</v>
      </c>
      <c r="P230" s="7">
        <v>71260</v>
      </c>
      <c r="Q230" s="8">
        <v>0.15</v>
      </c>
      <c r="R230" s="7">
        <v>54860</v>
      </c>
      <c r="S230" s="7">
        <f>Table1_1[[#This Row],[Units Sold]]*Table1_1[[#This Row],[Unit Price]]*(1-Table1_1[[#This Row],[Discount %]])</f>
        <v>60571</v>
      </c>
      <c r="T230" s="7">
        <f>Table1_1[[#This Row],[Units Sold]]*Table1_1[[#This Row],[Unit Cost]]</f>
        <v>54860</v>
      </c>
      <c r="U230" s="7">
        <f>Table1_1[[#This Row],[Calculated sales]]-Table1_1[[#This Row],[Total cost]]</f>
        <v>5711</v>
      </c>
      <c r="V230" s="4">
        <f>IFERROR(Table1_1[[#This Row],[Profit/Loss]]/Table1_1[[#This Row],[Calculated sales]],0)</f>
        <v>9.4286044476729794E-2</v>
      </c>
    </row>
    <row r="231" spans="1:22" x14ac:dyDescent="0.25">
      <c r="A231" s="4" t="s">
        <v>375</v>
      </c>
      <c r="B231" s="5">
        <v>45420</v>
      </c>
      <c r="C231" s="4">
        <f>YEAR(Table1_1[[#This Row],[Order Dates]])</f>
        <v>2024</v>
      </c>
      <c r="D231" s="6">
        <f>MONTH(Table1_1[[#This Row],[Order Dates]])</f>
        <v>5</v>
      </c>
      <c r="E231" s="4" t="s">
        <v>56</v>
      </c>
      <c r="F231" s="4" t="s">
        <v>133</v>
      </c>
      <c r="G231" s="4" t="s">
        <v>58</v>
      </c>
      <c r="H231" s="4" t="str">
        <f>TRIM(CLEAN(SUBSTITUTE(Table1_1[[#This Row],[Salesperson]],"   "," ")))</f>
        <v>Karthik Raman</v>
      </c>
      <c r="I231" s="4" t="s">
        <v>19</v>
      </c>
      <c r="J231" s="4" t="s">
        <v>27</v>
      </c>
      <c r="K231" s="4" t="s">
        <v>53</v>
      </c>
      <c r="L231" s="4" t="s">
        <v>1676</v>
      </c>
      <c r="M231" s="4" t="s">
        <v>23</v>
      </c>
      <c r="N231" s="4" t="s">
        <v>24</v>
      </c>
      <c r="O231" s="4">
        <v>4</v>
      </c>
      <c r="P231" s="7">
        <v>37280</v>
      </c>
      <c r="Q231" s="8">
        <v>0.1</v>
      </c>
      <c r="R231" s="7">
        <v>26310</v>
      </c>
      <c r="S231" s="7">
        <f>Table1_1[[#This Row],[Units Sold]]*Table1_1[[#This Row],[Unit Price]]*(1-Table1_1[[#This Row],[Discount %]])</f>
        <v>134208</v>
      </c>
      <c r="T231" s="7">
        <f>Table1_1[[#This Row],[Units Sold]]*Table1_1[[#This Row],[Unit Cost]]</f>
        <v>105240</v>
      </c>
      <c r="U231" s="7">
        <f>Table1_1[[#This Row],[Calculated sales]]-Table1_1[[#This Row],[Total cost]]</f>
        <v>28968</v>
      </c>
      <c r="V231" s="4">
        <f>IFERROR(Table1_1[[#This Row],[Profit/Loss]]/Table1_1[[#This Row],[Calculated sales]],0)</f>
        <v>0.21584406294706723</v>
      </c>
    </row>
    <row r="232" spans="1:22" x14ac:dyDescent="0.25">
      <c r="A232" s="4" t="s">
        <v>376</v>
      </c>
      <c r="B232" s="5">
        <v>45420</v>
      </c>
      <c r="C232" s="4">
        <f>YEAR(Table1_1[[#This Row],[Order Dates]])</f>
        <v>2024</v>
      </c>
      <c r="D232" s="6">
        <f>MONTH(Table1_1[[#This Row],[Order Dates]])</f>
        <v>5</v>
      </c>
      <c r="E232" s="4" t="s">
        <v>56</v>
      </c>
      <c r="F232" s="4" t="s">
        <v>143</v>
      </c>
      <c r="G232" s="4" t="s">
        <v>134</v>
      </c>
      <c r="H232" s="4" t="str">
        <f>TRIM(CLEAN(SUBSTITUTE(Table1_1[[#This Row],[Salesperson]],"   "," ")))</f>
        <v>Divya Nair</v>
      </c>
      <c r="I232" s="4" t="s">
        <v>19</v>
      </c>
      <c r="J232" s="4" t="s">
        <v>46</v>
      </c>
      <c r="K232" s="4" t="s">
        <v>47</v>
      </c>
      <c r="L232" s="4" t="s">
        <v>1673</v>
      </c>
      <c r="M232" s="4" t="s">
        <v>23</v>
      </c>
      <c r="N232" s="4" t="s">
        <v>24</v>
      </c>
      <c r="O232" s="4">
        <v>11</v>
      </c>
      <c r="P232" s="7">
        <v>1150</v>
      </c>
      <c r="Q232" s="8">
        <v>0.12</v>
      </c>
      <c r="R232" s="7">
        <v>770</v>
      </c>
      <c r="S232" s="7">
        <f>Table1_1[[#This Row],[Units Sold]]*Table1_1[[#This Row],[Unit Price]]*(1-Table1_1[[#This Row],[Discount %]])</f>
        <v>11132</v>
      </c>
      <c r="T232" s="7">
        <f>Table1_1[[#This Row],[Units Sold]]*Table1_1[[#This Row],[Unit Cost]]</f>
        <v>8470</v>
      </c>
      <c r="U232" s="7">
        <f>Table1_1[[#This Row],[Calculated sales]]-Table1_1[[#This Row],[Total cost]]</f>
        <v>2662</v>
      </c>
      <c r="V232" s="4">
        <f>IFERROR(Table1_1[[#This Row],[Profit/Loss]]/Table1_1[[#This Row],[Calculated sales]],0)</f>
        <v>0.2391304347826087</v>
      </c>
    </row>
    <row r="233" spans="1:22" x14ac:dyDescent="0.25">
      <c r="A233" s="4" t="s">
        <v>377</v>
      </c>
      <c r="B233" s="5">
        <v>45420</v>
      </c>
      <c r="C233" s="4">
        <f>YEAR(Table1_1[[#This Row],[Order Dates]])</f>
        <v>2024</v>
      </c>
      <c r="D233" s="6">
        <f>MONTH(Table1_1[[#This Row],[Order Dates]])</f>
        <v>5</v>
      </c>
      <c r="E233" s="4" t="s">
        <v>42</v>
      </c>
      <c r="F233" s="4" t="s">
        <v>130</v>
      </c>
      <c r="G233" s="4" t="s">
        <v>97</v>
      </c>
      <c r="H233" s="4" t="str">
        <f>TRIM(CLEAN(SUBSTITUTE(Table1_1[[#This Row],[Salesperson]],"   "," ")))</f>
        <v>Rohit Malhotra</v>
      </c>
      <c r="I233" s="4" t="s">
        <v>52</v>
      </c>
      <c r="J233" s="4" t="s">
        <v>46</v>
      </c>
      <c r="K233" s="4" t="s">
        <v>100</v>
      </c>
      <c r="L233" s="4" t="s">
        <v>177</v>
      </c>
      <c r="M233" s="4" t="s">
        <v>23</v>
      </c>
      <c r="N233" s="4" t="s">
        <v>24</v>
      </c>
      <c r="O233" s="4">
        <v>11</v>
      </c>
      <c r="P233" s="7">
        <v>2660</v>
      </c>
      <c r="Q233" s="8">
        <v>0.12</v>
      </c>
      <c r="R233" s="7">
        <v>1930</v>
      </c>
      <c r="S233" s="7">
        <f>Table1_1[[#This Row],[Units Sold]]*Table1_1[[#This Row],[Unit Price]]*(1-Table1_1[[#This Row],[Discount %]])</f>
        <v>25748.799999999999</v>
      </c>
      <c r="T233" s="7">
        <f>Table1_1[[#This Row],[Units Sold]]*Table1_1[[#This Row],[Unit Cost]]</f>
        <v>21230</v>
      </c>
      <c r="U233" s="7">
        <f>Table1_1[[#This Row],[Calculated sales]]-Table1_1[[#This Row],[Total cost]]</f>
        <v>4518.7999999999993</v>
      </c>
      <c r="V233" s="4">
        <f>IFERROR(Table1_1[[#This Row],[Profit/Loss]]/Table1_1[[#This Row],[Calculated sales]],0)</f>
        <v>0.17549555707450443</v>
      </c>
    </row>
    <row r="234" spans="1:22" x14ac:dyDescent="0.25">
      <c r="A234" s="4" t="s">
        <v>378</v>
      </c>
      <c r="B234" s="5">
        <v>45420</v>
      </c>
      <c r="C234" s="4">
        <f>YEAR(Table1_1[[#This Row],[Order Dates]])</f>
        <v>2024</v>
      </c>
      <c r="D234" s="6">
        <f>MONTH(Table1_1[[#This Row],[Order Dates]])</f>
        <v>5</v>
      </c>
      <c r="E234" s="4" t="s">
        <v>37</v>
      </c>
      <c r="F234" s="4" t="s">
        <v>213</v>
      </c>
      <c r="G234" s="4" t="s">
        <v>68</v>
      </c>
      <c r="H234" s="4" t="str">
        <f>TRIM(CLEAN(SUBSTITUTE(Table1_1[[#This Row],[Salesperson]],"   "," ")))</f>
        <v>Ritika Ghosh</v>
      </c>
      <c r="I234" s="4" t="s">
        <v>92</v>
      </c>
      <c r="J234" s="4" t="s">
        <v>20</v>
      </c>
      <c r="K234" s="4" t="s">
        <v>33</v>
      </c>
      <c r="L234" s="4" t="s">
        <v>34</v>
      </c>
      <c r="M234" s="4" t="s">
        <v>23</v>
      </c>
      <c r="N234" s="4" t="s">
        <v>24</v>
      </c>
      <c r="O234" s="4">
        <v>6</v>
      </c>
      <c r="P234" s="7">
        <v>58280</v>
      </c>
      <c r="Q234" s="8">
        <v>0.12</v>
      </c>
      <c r="R234" s="7">
        <v>45370</v>
      </c>
      <c r="S234" s="7">
        <f>Table1_1[[#This Row],[Units Sold]]*Table1_1[[#This Row],[Unit Price]]*(1-Table1_1[[#This Row],[Discount %]])</f>
        <v>307718.40000000002</v>
      </c>
      <c r="T234" s="7">
        <f>Table1_1[[#This Row],[Units Sold]]*Table1_1[[#This Row],[Unit Cost]]</f>
        <v>272220</v>
      </c>
      <c r="U234" s="7">
        <f>Table1_1[[#This Row],[Calculated sales]]-Table1_1[[#This Row],[Total cost]]</f>
        <v>35498.400000000023</v>
      </c>
      <c r="V234" s="4">
        <f>IFERROR(Table1_1[[#This Row],[Profit/Loss]]/Table1_1[[#This Row],[Calculated sales]],0)</f>
        <v>0.11536001747051856</v>
      </c>
    </row>
    <row r="235" spans="1:22" x14ac:dyDescent="0.25">
      <c r="A235" s="4" t="s">
        <v>379</v>
      </c>
      <c r="B235" s="5">
        <v>45421</v>
      </c>
      <c r="C235" s="4">
        <f>YEAR(Table1_1[[#This Row],[Order Dates]])</f>
        <v>2024</v>
      </c>
      <c r="D235" s="6">
        <f>MONTH(Table1_1[[#This Row],[Order Dates]])</f>
        <v>5</v>
      </c>
      <c r="E235" s="4" t="s">
        <v>16</v>
      </c>
      <c r="F235" s="4" t="s">
        <v>17</v>
      </c>
      <c r="G235" s="4" t="s">
        <v>26</v>
      </c>
      <c r="H235" s="4" t="str">
        <f>TRIM(CLEAN(SUBSTITUTE(Table1_1[[#This Row],[Salesperson]],"   "," ")))</f>
        <v>Prateek Shah</v>
      </c>
      <c r="I235" s="4" t="s">
        <v>92</v>
      </c>
      <c r="J235" s="4" t="s">
        <v>20</v>
      </c>
      <c r="K235" s="4" t="s">
        <v>33</v>
      </c>
      <c r="L235" s="4" t="s">
        <v>1678</v>
      </c>
      <c r="M235" s="4" t="s">
        <v>23</v>
      </c>
      <c r="N235" s="4" t="s">
        <v>24</v>
      </c>
      <c r="O235" s="4">
        <v>7</v>
      </c>
      <c r="P235" s="7">
        <v>106220</v>
      </c>
      <c r="Q235" s="8">
        <v>0.25</v>
      </c>
      <c r="R235" s="7">
        <v>69670</v>
      </c>
      <c r="S235" s="7">
        <f>Table1_1[[#This Row],[Units Sold]]*Table1_1[[#This Row],[Unit Price]]*(1-Table1_1[[#This Row],[Discount %]])</f>
        <v>557655</v>
      </c>
      <c r="T235" s="7">
        <f>Table1_1[[#This Row],[Units Sold]]*Table1_1[[#This Row],[Unit Cost]]</f>
        <v>487690</v>
      </c>
      <c r="U235" s="7">
        <f>Table1_1[[#This Row],[Calculated sales]]-Table1_1[[#This Row],[Total cost]]</f>
        <v>69965</v>
      </c>
      <c r="V235" s="4">
        <f>IFERROR(Table1_1[[#This Row],[Profit/Loss]]/Table1_1[[#This Row],[Calculated sales]],0)</f>
        <v>0.12546287579238061</v>
      </c>
    </row>
    <row r="236" spans="1:22" x14ac:dyDescent="0.25">
      <c r="A236" s="4" t="s">
        <v>380</v>
      </c>
      <c r="B236" s="5">
        <v>45421</v>
      </c>
      <c r="C236" s="4">
        <f>YEAR(Table1_1[[#This Row],[Order Dates]])</f>
        <v>2024</v>
      </c>
      <c r="D236" s="6">
        <f>MONTH(Table1_1[[#This Row],[Order Dates]])</f>
        <v>5</v>
      </c>
      <c r="E236" s="4" t="s">
        <v>37</v>
      </c>
      <c r="F236" s="4" t="s">
        <v>213</v>
      </c>
      <c r="G236" s="4" t="s">
        <v>39</v>
      </c>
      <c r="H236" s="4" t="str">
        <f>TRIM(CLEAN(SUBSTITUTE(Table1_1[[#This Row],[Salesperson]],"   "," ")))</f>
        <v>Sourav Das</v>
      </c>
      <c r="I236" s="4" t="s">
        <v>92</v>
      </c>
      <c r="J236" s="4" t="s">
        <v>46</v>
      </c>
      <c r="K236" s="4" t="s">
        <v>47</v>
      </c>
      <c r="L236" s="4" t="s">
        <v>259</v>
      </c>
      <c r="M236" s="4" t="s">
        <v>40</v>
      </c>
      <c r="N236" s="4" t="s">
        <v>24</v>
      </c>
      <c r="O236" s="4">
        <v>64</v>
      </c>
      <c r="P236" s="7">
        <v>2830</v>
      </c>
      <c r="Q236" s="8">
        <v>0.05</v>
      </c>
      <c r="R236" s="7">
        <v>2080</v>
      </c>
      <c r="S236" s="7">
        <f>Table1_1[[#This Row],[Units Sold]]*Table1_1[[#This Row],[Unit Price]]*(1-Table1_1[[#This Row],[Discount %]])</f>
        <v>172064</v>
      </c>
      <c r="T236" s="7">
        <f>Table1_1[[#This Row],[Units Sold]]*Table1_1[[#This Row],[Unit Cost]]</f>
        <v>133120</v>
      </c>
      <c r="U236" s="7">
        <f>Table1_1[[#This Row],[Calculated sales]]-Table1_1[[#This Row],[Total cost]]</f>
        <v>38944</v>
      </c>
      <c r="V236" s="4">
        <f>IFERROR(Table1_1[[#This Row],[Profit/Loss]]/Table1_1[[#This Row],[Calculated sales]],0)</f>
        <v>0.22633438720476101</v>
      </c>
    </row>
    <row r="237" spans="1:22" x14ac:dyDescent="0.25">
      <c r="A237" s="4" t="s">
        <v>381</v>
      </c>
      <c r="B237" s="5">
        <v>45422</v>
      </c>
      <c r="C237" s="4">
        <f>YEAR(Table1_1[[#This Row],[Order Dates]])</f>
        <v>2024</v>
      </c>
      <c r="D237" s="6">
        <f>MONTH(Table1_1[[#This Row],[Order Dates]])</f>
        <v>5</v>
      </c>
      <c r="E237" s="4" t="s">
        <v>16</v>
      </c>
      <c r="F237" s="4" t="s">
        <v>153</v>
      </c>
      <c r="G237" s="4" t="s">
        <v>32</v>
      </c>
      <c r="H237" s="4" t="str">
        <f>TRIM(CLEAN(SUBSTITUTE(Table1_1[[#This Row],[Salesperson]],"   "," ")))</f>
        <v>Neha Deshpande</v>
      </c>
      <c r="I237" s="4" t="s">
        <v>19</v>
      </c>
      <c r="J237" s="4" t="s">
        <v>20</v>
      </c>
      <c r="K237" s="4" t="s">
        <v>109</v>
      </c>
      <c r="L237" s="4" t="s">
        <v>171</v>
      </c>
      <c r="M237" s="4" t="s">
        <v>40</v>
      </c>
      <c r="N237" s="4" t="s">
        <v>94</v>
      </c>
      <c r="O237" s="4">
        <v>1</v>
      </c>
      <c r="P237" s="7">
        <v>21510</v>
      </c>
      <c r="Q237" s="8">
        <v>0.2</v>
      </c>
      <c r="R237" s="7">
        <v>13970</v>
      </c>
      <c r="S237" s="7">
        <f>Table1_1[[#This Row],[Units Sold]]*Table1_1[[#This Row],[Unit Price]]*(1-Table1_1[[#This Row],[Discount %]])</f>
        <v>17208</v>
      </c>
      <c r="T237" s="7">
        <f>Table1_1[[#This Row],[Units Sold]]*Table1_1[[#This Row],[Unit Cost]]</f>
        <v>13970</v>
      </c>
      <c r="U237" s="7">
        <f>Table1_1[[#This Row],[Calculated sales]]-Table1_1[[#This Row],[Total cost]]</f>
        <v>3238</v>
      </c>
      <c r="V237" s="4">
        <f>IFERROR(Table1_1[[#This Row],[Profit/Loss]]/Table1_1[[#This Row],[Calculated sales]],0)</f>
        <v>0.18816829381682937</v>
      </c>
    </row>
    <row r="238" spans="1:22" x14ac:dyDescent="0.25">
      <c r="A238" s="4" t="s">
        <v>382</v>
      </c>
      <c r="B238" s="5">
        <v>45423</v>
      </c>
      <c r="C238" s="4">
        <f>YEAR(Table1_1[[#This Row],[Order Dates]])</f>
        <v>2024</v>
      </c>
      <c r="D238" s="6">
        <f>MONTH(Table1_1[[#This Row],[Order Dates]])</f>
        <v>5</v>
      </c>
      <c r="E238" s="4" t="s">
        <v>56</v>
      </c>
      <c r="F238" s="4" t="s">
        <v>57</v>
      </c>
      <c r="G238" s="4" t="s">
        <v>91</v>
      </c>
      <c r="H238" s="4" t="str">
        <f>TRIM(CLEAN(SUBSTITUTE(Table1_1[[#This Row],[Salesperson]],"   "," ")))</f>
        <v>Anjali Menon</v>
      </c>
      <c r="I238" s="4" t="s">
        <v>92</v>
      </c>
      <c r="J238" s="4" t="s">
        <v>83</v>
      </c>
      <c r="K238" s="4" t="s">
        <v>136</v>
      </c>
      <c r="L238" s="4" t="s">
        <v>137</v>
      </c>
      <c r="M238" s="4" t="s">
        <v>40</v>
      </c>
      <c r="N238" s="4" t="s">
        <v>24</v>
      </c>
      <c r="O238" s="4">
        <v>36</v>
      </c>
      <c r="P238" s="7">
        <v>1710</v>
      </c>
      <c r="Q238" s="8">
        <v>0.12</v>
      </c>
      <c r="R238" s="7">
        <v>1080</v>
      </c>
      <c r="S238" s="7">
        <f>Table1_1[[#This Row],[Units Sold]]*Table1_1[[#This Row],[Unit Price]]*(1-Table1_1[[#This Row],[Discount %]])</f>
        <v>54172.800000000003</v>
      </c>
      <c r="T238" s="7">
        <f>Table1_1[[#This Row],[Units Sold]]*Table1_1[[#This Row],[Unit Cost]]</f>
        <v>38880</v>
      </c>
      <c r="U238" s="7">
        <f>Table1_1[[#This Row],[Calculated sales]]-Table1_1[[#This Row],[Total cost]]</f>
        <v>15292.800000000003</v>
      </c>
      <c r="V238" s="4">
        <f>IFERROR(Table1_1[[#This Row],[Profit/Loss]]/Table1_1[[#This Row],[Calculated sales]],0)</f>
        <v>0.28229665071770338</v>
      </c>
    </row>
    <row r="239" spans="1:22" x14ac:dyDescent="0.25">
      <c r="A239" s="4" t="s">
        <v>383</v>
      </c>
      <c r="B239" s="5">
        <v>45423</v>
      </c>
      <c r="C239" s="4">
        <f>YEAR(Table1_1[[#This Row],[Order Dates]])</f>
        <v>2024</v>
      </c>
      <c r="D239" s="6">
        <f>MONTH(Table1_1[[#This Row],[Order Dates]])</f>
        <v>5</v>
      </c>
      <c r="E239" s="4" t="s">
        <v>37</v>
      </c>
      <c r="F239" s="4" t="s">
        <v>38</v>
      </c>
      <c r="G239" s="4" t="s">
        <v>39</v>
      </c>
      <c r="H239" s="4" t="str">
        <f>TRIM(CLEAN(SUBSTITUTE(Table1_1[[#This Row],[Salesperson]],"   "," ")))</f>
        <v>Sourav Das</v>
      </c>
      <c r="I239" s="4" t="s">
        <v>92</v>
      </c>
      <c r="J239" s="4" t="s">
        <v>46</v>
      </c>
      <c r="K239" s="4" t="s">
        <v>47</v>
      </c>
      <c r="L239" s="4" t="s">
        <v>1673</v>
      </c>
      <c r="M239" s="4" t="s">
        <v>40</v>
      </c>
      <c r="N239" s="4" t="s">
        <v>24</v>
      </c>
      <c r="O239" s="4">
        <v>17</v>
      </c>
      <c r="P239" s="7">
        <v>1180</v>
      </c>
      <c r="Q239" s="8">
        <v>0.18</v>
      </c>
      <c r="R239" s="7">
        <v>820</v>
      </c>
      <c r="S239" s="7">
        <f>Table1_1[[#This Row],[Units Sold]]*Table1_1[[#This Row],[Unit Price]]*(1-Table1_1[[#This Row],[Discount %]])</f>
        <v>16449.2</v>
      </c>
      <c r="T239" s="7">
        <f>Table1_1[[#This Row],[Units Sold]]*Table1_1[[#This Row],[Unit Cost]]</f>
        <v>13940</v>
      </c>
      <c r="U239" s="7">
        <f>Table1_1[[#This Row],[Calculated sales]]-Table1_1[[#This Row],[Total cost]]</f>
        <v>2509.2000000000007</v>
      </c>
      <c r="V239" s="4">
        <f>IFERROR(Table1_1[[#This Row],[Profit/Loss]]/Table1_1[[#This Row],[Calculated sales]],0)</f>
        <v>0.15254237288135597</v>
      </c>
    </row>
    <row r="240" spans="1:22" x14ac:dyDescent="0.25">
      <c r="A240" s="4" t="s">
        <v>384</v>
      </c>
      <c r="B240" s="5">
        <v>45423</v>
      </c>
      <c r="C240" s="4">
        <f>YEAR(Table1_1[[#This Row],[Order Dates]])</f>
        <v>2024</v>
      </c>
      <c r="D240" s="6">
        <f>MONTH(Table1_1[[#This Row],[Order Dates]])</f>
        <v>5</v>
      </c>
      <c r="E240" s="4" t="s">
        <v>16</v>
      </c>
      <c r="F240" s="4" t="s">
        <v>153</v>
      </c>
      <c r="G240" s="4" t="s">
        <v>18</v>
      </c>
      <c r="H240" s="4" t="str">
        <f>TRIM(CLEAN(SUBSTITUTE(Table1_1[[#This Row],[Salesperson]],"   "," ")))</f>
        <v>Imran Sheikh</v>
      </c>
      <c r="I240" s="4" t="s">
        <v>19</v>
      </c>
      <c r="J240" s="4" t="s">
        <v>27</v>
      </c>
      <c r="K240" s="4" t="s">
        <v>214</v>
      </c>
      <c r="L240" s="4" t="s">
        <v>1681</v>
      </c>
      <c r="M240" s="4" t="s">
        <v>49</v>
      </c>
      <c r="N240" s="4" t="s">
        <v>24</v>
      </c>
      <c r="O240" s="4">
        <v>3</v>
      </c>
      <c r="P240" s="7">
        <v>14240</v>
      </c>
      <c r="Q240" s="8">
        <v>0.05</v>
      </c>
      <c r="R240" s="7">
        <v>8570</v>
      </c>
      <c r="S240" s="7">
        <f>Table1_1[[#This Row],[Units Sold]]*Table1_1[[#This Row],[Unit Price]]*(1-Table1_1[[#This Row],[Discount %]])</f>
        <v>40584</v>
      </c>
      <c r="T240" s="7">
        <f>Table1_1[[#This Row],[Units Sold]]*Table1_1[[#This Row],[Unit Cost]]</f>
        <v>25710</v>
      </c>
      <c r="U240" s="7">
        <f>Table1_1[[#This Row],[Calculated sales]]-Table1_1[[#This Row],[Total cost]]</f>
        <v>14874</v>
      </c>
      <c r="V240" s="4">
        <f>IFERROR(Table1_1[[#This Row],[Profit/Loss]]/Table1_1[[#This Row],[Calculated sales]],0)</f>
        <v>0.36649911295091664</v>
      </c>
    </row>
    <row r="241" spans="1:22" x14ac:dyDescent="0.25">
      <c r="A241" s="4" t="s">
        <v>385</v>
      </c>
      <c r="B241" s="5">
        <v>45423</v>
      </c>
      <c r="C241" s="4">
        <f>YEAR(Table1_1[[#This Row],[Order Dates]])</f>
        <v>2024</v>
      </c>
      <c r="D241" s="6">
        <f>MONTH(Table1_1[[#This Row],[Order Dates]])</f>
        <v>5</v>
      </c>
      <c r="E241" s="4" t="s">
        <v>76</v>
      </c>
      <c r="F241" s="4" t="s">
        <v>77</v>
      </c>
      <c r="G241" s="4" t="s">
        <v>170</v>
      </c>
      <c r="H241" s="4" t="str">
        <f>TRIM(CLEAN(SUBSTITUTE(Table1_1[[#This Row],[Salesperson]],"   "," ")))</f>
        <v>Manish Tiwari</v>
      </c>
      <c r="I241" s="4" t="s">
        <v>19</v>
      </c>
      <c r="J241" s="4" t="s">
        <v>59</v>
      </c>
      <c r="K241" s="4" t="s">
        <v>69</v>
      </c>
      <c r="L241" s="4" t="s">
        <v>121</v>
      </c>
      <c r="M241" s="4" t="s">
        <v>23</v>
      </c>
      <c r="N241" s="4" t="s">
        <v>24</v>
      </c>
      <c r="O241" s="4">
        <v>5</v>
      </c>
      <c r="P241" s="7">
        <v>3430</v>
      </c>
      <c r="Q241" s="8">
        <v>0</v>
      </c>
      <c r="R241" s="7">
        <v>2610</v>
      </c>
      <c r="S241" s="7">
        <f>Table1_1[[#This Row],[Units Sold]]*Table1_1[[#This Row],[Unit Price]]*(1-Table1_1[[#This Row],[Discount %]])</f>
        <v>17150</v>
      </c>
      <c r="T241" s="7">
        <f>Table1_1[[#This Row],[Units Sold]]*Table1_1[[#This Row],[Unit Cost]]</f>
        <v>13050</v>
      </c>
      <c r="U241" s="7">
        <f>Table1_1[[#This Row],[Calculated sales]]-Table1_1[[#This Row],[Total cost]]</f>
        <v>4100</v>
      </c>
      <c r="V241" s="4">
        <f>IFERROR(Table1_1[[#This Row],[Profit/Loss]]/Table1_1[[#This Row],[Calculated sales]],0)</f>
        <v>0.239067055393586</v>
      </c>
    </row>
    <row r="242" spans="1:22" x14ac:dyDescent="0.25">
      <c r="A242" s="4" t="s">
        <v>386</v>
      </c>
      <c r="B242" s="5">
        <v>45424</v>
      </c>
      <c r="C242" s="4">
        <f>YEAR(Table1_1[[#This Row],[Order Dates]])</f>
        <v>2024</v>
      </c>
      <c r="D242" s="6">
        <f>MONTH(Table1_1[[#This Row],[Order Dates]])</f>
        <v>5</v>
      </c>
      <c r="E242" s="4" t="s">
        <v>16</v>
      </c>
      <c r="F242" s="4" t="s">
        <v>153</v>
      </c>
      <c r="G242" s="4" t="s">
        <v>18</v>
      </c>
      <c r="H242" s="4" t="str">
        <f>TRIM(CLEAN(SUBSTITUTE(Table1_1[[#This Row],[Salesperson]],"   "," ")))</f>
        <v>Imran Sheikh</v>
      </c>
      <c r="I242" s="4" t="s">
        <v>45</v>
      </c>
      <c r="J242" s="4" t="s">
        <v>20</v>
      </c>
      <c r="K242" s="4" t="s">
        <v>33</v>
      </c>
      <c r="L242" s="4" t="s">
        <v>1678</v>
      </c>
      <c r="M242" s="4" t="s">
        <v>49</v>
      </c>
      <c r="N242" s="4" t="s">
        <v>24</v>
      </c>
      <c r="O242" s="4">
        <v>6</v>
      </c>
      <c r="P242" s="7">
        <v>109230</v>
      </c>
      <c r="Q242" s="8">
        <v>0.12</v>
      </c>
      <c r="R242" s="7">
        <v>80710</v>
      </c>
      <c r="S242" s="7">
        <f>Table1_1[[#This Row],[Units Sold]]*Table1_1[[#This Row],[Unit Price]]*(1-Table1_1[[#This Row],[Discount %]])</f>
        <v>576734.4</v>
      </c>
      <c r="T242" s="7">
        <f>Table1_1[[#This Row],[Units Sold]]*Table1_1[[#This Row],[Unit Cost]]</f>
        <v>484260</v>
      </c>
      <c r="U242" s="7">
        <f>Table1_1[[#This Row],[Calculated sales]]-Table1_1[[#This Row],[Total cost]]</f>
        <v>92474.400000000023</v>
      </c>
      <c r="V242" s="4">
        <f>IFERROR(Table1_1[[#This Row],[Profit/Loss]]/Table1_1[[#This Row],[Calculated sales]],0)</f>
        <v>0.16034139805081857</v>
      </c>
    </row>
    <row r="243" spans="1:22" x14ac:dyDescent="0.25">
      <c r="A243" s="4" t="s">
        <v>387</v>
      </c>
      <c r="B243" s="5">
        <v>45424</v>
      </c>
      <c r="C243" s="4">
        <f>YEAR(Table1_1[[#This Row],[Order Dates]])</f>
        <v>2024</v>
      </c>
      <c r="D243" s="6">
        <f>MONTH(Table1_1[[#This Row],[Order Dates]])</f>
        <v>5</v>
      </c>
      <c r="E243" s="4" t="s">
        <v>37</v>
      </c>
      <c r="F243" s="4" t="s">
        <v>115</v>
      </c>
      <c r="G243" s="4" t="s">
        <v>39</v>
      </c>
      <c r="H243" s="4" t="str">
        <f>TRIM(CLEAN(SUBSTITUTE(Table1_1[[#This Row],[Salesperson]],"   "," ")))</f>
        <v>Sourav Das</v>
      </c>
      <c r="I243" s="4" t="s">
        <v>45</v>
      </c>
      <c r="J243" s="4" t="s">
        <v>46</v>
      </c>
      <c r="K243" s="4" t="s">
        <v>100</v>
      </c>
      <c r="L243" s="4" t="s">
        <v>101</v>
      </c>
      <c r="M243" s="4" t="s">
        <v>49</v>
      </c>
      <c r="N243" s="4" t="s">
        <v>24</v>
      </c>
      <c r="O243" s="4">
        <v>39</v>
      </c>
      <c r="P243" s="7">
        <v>1970</v>
      </c>
      <c r="Q243" s="8">
        <v>0.15</v>
      </c>
      <c r="R243" s="7">
        <v>1340</v>
      </c>
      <c r="S243" s="7">
        <f>Table1_1[[#This Row],[Units Sold]]*Table1_1[[#This Row],[Unit Price]]*(1-Table1_1[[#This Row],[Discount %]])</f>
        <v>65305.5</v>
      </c>
      <c r="T243" s="7">
        <f>Table1_1[[#This Row],[Units Sold]]*Table1_1[[#This Row],[Unit Cost]]</f>
        <v>52260</v>
      </c>
      <c r="U243" s="7">
        <f>Table1_1[[#This Row],[Calculated sales]]-Table1_1[[#This Row],[Total cost]]</f>
        <v>13045.5</v>
      </c>
      <c r="V243" s="4">
        <f>IFERROR(Table1_1[[#This Row],[Profit/Loss]]/Table1_1[[#This Row],[Calculated sales]],0)</f>
        <v>0.19976112272320096</v>
      </c>
    </row>
    <row r="244" spans="1:22" x14ac:dyDescent="0.25">
      <c r="A244" s="4" t="s">
        <v>388</v>
      </c>
      <c r="B244" s="5">
        <v>45426</v>
      </c>
      <c r="C244" s="4">
        <f>YEAR(Table1_1[[#This Row],[Order Dates]])</f>
        <v>2024</v>
      </c>
      <c r="D244" s="6">
        <f>MONTH(Table1_1[[#This Row],[Order Dates]])</f>
        <v>5</v>
      </c>
      <c r="E244" s="4" t="s">
        <v>42</v>
      </c>
      <c r="F244" s="4" t="s">
        <v>130</v>
      </c>
      <c r="G244" s="4" t="s">
        <v>44</v>
      </c>
      <c r="H244" s="4" t="str">
        <f>TRIM(CLEAN(SUBSTITUTE(Table1_1[[#This Row],[Salesperson]],"   "," ")))</f>
        <v>Simran Kaur</v>
      </c>
      <c r="I244" s="4" t="s">
        <v>19</v>
      </c>
      <c r="J244" s="4" t="s">
        <v>46</v>
      </c>
      <c r="K244" s="4" t="s">
        <v>179</v>
      </c>
      <c r="L244" s="4" t="s">
        <v>180</v>
      </c>
      <c r="M244" s="4" t="s">
        <v>23</v>
      </c>
      <c r="N244" s="4" t="s">
        <v>24</v>
      </c>
      <c r="O244" s="4">
        <v>4</v>
      </c>
      <c r="P244" s="7">
        <v>4000</v>
      </c>
      <c r="Q244" s="8">
        <v>0.2</v>
      </c>
      <c r="R244" s="7">
        <v>2540</v>
      </c>
      <c r="S244" s="7">
        <f>Table1_1[[#This Row],[Units Sold]]*Table1_1[[#This Row],[Unit Price]]*(1-Table1_1[[#This Row],[Discount %]])</f>
        <v>12800</v>
      </c>
      <c r="T244" s="7">
        <f>Table1_1[[#This Row],[Units Sold]]*Table1_1[[#This Row],[Unit Cost]]</f>
        <v>10160</v>
      </c>
      <c r="U244" s="7">
        <f>Table1_1[[#This Row],[Calculated sales]]-Table1_1[[#This Row],[Total cost]]</f>
        <v>2640</v>
      </c>
      <c r="V244" s="4">
        <f>IFERROR(Table1_1[[#This Row],[Profit/Loss]]/Table1_1[[#This Row],[Calculated sales]],0)</f>
        <v>0.20624999999999999</v>
      </c>
    </row>
    <row r="245" spans="1:22" x14ac:dyDescent="0.25">
      <c r="A245" s="4" t="s">
        <v>389</v>
      </c>
      <c r="B245" s="5">
        <v>45426</v>
      </c>
      <c r="C245" s="4">
        <f>YEAR(Table1_1[[#This Row],[Order Dates]])</f>
        <v>2024</v>
      </c>
      <c r="D245" s="6">
        <f>MONTH(Table1_1[[#This Row],[Order Dates]])</f>
        <v>5</v>
      </c>
      <c r="E245" s="4" t="s">
        <v>42</v>
      </c>
      <c r="F245" s="4" t="s">
        <v>96</v>
      </c>
      <c r="G245" s="4" t="s">
        <v>64</v>
      </c>
      <c r="H245" s="4" t="str">
        <f>TRIM(CLEAN(SUBSTITUTE(Table1_1[[#This Row],[Salesperson]],"   "," ")))</f>
        <v>Aditya Verma</v>
      </c>
      <c r="I245" s="4" t="s">
        <v>19</v>
      </c>
      <c r="J245" s="4" t="s">
        <v>83</v>
      </c>
      <c r="K245" s="4" t="s">
        <v>136</v>
      </c>
      <c r="L245" s="4" t="s">
        <v>137</v>
      </c>
      <c r="M245" s="4" t="s">
        <v>23</v>
      </c>
      <c r="N245" s="4" t="s">
        <v>24</v>
      </c>
      <c r="O245" s="4">
        <v>11</v>
      </c>
      <c r="P245" s="7">
        <v>1710</v>
      </c>
      <c r="Q245" s="8">
        <v>0.05</v>
      </c>
      <c r="R245" s="7">
        <v>1050</v>
      </c>
      <c r="S245" s="7">
        <f>Table1_1[[#This Row],[Units Sold]]*Table1_1[[#This Row],[Unit Price]]*(1-Table1_1[[#This Row],[Discount %]])</f>
        <v>17869.5</v>
      </c>
      <c r="T245" s="7">
        <f>Table1_1[[#This Row],[Units Sold]]*Table1_1[[#This Row],[Unit Cost]]</f>
        <v>11550</v>
      </c>
      <c r="U245" s="7">
        <f>Table1_1[[#This Row],[Calculated sales]]-Table1_1[[#This Row],[Total cost]]</f>
        <v>6319.5</v>
      </c>
      <c r="V245" s="4">
        <f>IFERROR(Table1_1[[#This Row],[Profit/Loss]]/Table1_1[[#This Row],[Calculated sales]],0)</f>
        <v>0.35364727608494922</v>
      </c>
    </row>
    <row r="246" spans="1:22" x14ac:dyDescent="0.25">
      <c r="A246" s="4" t="s">
        <v>390</v>
      </c>
      <c r="B246" s="5">
        <v>45426</v>
      </c>
      <c r="C246" s="4">
        <f>YEAR(Table1_1[[#This Row],[Order Dates]])</f>
        <v>2024</v>
      </c>
      <c r="D246" s="6">
        <f>MONTH(Table1_1[[#This Row],[Order Dates]])</f>
        <v>5</v>
      </c>
      <c r="E246" s="4" t="s">
        <v>37</v>
      </c>
      <c r="F246" s="4" t="s">
        <v>67</v>
      </c>
      <c r="G246" s="4" t="s">
        <v>68</v>
      </c>
      <c r="H246" s="4" t="str">
        <f>TRIM(CLEAN(SUBSTITUTE(Table1_1[[#This Row],[Salesperson]],"   "," ")))</f>
        <v>Ritika Ghosh</v>
      </c>
      <c r="I246" s="4" t="s">
        <v>19</v>
      </c>
      <c r="J246" s="4" t="s">
        <v>20</v>
      </c>
      <c r="K246" s="4" t="s">
        <v>109</v>
      </c>
      <c r="L246" s="4" t="s">
        <v>171</v>
      </c>
      <c r="M246" s="4" t="s">
        <v>23</v>
      </c>
      <c r="N246" s="4" t="s">
        <v>24</v>
      </c>
      <c r="O246" s="4">
        <v>6</v>
      </c>
      <c r="P246" s="7">
        <v>21740</v>
      </c>
      <c r="Q246" s="8">
        <v>0.15</v>
      </c>
      <c r="R246" s="7">
        <v>16360</v>
      </c>
      <c r="S246" s="7">
        <f>Table1_1[[#This Row],[Units Sold]]*Table1_1[[#This Row],[Unit Price]]*(1-Table1_1[[#This Row],[Discount %]])</f>
        <v>110874</v>
      </c>
      <c r="T246" s="7">
        <f>Table1_1[[#This Row],[Units Sold]]*Table1_1[[#This Row],[Unit Cost]]</f>
        <v>98160</v>
      </c>
      <c r="U246" s="7">
        <f>Table1_1[[#This Row],[Calculated sales]]-Table1_1[[#This Row],[Total cost]]</f>
        <v>12714</v>
      </c>
      <c r="V246" s="4">
        <f>IFERROR(Table1_1[[#This Row],[Profit/Loss]]/Table1_1[[#This Row],[Calculated sales]],0)</f>
        <v>0.11467070728935548</v>
      </c>
    </row>
    <row r="247" spans="1:22" x14ac:dyDescent="0.25">
      <c r="A247" s="4" t="s">
        <v>391</v>
      </c>
      <c r="B247" s="5">
        <v>45426</v>
      </c>
      <c r="C247" s="4">
        <f>YEAR(Table1_1[[#This Row],[Order Dates]])</f>
        <v>2024</v>
      </c>
      <c r="D247" s="6">
        <f>MONTH(Table1_1[[#This Row],[Order Dates]])</f>
        <v>5</v>
      </c>
      <c r="E247" s="4" t="s">
        <v>42</v>
      </c>
      <c r="F247" s="4" t="s">
        <v>43</v>
      </c>
      <c r="G247" s="4" t="s">
        <v>44</v>
      </c>
      <c r="H247" s="4" t="str">
        <f>TRIM(CLEAN(SUBSTITUTE(Table1_1[[#This Row],[Salesperson]],"   "," ")))</f>
        <v>Simran Kaur</v>
      </c>
      <c r="I247" s="4" t="s">
        <v>92</v>
      </c>
      <c r="J247" s="4" t="s">
        <v>83</v>
      </c>
      <c r="K247" s="4" t="s">
        <v>136</v>
      </c>
      <c r="L247" s="4" t="s">
        <v>307</v>
      </c>
      <c r="M247" s="4" t="s">
        <v>23</v>
      </c>
      <c r="N247" s="4" t="s">
        <v>24</v>
      </c>
      <c r="O247" s="4">
        <v>22</v>
      </c>
      <c r="P247" s="7">
        <v>930</v>
      </c>
      <c r="Q247" s="8">
        <v>0</v>
      </c>
      <c r="R247" s="7">
        <v>600</v>
      </c>
      <c r="S247" s="7">
        <f>Table1_1[[#This Row],[Units Sold]]*Table1_1[[#This Row],[Unit Price]]*(1-Table1_1[[#This Row],[Discount %]])</f>
        <v>20460</v>
      </c>
      <c r="T247" s="7">
        <f>Table1_1[[#This Row],[Units Sold]]*Table1_1[[#This Row],[Unit Cost]]</f>
        <v>13200</v>
      </c>
      <c r="U247" s="7">
        <f>Table1_1[[#This Row],[Calculated sales]]-Table1_1[[#This Row],[Total cost]]</f>
        <v>7260</v>
      </c>
      <c r="V247" s="4">
        <f>IFERROR(Table1_1[[#This Row],[Profit/Loss]]/Table1_1[[#This Row],[Calculated sales]],0)</f>
        <v>0.35483870967741937</v>
      </c>
    </row>
    <row r="248" spans="1:22" x14ac:dyDescent="0.25">
      <c r="A248" s="4" t="s">
        <v>392</v>
      </c>
      <c r="B248" s="5">
        <v>45426</v>
      </c>
      <c r="C248" s="4">
        <f>YEAR(Table1_1[[#This Row],[Order Dates]])</f>
        <v>2024</v>
      </c>
      <c r="D248" s="6">
        <f>MONTH(Table1_1[[#This Row],[Order Dates]])</f>
        <v>5</v>
      </c>
      <c r="E248" s="4" t="s">
        <v>42</v>
      </c>
      <c r="F248" s="4" t="s">
        <v>146</v>
      </c>
      <c r="G248" s="4" t="s">
        <v>64</v>
      </c>
      <c r="H248" s="4" t="str">
        <f>TRIM(CLEAN(SUBSTITUTE(Table1_1[[#This Row],[Salesperson]],"   "," ")))</f>
        <v>Aditya Verma</v>
      </c>
      <c r="I248" s="4" t="s">
        <v>52</v>
      </c>
      <c r="J248" s="4" t="s">
        <v>27</v>
      </c>
      <c r="K248" s="4" t="s">
        <v>28</v>
      </c>
      <c r="L248" s="4" t="s">
        <v>141</v>
      </c>
      <c r="M248" s="4" t="s">
        <v>40</v>
      </c>
      <c r="N248" s="4" t="s">
        <v>24</v>
      </c>
      <c r="O248" s="4">
        <v>2</v>
      </c>
      <c r="P248" s="7">
        <v>16930</v>
      </c>
      <c r="Q248" s="8">
        <v>0.05</v>
      </c>
      <c r="R248" s="7">
        <v>12280</v>
      </c>
      <c r="S248" s="7">
        <f>Table1_1[[#This Row],[Units Sold]]*Table1_1[[#This Row],[Unit Price]]*(1-Table1_1[[#This Row],[Discount %]])</f>
        <v>32167</v>
      </c>
      <c r="T248" s="7">
        <f>Table1_1[[#This Row],[Units Sold]]*Table1_1[[#This Row],[Unit Cost]]</f>
        <v>24560</v>
      </c>
      <c r="U248" s="7">
        <f>Table1_1[[#This Row],[Calculated sales]]-Table1_1[[#This Row],[Total cost]]</f>
        <v>7607</v>
      </c>
      <c r="V248" s="4">
        <f>IFERROR(Table1_1[[#This Row],[Profit/Loss]]/Table1_1[[#This Row],[Calculated sales]],0)</f>
        <v>0.23648459601454908</v>
      </c>
    </row>
    <row r="249" spans="1:22" x14ac:dyDescent="0.25">
      <c r="A249" s="4" t="s">
        <v>393</v>
      </c>
      <c r="B249" s="5">
        <v>45426</v>
      </c>
      <c r="C249" s="4">
        <f>YEAR(Table1_1[[#This Row],[Order Dates]])</f>
        <v>2024</v>
      </c>
      <c r="D249" s="6">
        <f>MONTH(Table1_1[[#This Row],[Order Dates]])</f>
        <v>5</v>
      </c>
      <c r="E249" s="4" t="s">
        <v>37</v>
      </c>
      <c r="F249" s="4" t="s">
        <v>213</v>
      </c>
      <c r="G249" s="4" t="s">
        <v>68</v>
      </c>
      <c r="H249" s="4" t="str">
        <f>TRIM(CLEAN(SUBSTITUTE(Table1_1[[#This Row],[Salesperson]],"   "," ")))</f>
        <v>Ritika Ghosh</v>
      </c>
      <c r="I249" s="4" t="s">
        <v>19</v>
      </c>
      <c r="J249" s="4" t="s">
        <v>27</v>
      </c>
      <c r="K249" s="4" t="s">
        <v>28</v>
      </c>
      <c r="L249" s="4" t="s">
        <v>141</v>
      </c>
      <c r="M249" s="4" t="s">
        <v>23</v>
      </c>
      <c r="N249" s="4" t="s">
        <v>24</v>
      </c>
      <c r="O249" s="4">
        <v>3</v>
      </c>
      <c r="P249" s="7">
        <v>15470</v>
      </c>
      <c r="Q249" s="8">
        <v>0</v>
      </c>
      <c r="R249" s="7">
        <v>9170</v>
      </c>
      <c r="S249" s="7">
        <f>Table1_1[[#This Row],[Units Sold]]*Table1_1[[#This Row],[Unit Price]]*(1-Table1_1[[#This Row],[Discount %]])</f>
        <v>46410</v>
      </c>
      <c r="T249" s="7">
        <f>Table1_1[[#This Row],[Units Sold]]*Table1_1[[#This Row],[Unit Cost]]</f>
        <v>27510</v>
      </c>
      <c r="U249" s="7">
        <f>Table1_1[[#This Row],[Calculated sales]]-Table1_1[[#This Row],[Total cost]]</f>
        <v>18900</v>
      </c>
      <c r="V249" s="4">
        <f>IFERROR(Table1_1[[#This Row],[Profit/Loss]]/Table1_1[[#This Row],[Calculated sales]],0)</f>
        <v>0.40723981900452488</v>
      </c>
    </row>
    <row r="250" spans="1:22" x14ac:dyDescent="0.25">
      <c r="A250" s="4" t="s">
        <v>394</v>
      </c>
      <c r="B250" s="5">
        <v>45428</v>
      </c>
      <c r="C250" s="4">
        <f>YEAR(Table1_1[[#This Row],[Order Dates]])</f>
        <v>2024</v>
      </c>
      <c r="D250" s="6">
        <f>MONTH(Table1_1[[#This Row],[Order Dates]])</f>
        <v>5</v>
      </c>
      <c r="E250" s="4" t="s">
        <v>56</v>
      </c>
      <c r="F250" s="4" t="s">
        <v>57</v>
      </c>
      <c r="G250" s="4" t="s">
        <v>91</v>
      </c>
      <c r="H250" s="4" t="str">
        <f>TRIM(CLEAN(SUBSTITUTE(Table1_1[[#This Row],[Salesperson]],"   "," ")))</f>
        <v>Anjali Menon</v>
      </c>
      <c r="I250" s="4" t="s">
        <v>19</v>
      </c>
      <c r="J250" s="4" t="s">
        <v>59</v>
      </c>
      <c r="K250" s="4" t="s">
        <v>154</v>
      </c>
      <c r="L250" s="4" t="s">
        <v>155</v>
      </c>
      <c r="M250" s="4" t="s">
        <v>23</v>
      </c>
      <c r="N250" s="4" t="s">
        <v>24</v>
      </c>
      <c r="O250" s="4">
        <v>4</v>
      </c>
      <c r="P250" s="7">
        <v>11590</v>
      </c>
      <c r="Q250" s="8">
        <v>0</v>
      </c>
      <c r="R250" s="7">
        <v>6730</v>
      </c>
      <c r="S250" s="7">
        <f>Table1_1[[#This Row],[Units Sold]]*Table1_1[[#This Row],[Unit Price]]*(1-Table1_1[[#This Row],[Discount %]])</f>
        <v>46360</v>
      </c>
      <c r="T250" s="7">
        <f>Table1_1[[#This Row],[Units Sold]]*Table1_1[[#This Row],[Unit Cost]]</f>
        <v>26920</v>
      </c>
      <c r="U250" s="7">
        <f>Table1_1[[#This Row],[Calculated sales]]-Table1_1[[#This Row],[Total cost]]</f>
        <v>19440</v>
      </c>
      <c r="V250" s="4">
        <f>IFERROR(Table1_1[[#This Row],[Profit/Loss]]/Table1_1[[#This Row],[Calculated sales]],0)</f>
        <v>0.41932700603968937</v>
      </c>
    </row>
    <row r="251" spans="1:22" x14ac:dyDescent="0.25">
      <c r="A251" s="4" t="s">
        <v>395</v>
      </c>
      <c r="B251" s="5">
        <v>45429</v>
      </c>
      <c r="C251" s="4">
        <f>YEAR(Table1_1[[#This Row],[Order Dates]])</f>
        <v>2024</v>
      </c>
      <c r="D251" s="6">
        <f>MONTH(Table1_1[[#This Row],[Order Dates]])</f>
        <v>5</v>
      </c>
      <c r="E251" s="4" t="s">
        <v>56</v>
      </c>
      <c r="F251" s="4" t="s">
        <v>72</v>
      </c>
      <c r="G251" s="4" t="s">
        <v>58</v>
      </c>
      <c r="H251" s="4" t="str">
        <f>TRIM(CLEAN(SUBSTITUTE(Table1_1[[#This Row],[Salesperson]],"   "," ")))</f>
        <v>Karthik Raman</v>
      </c>
      <c r="I251" s="4" t="s">
        <v>92</v>
      </c>
      <c r="J251" s="4" t="s">
        <v>27</v>
      </c>
      <c r="K251" s="4" t="s">
        <v>53</v>
      </c>
      <c r="L251" s="4" t="s">
        <v>1676</v>
      </c>
      <c r="M251" s="4" t="s">
        <v>40</v>
      </c>
      <c r="N251" s="4" t="s">
        <v>94</v>
      </c>
      <c r="O251" s="4">
        <v>7</v>
      </c>
      <c r="P251" s="7">
        <v>37740</v>
      </c>
      <c r="Q251" s="8">
        <v>0.1</v>
      </c>
      <c r="R251" s="7">
        <v>25820</v>
      </c>
      <c r="S251" s="7">
        <f>Table1_1[[#This Row],[Units Sold]]*Table1_1[[#This Row],[Unit Price]]*(1-Table1_1[[#This Row],[Discount %]])</f>
        <v>237762</v>
      </c>
      <c r="T251" s="7">
        <f>Table1_1[[#This Row],[Units Sold]]*Table1_1[[#This Row],[Unit Cost]]</f>
        <v>180740</v>
      </c>
      <c r="U251" s="7">
        <f>Table1_1[[#This Row],[Calculated sales]]-Table1_1[[#This Row],[Total cost]]</f>
        <v>57022</v>
      </c>
      <c r="V251" s="4">
        <f>IFERROR(Table1_1[[#This Row],[Profit/Loss]]/Table1_1[[#This Row],[Calculated sales]],0)</f>
        <v>0.23982806335747511</v>
      </c>
    </row>
    <row r="252" spans="1:22" x14ac:dyDescent="0.25">
      <c r="A252" s="4" t="s">
        <v>396</v>
      </c>
      <c r="B252" s="5">
        <v>45429</v>
      </c>
      <c r="C252" s="4">
        <f>YEAR(Table1_1[[#This Row],[Order Dates]])</f>
        <v>2024</v>
      </c>
      <c r="D252" s="6">
        <f>MONTH(Table1_1[[#This Row],[Order Dates]])</f>
        <v>5</v>
      </c>
      <c r="E252" s="4" t="s">
        <v>37</v>
      </c>
      <c r="F252" s="4" t="s">
        <v>38</v>
      </c>
      <c r="G252" s="4" t="s">
        <v>39</v>
      </c>
      <c r="H252" s="4" t="str">
        <f>TRIM(CLEAN(SUBSTITUTE(Table1_1[[#This Row],[Salesperson]],"   "," ")))</f>
        <v>Sourav Das</v>
      </c>
      <c r="I252" s="4" t="s">
        <v>92</v>
      </c>
      <c r="J252" s="4" t="s">
        <v>27</v>
      </c>
      <c r="K252" s="4" t="s">
        <v>28</v>
      </c>
      <c r="L252" s="4" t="s">
        <v>141</v>
      </c>
      <c r="M252" s="4" t="s">
        <v>23</v>
      </c>
      <c r="N252" s="4" t="s">
        <v>119</v>
      </c>
      <c r="O252" s="4">
        <v>5</v>
      </c>
      <c r="P252" s="7">
        <v>15700</v>
      </c>
      <c r="Q252" s="8">
        <v>0</v>
      </c>
      <c r="R252" s="7">
        <v>9720</v>
      </c>
      <c r="S252" s="7">
        <f>Table1_1[[#This Row],[Units Sold]]*Table1_1[[#This Row],[Unit Price]]*(1-Table1_1[[#This Row],[Discount %]])</f>
        <v>78500</v>
      </c>
      <c r="T252" s="7">
        <f>Table1_1[[#This Row],[Units Sold]]*Table1_1[[#This Row],[Unit Cost]]</f>
        <v>48600</v>
      </c>
      <c r="U252" s="7">
        <f>Table1_1[[#This Row],[Calculated sales]]-Table1_1[[#This Row],[Total cost]]</f>
        <v>29900</v>
      </c>
      <c r="V252" s="4">
        <f>IFERROR(Table1_1[[#This Row],[Profit/Loss]]/Table1_1[[#This Row],[Calculated sales]],0)</f>
        <v>0.38089171974522296</v>
      </c>
    </row>
    <row r="253" spans="1:22" x14ac:dyDescent="0.25">
      <c r="A253" s="4" t="s">
        <v>397</v>
      </c>
      <c r="B253" s="5">
        <v>45430</v>
      </c>
      <c r="C253" s="4">
        <f>YEAR(Table1_1[[#This Row],[Order Dates]])</f>
        <v>2024</v>
      </c>
      <c r="D253" s="6">
        <f>MONTH(Table1_1[[#This Row],[Order Dates]])</f>
        <v>5</v>
      </c>
      <c r="E253" s="4" t="s">
        <v>56</v>
      </c>
      <c r="F253" s="4" t="s">
        <v>133</v>
      </c>
      <c r="G253" s="4" t="s">
        <v>58</v>
      </c>
      <c r="H253" s="4" t="str">
        <f>TRIM(CLEAN(SUBSTITUTE(Table1_1[[#This Row],[Salesperson]],"   "," ")))</f>
        <v>Karthik Raman</v>
      </c>
      <c r="I253" s="4" t="s">
        <v>19</v>
      </c>
      <c r="J253" s="4" t="s">
        <v>46</v>
      </c>
      <c r="K253" s="4" t="s">
        <v>179</v>
      </c>
      <c r="L253" s="4" t="s">
        <v>180</v>
      </c>
      <c r="M253" s="4" t="s">
        <v>40</v>
      </c>
      <c r="N253" s="4" t="s">
        <v>24</v>
      </c>
      <c r="O253" s="4">
        <v>9</v>
      </c>
      <c r="P253" s="7">
        <v>3760</v>
      </c>
      <c r="Q253" s="8">
        <v>0.08</v>
      </c>
      <c r="R253" s="7">
        <v>2690</v>
      </c>
      <c r="S253" s="7">
        <f>Table1_1[[#This Row],[Units Sold]]*Table1_1[[#This Row],[Unit Price]]*(1-Table1_1[[#This Row],[Discount %]])</f>
        <v>31132.800000000003</v>
      </c>
      <c r="T253" s="7">
        <f>Table1_1[[#This Row],[Units Sold]]*Table1_1[[#This Row],[Unit Cost]]</f>
        <v>24210</v>
      </c>
      <c r="U253" s="7">
        <f>Table1_1[[#This Row],[Calculated sales]]-Table1_1[[#This Row],[Total cost]]</f>
        <v>6922.8000000000029</v>
      </c>
      <c r="V253" s="4">
        <f>IFERROR(Table1_1[[#This Row],[Profit/Loss]]/Table1_1[[#This Row],[Calculated sales]],0)</f>
        <v>0.22236355226642004</v>
      </c>
    </row>
    <row r="254" spans="1:22" x14ac:dyDescent="0.25">
      <c r="A254" s="4" t="s">
        <v>398</v>
      </c>
      <c r="B254" s="5">
        <v>45432</v>
      </c>
      <c r="C254" s="4">
        <f>YEAR(Table1_1[[#This Row],[Order Dates]])</f>
        <v>2024</v>
      </c>
      <c r="D254" s="6">
        <f>MONTH(Table1_1[[#This Row],[Order Dates]])</f>
        <v>5</v>
      </c>
      <c r="E254" s="4" t="s">
        <v>76</v>
      </c>
      <c r="F254" s="4" t="s">
        <v>125</v>
      </c>
      <c r="G254" s="4" t="s">
        <v>78</v>
      </c>
      <c r="H254" s="4" t="str">
        <f>TRIM(CLEAN(SUBSTITUTE(Table1_1[[#This Row],[Salesperson]],"   "," ")))</f>
        <v>Pooja Chouhan</v>
      </c>
      <c r="I254" s="4" t="s">
        <v>45</v>
      </c>
      <c r="J254" s="4" t="s">
        <v>20</v>
      </c>
      <c r="K254" s="4" t="s">
        <v>87</v>
      </c>
      <c r="L254" s="4" t="s">
        <v>1672</v>
      </c>
      <c r="M254" s="4" t="s">
        <v>49</v>
      </c>
      <c r="N254" s="4" t="s">
        <v>24</v>
      </c>
      <c r="O254" s="4">
        <v>2</v>
      </c>
      <c r="P254" s="7">
        <v>33510</v>
      </c>
      <c r="Q254" s="8">
        <v>0.18</v>
      </c>
      <c r="R254" s="7">
        <v>18940</v>
      </c>
      <c r="S254" s="7">
        <f>Table1_1[[#This Row],[Units Sold]]*Table1_1[[#This Row],[Unit Price]]*(1-Table1_1[[#This Row],[Discount %]])</f>
        <v>54956.4</v>
      </c>
      <c r="T254" s="7">
        <f>Table1_1[[#This Row],[Units Sold]]*Table1_1[[#This Row],[Unit Cost]]</f>
        <v>37880</v>
      </c>
      <c r="U254" s="7">
        <f>Table1_1[[#This Row],[Calculated sales]]-Table1_1[[#This Row],[Total cost]]</f>
        <v>17076.400000000001</v>
      </c>
      <c r="V254" s="4">
        <f>IFERROR(Table1_1[[#This Row],[Profit/Loss]]/Table1_1[[#This Row],[Calculated sales]],0)</f>
        <v>0.31072632122919264</v>
      </c>
    </row>
    <row r="255" spans="1:22" x14ac:dyDescent="0.25">
      <c r="A255" s="4" t="s">
        <v>399</v>
      </c>
      <c r="B255" s="5">
        <v>45432</v>
      </c>
      <c r="C255" s="4">
        <f>YEAR(Table1_1[[#This Row],[Order Dates]])</f>
        <v>2024</v>
      </c>
      <c r="D255" s="6">
        <f>MONTH(Table1_1[[#This Row],[Order Dates]])</f>
        <v>5</v>
      </c>
      <c r="E255" s="4" t="s">
        <v>42</v>
      </c>
      <c r="F255" s="4" t="s">
        <v>43</v>
      </c>
      <c r="G255" s="4" t="s">
        <v>64</v>
      </c>
      <c r="H255" s="4" t="str">
        <f>TRIM(CLEAN(SUBSTITUTE(Table1_1[[#This Row],[Salesperson]],"   "," ")))</f>
        <v>Aditya Verma</v>
      </c>
      <c r="I255" s="4" t="s">
        <v>19</v>
      </c>
      <c r="J255" s="4" t="s">
        <v>59</v>
      </c>
      <c r="K255" s="4" t="s">
        <v>154</v>
      </c>
      <c r="L255" s="4" t="s">
        <v>249</v>
      </c>
      <c r="M255" s="4" t="s">
        <v>49</v>
      </c>
      <c r="N255" s="4" t="s">
        <v>24</v>
      </c>
      <c r="O255" s="4">
        <v>3</v>
      </c>
      <c r="P255" s="7">
        <v>6780</v>
      </c>
      <c r="Q255" s="8">
        <v>0.05</v>
      </c>
      <c r="R255" s="7">
        <v>4100</v>
      </c>
      <c r="S255" s="7">
        <f>Table1_1[[#This Row],[Units Sold]]*Table1_1[[#This Row],[Unit Price]]*(1-Table1_1[[#This Row],[Discount %]])</f>
        <v>19323</v>
      </c>
      <c r="T255" s="7">
        <f>Table1_1[[#This Row],[Units Sold]]*Table1_1[[#This Row],[Unit Cost]]</f>
        <v>12300</v>
      </c>
      <c r="U255" s="7">
        <f>Table1_1[[#This Row],[Calculated sales]]-Table1_1[[#This Row],[Total cost]]</f>
        <v>7023</v>
      </c>
      <c r="V255" s="4">
        <f>IFERROR(Table1_1[[#This Row],[Profit/Loss]]/Table1_1[[#This Row],[Calculated sales]],0)</f>
        <v>0.36345287998757958</v>
      </c>
    </row>
    <row r="256" spans="1:22" x14ac:dyDescent="0.25">
      <c r="A256" s="4" t="s">
        <v>400</v>
      </c>
      <c r="B256" s="5">
        <v>45432</v>
      </c>
      <c r="C256" s="4">
        <f>YEAR(Table1_1[[#This Row],[Order Dates]])</f>
        <v>2024</v>
      </c>
      <c r="D256" s="6">
        <f>MONTH(Table1_1[[#This Row],[Order Dates]])</f>
        <v>5</v>
      </c>
      <c r="E256" s="4" t="s">
        <v>76</v>
      </c>
      <c r="F256" s="4" t="s">
        <v>217</v>
      </c>
      <c r="G256" s="4" t="s">
        <v>170</v>
      </c>
      <c r="H256" s="4" t="str">
        <f>TRIM(CLEAN(SUBSTITUTE(Table1_1[[#This Row],[Salesperson]],"   "," ")))</f>
        <v>Manish Tiwari</v>
      </c>
      <c r="I256" s="4" t="s">
        <v>19</v>
      </c>
      <c r="J256" s="4" t="s">
        <v>27</v>
      </c>
      <c r="K256" s="4" t="s">
        <v>214</v>
      </c>
      <c r="L256" s="4" t="s">
        <v>1680</v>
      </c>
      <c r="M256" s="4" t="s">
        <v>23</v>
      </c>
      <c r="N256" s="4" t="s">
        <v>24</v>
      </c>
      <c r="O256" s="4">
        <v>4</v>
      </c>
      <c r="P256" s="7">
        <v>33670</v>
      </c>
      <c r="Q256" s="8">
        <v>0.18</v>
      </c>
      <c r="R256" s="7">
        <v>24630</v>
      </c>
      <c r="S256" s="7">
        <f>Table1_1[[#This Row],[Units Sold]]*Table1_1[[#This Row],[Unit Price]]*(1-Table1_1[[#This Row],[Discount %]])</f>
        <v>110437.6</v>
      </c>
      <c r="T256" s="7">
        <f>Table1_1[[#This Row],[Units Sold]]*Table1_1[[#This Row],[Unit Cost]]</f>
        <v>98520</v>
      </c>
      <c r="U256" s="7">
        <f>Table1_1[[#This Row],[Calculated sales]]-Table1_1[[#This Row],[Total cost]]</f>
        <v>11917.600000000006</v>
      </c>
      <c r="V256" s="4">
        <f>IFERROR(Table1_1[[#This Row],[Profit/Loss]]/Table1_1[[#This Row],[Calculated sales]],0)</f>
        <v>0.10791252254666893</v>
      </c>
    </row>
    <row r="257" spans="1:22" x14ac:dyDescent="0.25">
      <c r="A257" s="4" t="s">
        <v>401</v>
      </c>
      <c r="B257" s="5">
        <v>45433</v>
      </c>
      <c r="C257" s="4">
        <f>YEAR(Table1_1[[#This Row],[Order Dates]])</f>
        <v>2024</v>
      </c>
      <c r="D257" s="6">
        <f>MONTH(Table1_1[[#This Row],[Order Dates]])</f>
        <v>5</v>
      </c>
      <c r="E257" s="4" t="s">
        <v>42</v>
      </c>
      <c r="F257" s="4" t="s">
        <v>146</v>
      </c>
      <c r="G257" s="4" t="s">
        <v>44</v>
      </c>
      <c r="H257" s="4" t="str">
        <f>TRIM(CLEAN(SUBSTITUTE(Table1_1[[#This Row],[Salesperson]],"   "," ")))</f>
        <v>Simran Kaur</v>
      </c>
      <c r="I257" s="4" t="s">
        <v>19</v>
      </c>
      <c r="J257" s="4" t="s">
        <v>83</v>
      </c>
      <c r="K257" s="4" t="s">
        <v>84</v>
      </c>
      <c r="L257" s="4" t="s">
        <v>292</v>
      </c>
      <c r="M257" s="4" t="s">
        <v>23</v>
      </c>
      <c r="N257" s="4" t="s">
        <v>24</v>
      </c>
      <c r="O257" s="4">
        <v>3</v>
      </c>
      <c r="P257" s="7">
        <v>42180</v>
      </c>
      <c r="Q257" s="8">
        <v>0.1</v>
      </c>
      <c r="R257" s="7">
        <v>33140</v>
      </c>
      <c r="S257" s="7">
        <f>Table1_1[[#This Row],[Units Sold]]*Table1_1[[#This Row],[Unit Price]]*(1-Table1_1[[#This Row],[Discount %]])</f>
        <v>113886</v>
      </c>
      <c r="T257" s="7">
        <f>Table1_1[[#This Row],[Units Sold]]*Table1_1[[#This Row],[Unit Cost]]</f>
        <v>99420</v>
      </c>
      <c r="U257" s="7">
        <f>Table1_1[[#This Row],[Calculated sales]]-Table1_1[[#This Row],[Total cost]]</f>
        <v>14466</v>
      </c>
      <c r="V257" s="4">
        <f>IFERROR(Table1_1[[#This Row],[Profit/Loss]]/Table1_1[[#This Row],[Calculated sales]],0)</f>
        <v>0.12702175860070597</v>
      </c>
    </row>
    <row r="258" spans="1:22" x14ac:dyDescent="0.25">
      <c r="A258" s="4" t="s">
        <v>402</v>
      </c>
      <c r="B258" s="5">
        <v>45433</v>
      </c>
      <c r="C258" s="4">
        <f>YEAR(Table1_1[[#This Row],[Order Dates]])</f>
        <v>2024</v>
      </c>
      <c r="D258" s="6">
        <f>MONTH(Table1_1[[#This Row],[Order Dates]])</f>
        <v>5</v>
      </c>
      <c r="E258" s="4" t="s">
        <v>76</v>
      </c>
      <c r="F258" s="4" t="s">
        <v>150</v>
      </c>
      <c r="G258" s="4" t="s">
        <v>170</v>
      </c>
      <c r="H258" s="4" t="str">
        <f>TRIM(CLEAN(SUBSTITUTE(Table1_1[[#This Row],[Salesperson]],"   "," ")))</f>
        <v>Manish Tiwari</v>
      </c>
      <c r="I258" s="4" t="s">
        <v>45</v>
      </c>
      <c r="J258" s="4" t="s">
        <v>20</v>
      </c>
      <c r="K258" s="4" t="s">
        <v>109</v>
      </c>
      <c r="L258" s="4" t="s">
        <v>1675</v>
      </c>
      <c r="M258" s="4" t="s">
        <v>23</v>
      </c>
      <c r="N258" s="4" t="s">
        <v>24</v>
      </c>
      <c r="O258" s="4">
        <v>6</v>
      </c>
      <c r="P258" s="7">
        <v>69670</v>
      </c>
      <c r="Q258" s="8">
        <v>0.1</v>
      </c>
      <c r="R258" s="7">
        <v>51820</v>
      </c>
      <c r="S258" s="7">
        <f>Table1_1[[#This Row],[Units Sold]]*Table1_1[[#This Row],[Unit Price]]*(1-Table1_1[[#This Row],[Discount %]])</f>
        <v>376218</v>
      </c>
      <c r="T258" s="7">
        <f>Table1_1[[#This Row],[Units Sold]]*Table1_1[[#This Row],[Unit Cost]]</f>
        <v>310920</v>
      </c>
      <c r="U258" s="7">
        <f>Table1_1[[#This Row],[Calculated sales]]-Table1_1[[#This Row],[Total cost]]</f>
        <v>65298</v>
      </c>
      <c r="V258" s="4">
        <f>IFERROR(Table1_1[[#This Row],[Profit/Loss]]/Table1_1[[#This Row],[Calculated sales]],0)</f>
        <v>0.17356426327288965</v>
      </c>
    </row>
    <row r="259" spans="1:22" x14ac:dyDescent="0.25">
      <c r="A259" s="4" t="s">
        <v>403</v>
      </c>
      <c r="B259" s="5">
        <v>45435</v>
      </c>
      <c r="C259" s="4">
        <f>YEAR(Table1_1[[#This Row],[Order Dates]])</f>
        <v>2024</v>
      </c>
      <c r="D259" s="6">
        <f>MONTH(Table1_1[[#This Row],[Order Dates]])</f>
        <v>5</v>
      </c>
      <c r="E259" s="4" t="s">
        <v>16</v>
      </c>
      <c r="F259" s="4" t="s">
        <v>191</v>
      </c>
      <c r="G259" s="4" t="s">
        <v>18</v>
      </c>
      <c r="H259" s="4" t="str">
        <f>TRIM(CLEAN(SUBSTITUTE(Table1_1[[#This Row],[Salesperson]],"   "," ")))</f>
        <v>Imran Sheikh</v>
      </c>
      <c r="I259" s="4" t="s">
        <v>19</v>
      </c>
      <c r="J259" s="4" t="s">
        <v>20</v>
      </c>
      <c r="K259" s="4" t="s">
        <v>109</v>
      </c>
      <c r="L259" s="4" t="s">
        <v>159</v>
      </c>
      <c r="M259" s="4" t="s">
        <v>23</v>
      </c>
      <c r="N259" s="4" t="s">
        <v>24</v>
      </c>
      <c r="O259" s="4">
        <v>4</v>
      </c>
      <c r="P259" s="7">
        <v>18530</v>
      </c>
      <c r="Q259" s="8">
        <v>0.08</v>
      </c>
      <c r="R259" s="7">
        <v>11530</v>
      </c>
      <c r="S259" s="7">
        <f>Table1_1[[#This Row],[Units Sold]]*Table1_1[[#This Row],[Unit Price]]*(1-Table1_1[[#This Row],[Discount %]])</f>
        <v>68190.400000000009</v>
      </c>
      <c r="T259" s="7">
        <f>Table1_1[[#This Row],[Units Sold]]*Table1_1[[#This Row],[Unit Cost]]</f>
        <v>46120</v>
      </c>
      <c r="U259" s="7">
        <f>Table1_1[[#This Row],[Calculated sales]]-Table1_1[[#This Row],[Total cost]]</f>
        <v>22070.400000000009</v>
      </c>
      <c r="V259" s="4">
        <f>IFERROR(Table1_1[[#This Row],[Profit/Loss]]/Table1_1[[#This Row],[Calculated sales]],0)</f>
        <v>0.32365846218822597</v>
      </c>
    </row>
    <row r="260" spans="1:22" x14ac:dyDescent="0.25">
      <c r="A260" s="4" t="s">
        <v>404</v>
      </c>
      <c r="B260" s="5">
        <v>45435</v>
      </c>
      <c r="C260" s="4">
        <f>YEAR(Table1_1[[#This Row],[Order Dates]])</f>
        <v>2024</v>
      </c>
      <c r="D260" s="6">
        <f>MONTH(Table1_1[[#This Row],[Order Dates]])</f>
        <v>5</v>
      </c>
      <c r="E260" s="4" t="s">
        <v>42</v>
      </c>
      <c r="F260" s="4" t="s">
        <v>43</v>
      </c>
      <c r="G260" s="4" t="s">
        <v>405</v>
      </c>
      <c r="H260" s="4" t="str">
        <f>TRIM(CLEAN(SUBSTITUTE(Table1_1[[#This Row],[Salesperson]],"   "," ")))</f>
        <v>Rohit Malhotra</v>
      </c>
      <c r="I260" s="4" t="s">
        <v>52</v>
      </c>
      <c r="J260" s="4" t="s">
        <v>59</v>
      </c>
      <c r="K260" s="4" t="s">
        <v>154</v>
      </c>
      <c r="L260" s="4" t="s">
        <v>249</v>
      </c>
      <c r="M260" s="4" t="s">
        <v>23</v>
      </c>
      <c r="N260" s="4" t="s">
        <v>24</v>
      </c>
      <c r="O260" s="4">
        <v>7</v>
      </c>
      <c r="P260" s="7">
        <v>7010</v>
      </c>
      <c r="Q260" s="8">
        <v>0.15</v>
      </c>
      <c r="R260" s="7">
        <v>4360</v>
      </c>
      <c r="S260" s="7">
        <f>Table1_1[[#This Row],[Units Sold]]*Table1_1[[#This Row],[Unit Price]]*(1-Table1_1[[#This Row],[Discount %]])</f>
        <v>41709.5</v>
      </c>
      <c r="T260" s="7">
        <f>Table1_1[[#This Row],[Units Sold]]*Table1_1[[#This Row],[Unit Cost]]</f>
        <v>30520</v>
      </c>
      <c r="U260" s="7">
        <f>Table1_1[[#This Row],[Calculated sales]]-Table1_1[[#This Row],[Total cost]]</f>
        <v>11189.5</v>
      </c>
      <c r="V260" s="4">
        <f>IFERROR(Table1_1[[#This Row],[Profit/Loss]]/Table1_1[[#This Row],[Calculated sales]],0)</f>
        <v>0.2682722161617857</v>
      </c>
    </row>
    <row r="261" spans="1:22" x14ac:dyDescent="0.25">
      <c r="A261" s="4" t="s">
        <v>406</v>
      </c>
      <c r="B261" s="5">
        <v>45435</v>
      </c>
      <c r="C261" s="4">
        <f>YEAR(Table1_1[[#This Row],[Order Dates]])</f>
        <v>2024</v>
      </c>
      <c r="D261" s="6">
        <f>MONTH(Table1_1[[#This Row],[Order Dates]])</f>
        <v>5</v>
      </c>
      <c r="E261" s="4" t="s">
        <v>16</v>
      </c>
      <c r="F261" s="4" t="s">
        <v>31</v>
      </c>
      <c r="G261" s="4" t="s">
        <v>26</v>
      </c>
      <c r="H261" s="4" t="str">
        <f>TRIM(CLEAN(SUBSTITUTE(Table1_1[[#This Row],[Salesperson]],"   "," ")))</f>
        <v>Prateek Shah</v>
      </c>
      <c r="I261" s="4" t="s">
        <v>92</v>
      </c>
      <c r="J261" s="4" t="s">
        <v>59</v>
      </c>
      <c r="K261" s="4" t="s">
        <v>69</v>
      </c>
      <c r="L261" s="4" t="s">
        <v>121</v>
      </c>
      <c r="M261" s="4" t="s">
        <v>23</v>
      </c>
      <c r="N261" s="4" t="s">
        <v>94</v>
      </c>
      <c r="O261" s="4">
        <v>26</v>
      </c>
      <c r="P261" s="7">
        <v>3560</v>
      </c>
      <c r="Q261" s="8">
        <v>0.15</v>
      </c>
      <c r="R261" s="7">
        <v>2410</v>
      </c>
      <c r="S261" s="7">
        <f>Table1_1[[#This Row],[Units Sold]]*Table1_1[[#This Row],[Unit Price]]*(1-Table1_1[[#This Row],[Discount %]])</f>
        <v>78676</v>
      </c>
      <c r="T261" s="7">
        <f>Table1_1[[#This Row],[Units Sold]]*Table1_1[[#This Row],[Unit Cost]]</f>
        <v>62660</v>
      </c>
      <c r="U261" s="7">
        <f>Table1_1[[#This Row],[Calculated sales]]-Table1_1[[#This Row],[Total cost]]</f>
        <v>16016</v>
      </c>
      <c r="V261" s="4">
        <f>IFERROR(Table1_1[[#This Row],[Profit/Loss]]/Table1_1[[#This Row],[Calculated sales]],0)</f>
        <v>0.20356906807666886</v>
      </c>
    </row>
    <row r="262" spans="1:22" x14ac:dyDescent="0.25">
      <c r="A262" s="4" t="s">
        <v>407</v>
      </c>
      <c r="B262" s="5">
        <v>45435</v>
      </c>
      <c r="C262" s="4">
        <f>YEAR(Table1_1[[#This Row],[Order Dates]])</f>
        <v>2024</v>
      </c>
      <c r="D262" s="6">
        <f>MONTH(Table1_1[[#This Row],[Order Dates]])</f>
        <v>5</v>
      </c>
      <c r="E262" s="4" t="s">
        <v>37</v>
      </c>
      <c r="F262" s="4" t="s">
        <v>38</v>
      </c>
      <c r="G262" s="4" t="s">
        <v>68</v>
      </c>
      <c r="H262" s="4" t="str">
        <f>TRIM(CLEAN(SUBSTITUTE(Table1_1[[#This Row],[Salesperson]],"   "," ")))</f>
        <v>Ritika Ghosh</v>
      </c>
      <c r="I262" s="4" t="s">
        <v>19</v>
      </c>
      <c r="J262" s="4" t="s">
        <v>20</v>
      </c>
      <c r="K262" s="4" t="s">
        <v>109</v>
      </c>
      <c r="L262" s="4" t="s">
        <v>1675</v>
      </c>
      <c r="M262" s="4" t="s">
        <v>40</v>
      </c>
      <c r="N262" s="4" t="s">
        <v>119</v>
      </c>
      <c r="O262" s="4">
        <v>4</v>
      </c>
      <c r="P262" s="7">
        <v>70790</v>
      </c>
      <c r="Q262" s="8">
        <v>0.05</v>
      </c>
      <c r="R262" s="7">
        <v>42470</v>
      </c>
      <c r="S262" s="7">
        <f>Table1_1[[#This Row],[Units Sold]]*Table1_1[[#This Row],[Unit Price]]*(1-Table1_1[[#This Row],[Discount %]])</f>
        <v>269002</v>
      </c>
      <c r="T262" s="7">
        <f>Table1_1[[#This Row],[Units Sold]]*Table1_1[[#This Row],[Unit Cost]]</f>
        <v>169880</v>
      </c>
      <c r="U262" s="7">
        <f>Table1_1[[#This Row],[Calculated sales]]-Table1_1[[#This Row],[Total cost]]</f>
        <v>99122</v>
      </c>
      <c r="V262" s="4">
        <f>IFERROR(Table1_1[[#This Row],[Profit/Loss]]/Table1_1[[#This Row],[Calculated sales]],0)</f>
        <v>0.3684805317432584</v>
      </c>
    </row>
    <row r="263" spans="1:22" x14ac:dyDescent="0.25">
      <c r="A263" s="4" t="s">
        <v>408</v>
      </c>
      <c r="B263" s="5">
        <v>45436</v>
      </c>
      <c r="C263" s="4">
        <f>YEAR(Table1_1[[#This Row],[Order Dates]])</f>
        <v>2024</v>
      </c>
      <c r="D263" s="6">
        <f>MONTH(Table1_1[[#This Row],[Order Dates]])</f>
        <v>5</v>
      </c>
      <c r="E263" s="4" t="s">
        <v>76</v>
      </c>
      <c r="F263" s="4" t="s">
        <v>217</v>
      </c>
      <c r="G263" s="4" t="s">
        <v>170</v>
      </c>
      <c r="H263" s="4" t="str">
        <f>TRIM(CLEAN(SUBSTITUTE(Table1_1[[#This Row],[Salesperson]],"   "," ")))</f>
        <v>Manish Tiwari</v>
      </c>
      <c r="I263" s="4" t="s">
        <v>19</v>
      </c>
      <c r="J263" s="4" t="s">
        <v>83</v>
      </c>
      <c r="K263" s="4" t="s">
        <v>184</v>
      </c>
      <c r="L263" s="4" t="s">
        <v>1679</v>
      </c>
      <c r="M263" s="4" t="s">
        <v>40</v>
      </c>
      <c r="N263" s="4" t="s">
        <v>24</v>
      </c>
      <c r="O263" s="4">
        <v>13</v>
      </c>
      <c r="P263" s="7">
        <v>4690</v>
      </c>
      <c r="Q263" s="8">
        <v>0.12</v>
      </c>
      <c r="R263" s="7">
        <v>3630</v>
      </c>
      <c r="S263" s="7">
        <f>Table1_1[[#This Row],[Units Sold]]*Table1_1[[#This Row],[Unit Price]]*(1-Table1_1[[#This Row],[Discount %]])</f>
        <v>53653.599999999999</v>
      </c>
      <c r="T263" s="7">
        <f>Table1_1[[#This Row],[Units Sold]]*Table1_1[[#This Row],[Unit Cost]]</f>
        <v>47190</v>
      </c>
      <c r="U263" s="7">
        <f>Table1_1[[#This Row],[Calculated sales]]-Table1_1[[#This Row],[Total cost]]</f>
        <v>6463.5999999999985</v>
      </c>
      <c r="V263" s="4">
        <f>IFERROR(Table1_1[[#This Row],[Profit/Loss]]/Table1_1[[#This Row],[Calculated sales]],0)</f>
        <v>0.1204690831556503</v>
      </c>
    </row>
    <row r="264" spans="1:22" x14ac:dyDescent="0.25">
      <c r="A264" s="4" t="s">
        <v>409</v>
      </c>
      <c r="B264" s="5">
        <v>45437</v>
      </c>
      <c r="C264" s="4">
        <f>YEAR(Table1_1[[#This Row],[Order Dates]])</f>
        <v>2024</v>
      </c>
      <c r="D264" s="6">
        <f>MONTH(Table1_1[[#This Row],[Order Dates]])</f>
        <v>5</v>
      </c>
      <c r="E264" s="4" t="s">
        <v>76</v>
      </c>
      <c r="F264" s="4" t="s">
        <v>150</v>
      </c>
      <c r="G264" s="4" t="s">
        <v>170</v>
      </c>
      <c r="H264" s="4" t="str">
        <f>TRIM(CLEAN(SUBSTITUTE(Table1_1[[#This Row],[Salesperson]],"   "," ")))</f>
        <v>Manish Tiwari</v>
      </c>
      <c r="I264" s="4" t="s">
        <v>52</v>
      </c>
      <c r="J264" s="4" t="s">
        <v>20</v>
      </c>
      <c r="K264" s="4" t="s">
        <v>87</v>
      </c>
      <c r="L264" s="4" t="s">
        <v>1672</v>
      </c>
      <c r="M264" s="4" t="s">
        <v>40</v>
      </c>
      <c r="N264" s="4" t="s">
        <v>35</v>
      </c>
      <c r="O264" s="4">
        <v>1</v>
      </c>
      <c r="P264" s="7">
        <v>31050</v>
      </c>
      <c r="Q264" s="8">
        <v>0.25</v>
      </c>
      <c r="R264" s="7">
        <v>21730</v>
      </c>
      <c r="S264" s="7">
        <f>Table1_1[[#This Row],[Units Sold]]*Table1_1[[#This Row],[Unit Price]]*(1-Table1_1[[#This Row],[Discount %]])</f>
        <v>23287.5</v>
      </c>
      <c r="T264" s="7">
        <f>Table1_1[[#This Row],[Units Sold]]*Table1_1[[#This Row],[Unit Cost]]</f>
        <v>21730</v>
      </c>
      <c r="U264" s="7">
        <f>Table1_1[[#This Row],[Calculated sales]]-Table1_1[[#This Row],[Total cost]]</f>
        <v>1557.5</v>
      </c>
      <c r="V264" s="4">
        <f>IFERROR(Table1_1[[#This Row],[Profit/Loss]]/Table1_1[[#This Row],[Calculated sales]],0)</f>
        <v>6.6881374127750942E-2</v>
      </c>
    </row>
    <row r="265" spans="1:22" x14ac:dyDescent="0.25">
      <c r="A265" s="4" t="s">
        <v>410</v>
      </c>
      <c r="B265" s="5">
        <v>45437</v>
      </c>
      <c r="C265" s="4">
        <f>YEAR(Table1_1[[#This Row],[Order Dates]])</f>
        <v>2024</v>
      </c>
      <c r="D265" s="6">
        <f>MONTH(Table1_1[[#This Row],[Order Dates]])</f>
        <v>5</v>
      </c>
      <c r="E265" s="4" t="s">
        <v>16</v>
      </c>
      <c r="F265" s="4" t="s">
        <v>17</v>
      </c>
      <c r="G265" s="4" t="s">
        <v>18</v>
      </c>
      <c r="H265" s="4" t="str">
        <f>TRIM(CLEAN(SUBSTITUTE(Table1_1[[#This Row],[Salesperson]],"   "," ")))</f>
        <v>Imran Sheikh</v>
      </c>
      <c r="I265" s="4" t="s">
        <v>19</v>
      </c>
      <c r="J265" s="4" t="s">
        <v>27</v>
      </c>
      <c r="K265" s="4" t="s">
        <v>79</v>
      </c>
      <c r="L265" s="4" t="s">
        <v>168</v>
      </c>
      <c r="M265" s="4" t="s">
        <v>49</v>
      </c>
      <c r="N265" s="4" t="s">
        <v>24</v>
      </c>
      <c r="O265" s="4">
        <v>15</v>
      </c>
      <c r="P265" s="7">
        <v>9390</v>
      </c>
      <c r="Q265" s="8">
        <v>0</v>
      </c>
      <c r="R265" s="7">
        <v>5510</v>
      </c>
      <c r="S265" s="7">
        <f>Table1_1[[#This Row],[Units Sold]]*Table1_1[[#This Row],[Unit Price]]*(1-Table1_1[[#This Row],[Discount %]])</f>
        <v>140850</v>
      </c>
      <c r="T265" s="7">
        <f>Table1_1[[#This Row],[Units Sold]]*Table1_1[[#This Row],[Unit Cost]]</f>
        <v>82650</v>
      </c>
      <c r="U265" s="7">
        <f>Table1_1[[#This Row],[Calculated sales]]-Table1_1[[#This Row],[Total cost]]</f>
        <v>58200</v>
      </c>
      <c r="V265" s="4">
        <f>IFERROR(Table1_1[[#This Row],[Profit/Loss]]/Table1_1[[#This Row],[Calculated sales]],0)</f>
        <v>0.4132055378061768</v>
      </c>
    </row>
    <row r="266" spans="1:22" x14ac:dyDescent="0.25">
      <c r="A266" s="4" t="s">
        <v>411</v>
      </c>
      <c r="B266" s="5">
        <v>45438</v>
      </c>
      <c r="C266" s="4">
        <f>YEAR(Table1_1[[#This Row],[Order Dates]])</f>
        <v>2024</v>
      </c>
      <c r="D266" s="6">
        <f>MONTH(Table1_1[[#This Row],[Order Dates]])</f>
        <v>5</v>
      </c>
      <c r="E266" s="4" t="s">
        <v>56</v>
      </c>
      <c r="F266" s="4" t="s">
        <v>143</v>
      </c>
      <c r="G266" s="4" t="s">
        <v>134</v>
      </c>
      <c r="H266" s="4" t="str">
        <f>TRIM(CLEAN(SUBSTITUTE(Table1_1[[#This Row],[Salesperson]],"   "," ")))</f>
        <v>Divya Nair</v>
      </c>
      <c r="I266" s="4" t="s">
        <v>19</v>
      </c>
      <c r="J266" s="4" t="s">
        <v>46</v>
      </c>
      <c r="K266" s="4" t="s">
        <v>100</v>
      </c>
      <c r="L266" s="4" t="s">
        <v>101</v>
      </c>
      <c r="M266" s="4" t="s">
        <v>49</v>
      </c>
      <c r="N266" s="4" t="s">
        <v>94</v>
      </c>
      <c r="O266" s="4">
        <v>16</v>
      </c>
      <c r="P266" s="7">
        <v>1970</v>
      </c>
      <c r="Q266" s="8">
        <v>0.18</v>
      </c>
      <c r="R266" s="7">
        <v>1260</v>
      </c>
      <c r="S266" s="7">
        <f>Table1_1[[#This Row],[Units Sold]]*Table1_1[[#This Row],[Unit Price]]*(1-Table1_1[[#This Row],[Discount %]])</f>
        <v>25846.400000000001</v>
      </c>
      <c r="T266" s="7">
        <f>Table1_1[[#This Row],[Units Sold]]*Table1_1[[#This Row],[Unit Cost]]</f>
        <v>20160</v>
      </c>
      <c r="U266" s="7">
        <f>Table1_1[[#This Row],[Calculated sales]]-Table1_1[[#This Row],[Total cost]]</f>
        <v>5686.4000000000015</v>
      </c>
      <c r="V266" s="4">
        <f>IFERROR(Table1_1[[#This Row],[Profit/Loss]]/Table1_1[[#This Row],[Calculated sales]],0)</f>
        <v>0.220007428500681</v>
      </c>
    </row>
    <row r="267" spans="1:22" x14ac:dyDescent="0.25">
      <c r="A267" s="4" t="s">
        <v>412</v>
      </c>
      <c r="B267" s="5">
        <v>45440</v>
      </c>
      <c r="C267" s="4">
        <f>YEAR(Table1_1[[#This Row],[Order Dates]])</f>
        <v>2024</v>
      </c>
      <c r="D267" s="6">
        <f>MONTH(Table1_1[[#This Row],[Order Dates]])</f>
        <v>5</v>
      </c>
      <c r="E267" s="4" t="s">
        <v>37</v>
      </c>
      <c r="F267" s="4" t="s">
        <v>38</v>
      </c>
      <c r="G267" s="4" t="s">
        <v>39</v>
      </c>
      <c r="H267" s="4" t="str">
        <f>TRIM(CLEAN(SUBSTITUTE(Table1_1[[#This Row],[Salesperson]],"   "," ")))</f>
        <v>Sourav Das</v>
      </c>
      <c r="I267" s="4" t="s">
        <v>52</v>
      </c>
      <c r="J267" s="4" t="s">
        <v>46</v>
      </c>
      <c r="K267" s="4" t="s">
        <v>47</v>
      </c>
      <c r="L267" s="4" t="s">
        <v>259</v>
      </c>
      <c r="M267" s="4" t="s">
        <v>23</v>
      </c>
      <c r="N267" s="4" t="s">
        <v>24</v>
      </c>
      <c r="O267" s="4">
        <v>33</v>
      </c>
      <c r="P267" s="7">
        <v>2830</v>
      </c>
      <c r="Q267" s="8">
        <v>0</v>
      </c>
      <c r="R267" s="7">
        <v>2210</v>
      </c>
      <c r="S267" s="7">
        <f>Table1_1[[#This Row],[Units Sold]]*Table1_1[[#This Row],[Unit Price]]*(1-Table1_1[[#This Row],[Discount %]])</f>
        <v>93390</v>
      </c>
      <c r="T267" s="7">
        <f>Table1_1[[#This Row],[Units Sold]]*Table1_1[[#This Row],[Unit Cost]]</f>
        <v>72930</v>
      </c>
      <c r="U267" s="7">
        <f>Table1_1[[#This Row],[Calculated sales]]-Table1_1[[#This Row],[Total cost]]</f>
        <v>20460</v>
      </c>
      <c r="V267" s="4">
        <f>IFERROR(Table1_1[[#This Row],[Profit/Loss]]/Table1_1[[#This Row],[Calculated sales]],0)</f>
        <v>0.21908127208480566</v>
      </c>
    </row>
    <row r="268" spans="1:22" x14ac:dyDescent="0.25">
      <c r="A268" s="4" t="s">
        <v>413</v>
      </c>
      <c r="B268" s="5">
        <v>45440</v>
      </c>
      <c r="C268" s="4">
        <f>YEAR(Table1_1[[#This Row],[Order Dates]])</f>
        <v>2024</v>
      </c>
      <c r="D268" s="6">
        <f>MONTH(Table1_1[[#This Row],[Order Dates]])</f>
        <v>5</v>
      </c>
      <c r="E268" s="4" t="s">
        <v>76</v>
      </c>
      <c r="F268" s="4" t="s">
        <v>150</v>
      </c>
      <c r="G268" s="4" t="s">
        <v>170</v>
      </c>
      <c r="H268" s="4" t="str">
        <f>TRIM(CLEAN(SUBSTITUTE(Table1_1[[#This Row],[Salesperson]],"   "," ")))</f>
        <v>Manish Tiwari</v>
      </c>
      <c r="I268" s="4" t="s">
        <v>92</v>
      </c>
      <c r="J268" s="4" t="s">
        <v>59</v>
      </c>
      <c r="K268" s="4" t="s">
        <v>73</v>
      </c>
      <c r="L268" s="4" t="s">
        <v>113</v>
      </c>
      <c r="M268" s="4" t="s">
        <v>23</v>
      </c>
      <c r="N268" s="4" t="s">
        <v>24</v>
      </c>
      <c r="O268" s="4">
        <v>4</v>
      </c>
      <c r="P268" s="7">
        <v>32260</v>
      </c>
      <c r="Q268" s="8">
        <v>0</v>
      </c>
      <c r="R268" s="7">
        <v>20440</v>
      </c>
      <c r="S268" s="7">
        <f>Table1_1[[#This Row],[Units Sold]]*Table1_1[[#This Row],[Unit Price]]*(1-Table1_1[[#This Row],[Discount %]])</f>
        <v>129040</v>
      </c>
      <c r="T268" s="7">
        <f>Table1_1[[#This Row],[Units Sold]]*Table1_1[[#This Row],[Unit Cost]]</f>
        <v>81760</v>
      </c>
      <c r="U268" s="7">
        <f>Table1_1[[#This Row],[Calculated sales]]-Table1_1[[#This Row],[Total cost]]</f>
        <v>47280</v>
      </c>
      <c r="V268" s="4">
        <f>IFERROR(Table1_1[[#This Row],[Profit/Loss]]/Table1_1[[#This Row],[Calculated sales]],0)</f>
        <v>0.36639801611903283</v>
      </c>
    </row>
    <row r="269" spans="1:22" x14ac:dyDescent="0.25">
      <c r="A269" s="4" t="s">
        <v>414</v>
      </c>
      <c r="B269" s="5">
        <v>45441</v>
      </c>
      <c r="C269" s="4">
        <f>YEAR(Table1_1[[#This Row],[Order Dates]])</f>
        <v>2024</v>
      </c>
      <c r="D269" s="6">
        <f>MONTH(Table1_1[[#This Row],[Order Dates]])</f>
        <v>5</v>
      </c>
      <c r="E269" s="4" t="s">
        <v>37</v>
      </c>
      <c r="F269" s="4" t="s">
        <v>115</v>
      </c>
      <c r="G269" s="4" t="s">
        <v>39</v>
      </c>
      <c r="H269" s="4" t="str">
        <f>TRIM(CLEAN(SUBSTITUTE(Table1_1[[#This Row],[Salesperson]],"   "," ")))</f>
        <v>Sourav Das</v>
      </c>
      <c r="I269" s="4" t="s">
        <v>45</v>
      </c>
      <c r="J269" s="4" t="s">
        <v>20</v>
      </c>
      <c r="K269" s="4" t="s">
        <v>21</v>
      </c>
      <c r="L269" s="4" t="s">
        <v>1667</v>
      </c>
      <c r="M269" s="4" t="s">
        <v>40</v>
      </c>
      <c r="N269" s="4" t="s">
        <v>24</v>
      </c>
      <c r="O269" s="4">
        <v>30</v>
      </c>
      <c r="P269" s="7">
        <v>1750</v>
      </c>
      <c r="Q269" s="8">
        <v>0.12</v>
      </c>
      <c r="R269" s="7">
        <v>1060</v>
      </c>
      <c r="S269" s="7">
        <f>Table1_1[[#This Row],[Units Sold]]*Table1_1[[#This Row],[Unit Price]]*(1-Table1_1[[#This Row],[Discount %]])</f>
        <v>46200</v>
      </c>
      <c r="T269" s="7">
        <f>Table1_1[[#This Row],[Units Sold]]*Table1_1[[#This Row],[Unit Cost]]</f>
        <v>31800</v>
      </c>
      <c r="U269" s="7">
        <f>Table1_1[[#This Row],[Calculated sales]]-Table1_1[[#This Row],[Total cost]]</f>
        <v>14400</v>
      </c>
      <c r="V269" s="4">
        <f>IFERROR(Table1_1[[#This Row],[Profit/Loss]]/Table1_1[[#This Row],[Calculated sales]],0)</f>
        <v>0.31168831168831168</v>
      </c>
    </row>
    <row r="270" spans="1:22" x14ac:dyDescent="0.25">
      <c r="A270" s="4" t="s">
        <v>415</v>
      </c>
      <c r="B270" s="5">
        <v>45441</v>
      </c>
      <c r="C270" s="4">
        <f>YEAR(Table1_1[[#This Row],[Order Dates]])</f>
        <v>2024</v>
      </c>
      <c r="D270" s="6">
        <f>MONTH(Table1_1[[#This Row],[Order Dates]])</f>
        <v>5</v>
      </c>
      <c r="E270" s="4" t="s">
        <v>42</v>
      </c>
      <c r="F270" s="4" t="s">
        <v>265</v>
      </c>
      <c r="G270" s="4" t="s">
        <v>416</v>
      </c>
      <c r="H270" s="4" t="str">
        <f>TRIM(CLEAN(SUBSTITUTE(Table1_1[[#This Row],[Salesperson]],"   "," ")))</f>
        <v>Rohit Malhotra</v>
      </c>
      <c r="I270" s="4" t="s">
        <v>52</v>
      </c>
      <c r="J270" s="4" t="s">
        <v>83</v>
      </c>
      <c r="K270" s="4" t="s">
        <v>84</v>
      </c>
      <c r="L270" s="4" t="s">
        <v>1671</v>
      </c>
      <c r="M270" s="4" t="s">
        <v>23</v>
      </c>
      <c r="N270" s="4" t="s">
        <v>24</v>
      </c>
      <c r="O270" s="4">
        <v>9</v>
      </c>
      <c r="P270" s="7">
        <v>2580</v>
      </c>
      <c r="Q270" s="8">
        <v>0.15</v>
      </c>
      <c r="R270" s="7">
        <v>1600</v>
      </c>
      <c r="S270" s="7">
        <f>Table1_1[[#This Row],[Units Sold]]*Table1_1[[#This Row],[Unit Price]]*(1-Table1_1[[#This Row],[Discount %]])</f>
        <v>19737</v>
      </c>
      <c r="T270" s="7">
        <f>Table1_1[[#This Row],[Units Sold]]*Table1_1[[#This Row],[Unit Cost]]</f>
        <v>14400</v>
      </c>
      <c r="U270" s="7">
        <f>Table1_1[[#This Row],[Calculated sales]]-Table1_1[[#This Row],[Total cost]]</f>
        <v>5337</v>
      </c>
      <c r="V270" s="4">
        <f>IFERROR(Table1_1[[#This Row],[Profit/Loss]]/Table1_1[[#This Row],[Calculated sales]],0)</f>
        <v>0.27040583675330598</v>
      </c>
    </row>
    <row r="271" spans="1:22" x14ac:dyDescent="0.25">
      <c r="A271" s="4" t="s">
        <v>417</v>
      </c>
      <c r="B271" s="5">
        <v>45442</v>
      </c>
      <c r="C271" s="4">
        <f>YEAR(Table1_1[[#This Row],[Order Dates]])</f>
        <v>2024</v>
      </c>
      <c r="D271" s="6">
        <f>MONTH(Table1_1[[#This Row],[Order Dates]])</f>
        <v>5</v>
      </c>
      <c r="E271" s="4" t="s">
        <v>16</v>
      </c>
      <c r="F271" s="4" t="s">
        <v>17</v>
      </c>
      <c r="G271" s="4" t="s">
        <v>32</v>
      </c>
      <c r="H271" s="4" t="str">
        <f>TRIM(CLEAN(SUBSTITUTE(Table1_1[[#This Row],[Salesperson]],"   "," ")))</f>
        <v>Neha Deshpande</v>
      </c>
      <c r="I271" s="4" t="s">
        <v>19</v>
      </c>
      <c r="J271" s="4" t="s">
        <v>27</v>
      </c>
      <c r="K271" s="4" t="s">
        <v>53</v>
      </c>
      <c r="L271" s="4" t="s">
        <v>1676</v>
      </c>
      <c r="M271" s="4" t="s">
        <v>23</v>
      </c>
      <c r="N271" s="4" t="s">
        <v>24</v>
      </c>
      <c r="O271" s="4">
        <v>4</v>
      </c>
      <c r="P271" s="7">
        <v>36630</v>
      </c>
      <c r="Q271" s="8">
        <v>0</v>
      </c>
      <c r="R271" s="7">
        <v>20710</v>
      </c>
      <c r="S271" s="7">
        <f>Table1_1[[#This Row],[Units Sold]]*Table1_1[[#This Row],[Unit Price]]*(1-Table1_1[[#This Row],[Discount %]])</f>
        <v>146520</v>
      </c>
      <c r="T271" s="7">
        <f>Table1_1[[#This Row],[Units Sold]]*Table1_1[[#This Row],[Unit Cost]]</f>
        <v>82840</v>
      </c>
      <c r="U271" s="7">
        <f>Table1_1[[#This Row],[Calculated sales]]-Table1_1[[#This Row],[Total cost]]</f>
        <v>63680</v>
      </c>
      <c r="V271" s="4">
        <f>IFERROR(Table1_1[[#This Row],[Profit/Loss]]/Table1_1[[#This Row],[Calculated sales]],0)</f>
        <v>0.43461643461643462</v>
      </c>
    </row>
    <row r="272" spans="1:22" x14ac:dyDescent="0.25">
      <c r="A272" s="4" t="s">
        <v>418</v>
      </c>
      <c r="B272" s="5">
        <v>45444</v>
      </c>
      <c r="C272" s="4">
        <f>YEAR(Table1_1[[#This Row],[Order Dates]])</f>
        <v>2024</v>
      </c>
      <c r="D272" s="6">
        <f>MONTH(Table1_1[[#This Row],[Order Dates]])</f>
        <v>6</v>
      </c>
      <c r="E272" s="4" t="s">
        <v>56</v>
      </c>
      <c r="F272" s="4" t="s">
        <v>133</v>
      </c>
      <c r="G272" s="4" t="s">
        <v>58</v>
      </c>
      <c r="H272" s="4" t="str">
        <f>TRIM(CLEAN(SUBSTITUTE(Table1_1[[#This Row],[Salesperson]],"   "," ")))</f>
        <v>Karthik Raman</v>
      </c>
      <c r="I272" s="4" t="s">
        <v>52</v>
      </c>
      <c r="J272" s="4" t="s">
        <v>46</v>
      </c>
      <c r="K272" s="4" t="s">
        <v>47</v>
      </c>
      <c r="L272" s="4" t="s">
        <v>259</v>
      </c>
      <c r="M272" s="4" t="s">
        <v>49</v>
      </c>
      <c r="N272" s="4" t="s">
        <v>24</v>
      </c>
      <c r="O272" s="4">
        <v>33</v>
      </c>
      <c r="P272" s="7">
        <v>2690</v>
      </c>
      <c r="Q272" s="8">
        <v>0.15</v>
      </c>
      <c r="R272" s="7">
        <v>1670</v>
      </c>
      <c r="S272" s="7">
        <f>Table1_1[[#This Row],[Units Sold]]*Table1_1[[#This Row],[Unit Price]]*(1-Table1_1[[#This Row],[Discount %]])</f>
        <v>75454.5</v>
      </c>
      <c r="T272" s="7">
        <f>Table1_1[[#This Row],[Units Sold]]*Table1_1[[#This Row],[Unit Cost]]</f>
        <v>55110</v>
      </c>
      <c r="U272" s="7">
        <f>Table1_1[[#This Row],[Calculated sales]]-Table1_1[[#This Row],[Total cost]]</f>
        <v>20344.5</v>
      </c>
      <c r="V272" s="4">
        <f>IFERROR(Table1_1[[#This Row],[Profit/Loss]]/Table1_1[[#This Row],[Calculated sales]],0)</f>
        <v>0.26962606603979883</v>
      </c>
    </row>
    <row r="273" spans="1:22" x14ac:dyDescent="0.25">
      <c r="A273" s="4" t="s">
        <v>419</v>
      </c>
      <c r="B273" s="5">
        <v>45445</v>
      </c>
      <c r="C273" s="4">
        <f>YEAR(Table1_1[[#This Row],[Order Dates]])</f>
        <v>2024</v>
      </c>
      <c r="D273" s="6">
        <f>MONTH(Table1_1[[#This Row],[Order Dates]])</f>
        <v>6</v>
      </c>
      <c r="E273" s="4" t="s">
        <v>76</v>
      </c>
      <c r="F273" s="4" t="s">
        <v>217</v>
      </c>
      <c r="G273" s="4" t="s">
        <v>170</v>
      </c>
      <c r="H273" s="4" t="str">
        <f>TRIM(CLEAN(SUBSTITUTE(Table1_1[[#This Row],[Salesperson]],"   "," ")))</f>
        <v>Manish Tiwari</v>
      </c>
      <c r="I273" s="4" t="s">
        <v>45</v>
      </c>
      <c r="J273" s="4" t="s">
        <v>46</v>
      </c>
      <c r="K273" s="4" t="s">
        <v>179</v>
      </c>
      <c r="L273" s="4" t="s">
        <v>180</v>
      </c>
      <c r="M273" s="4" t="s">
        <v>49</v>
      </c>
      <c r="N273" s="4" t="s">
        <v>24</v>
      </c>
      <c r="O273" s="4">
        <v>8</v>
      </c>
      <c r="P273" s="7">
        <v>3830</v>
      </c>
      <c r="Q273" s="8">
        <v>0.08</v>
      </c>
      <c r="R273" s="7">
        <v>2450</v>
      </c>
      <c r="S273" s="7">
        <f>Table1_1[[#This Row],[Units Sold]]*Table1_1[[#This Row],[Unit Price]]*(1-Table1_1[[#This Row],[Discount %]])</f>
        <v>28188.800000000003</v>
      </c>
      <c r="T273" s="7">
        <f>Table1_1[[#This Row],[Units Sold]]*Table1_1[[#This Row],[Unit Cost]]</f>
        <v>19600</v>
      </c>
      <c r="U273" s="7">
        <f>Table1_1[[#This Row],[Calculated sales]]-Table1_1[[#This Row],[Total cost]]</f>
        <v>8588.8000000000029</v>
      </c>
      <c r="V273" s="4">
        <f>IFERROR(Table1_1[[#This Row],[Profit/Loss]]/Table1_1[[#This Row],[Calculated sales]],0)</f>
        <v>0.30468838687705763</v>
      </c>
    </row>
    <row r="274" spans="1:22" x14ac:dyDescent="0.25">
      <c r="A274" s="4" t="s">
        <v>420</v>
      </c>
      <c r="B274" s="5">
        <v>45446</v>
      </c>
      <c r="C274" s="4">
        <f>YEAR(Table1_1[[#This Row],[Order Dates]])</f>
        <v>2024</v>
      </c>
      <c r="D274" s="6">
        <f>MONTH(Table1_1[[#This Row],[Order Dates]])</f>
        <v>6</v>
      </c>
      <c r="E274" s="4" t="s">
        <v>56</v>
      </c>
      <c r="F274" s="4" t="s">
        <v>143</v>
      </c>
      <c r="G274" s="4" t="s">
        <v>134</v>
      </c>
      <c r="H274" s="4" t="str">
        <f>TRIM(CLEAN(SUBSTITUTE(Table1_1[[#This Row],[Salesperson]],"   "," ")))</f>
        <v>Divya Nair</v>
      </c>
      <c r="I274" s="4" t="s">
        <v>45</v>
      </c>
      <c r="J274" s="4" t="s">
        <v>83</v>
      </c>
      <c r="K274" s="4" t="s">
        <v>136</v>
      </c>
      <c r="L274" s="4" t="s">
        <v>137</v>
      </c>
      <c r="M274" s="4" t="s">
        <v>40</v>
      </c>
      <c r="N274" s="4" t="s">
        <v>24</v>
      </c>
      <c r="O274" s="4">
        <v>27</v>
      </c>
      <c r="P274" s="7">
        <v>1590</v>
      </c>
      <c r="Q274" s="8">
        <v>0</v>
      </c>
      <c r="R274" s="7">
        <v>1220</v>
      </c>
      <c r="S274" s="7">
        <f>Table1_1[[#This Row],[Units Sold]]*Table1_1[[#This Row],[Unit Price]]*(1-Table1_1[[#This Row],[Discount %]])</f>
        <v>42930</v>
      </c>
      <c r="T274" s="7">
        <f>Table1_1[[#This Row],[Units Sold]]*Table1_1[[#This Row],[Unit Cost]]</f>
        <v>32940</v>
      </c>
      <c r="U274" s="7">
        <f>Table1_1[[#This Row],[Calculated sales]]-Table1_1[[#This Row],[Total cost]]</f>
        <v>9990</v>
      </c>
      <c r="V274" s="4">
        <f>IFERROR(Table1_1[[#This Row],[Profit/Loss]]/Table1_1[[#This Row],[Calculated sales]],0)</f>
        <v>0.23270440251572327</v>
      </c>
    </row>
    <row r="275" spans="1:22" x14ac:dyDescent="0.25">
      <c r="A275" s="4" t="s">
        <v>421</v>
      </c>
      <c r="B275" s="5">
        <v>45448</v>
      </c>
      <c r="C275" s="4">
        <f>YEAR(Table1_1[[#This Row],[Order Dates]])</f>
        <v>2024</v>
      </c>
      <c r="D275" s="6">
        <f>MONTH(Table1_1[[#This Row],[Order Dates]])</f>
        <v>6</v>
      </c>
      <c r="E275" s="4" t="s">
        <v>42</v>
      </c>
      <c r="F275" s="4" t="s">
        <v>130</v>
      </c>
      <c r="G275" s="4" t="s">
        <v>64</v>
      </c>
      <c r="H275" s="4" t="str">
        <f>TRIM(CLEAN(SUBSTITUTE(Table1_1[[#This Row],[Salesperson]],"   "," ")))</f>
        <v>Aditya Verma</v>
      </c>
      <c r="I275" s="4" t="s">
        <v>92</v>
      </c>
      <c r="J275" s="4" t="s">
        <v>46</v>
      </c>
      <c r="K275" s="4" t="s">
        <v>47</v>
      </c>
      <c r="L275" s="4" t="s">
        <v>259</v>
      </c>
      <c r="M275" s="4" t="s">
        <v>40</v>
      </c>
      <c r="N275" s="4" t="s">
        <v>24</v>
      </c>
      <c r="O275" s="4">
        <v>55</v>
      </c>
      <c r="P275" s="7">
        <v>2790</v>
      </c>
      <c r="Q275" s="8">
        <v>0.1</v>
      </c>
      <c r="R275" s="7">
        <v>2130</v>
      </c>
      <c r="S275" s="7">
        <f>Table1_1[[#This Row],[Units Sold]]*Table1_1[[#This Row],[Unit Price]]*(1-Table1_1[[#This Row],[Discount %]])</f>
        <v>138105</v>
      </c>
      <c r="T275" s="7">
        <f>Table1_1[[#This Row],[Units Sold]]*Table1_1[[#This Row],[Unit Cost]]</f>
        <v>117150</v>
      </c>
      <c r="U275" s="7">
        <f>Table1_1[[#This Row],[Calculated sales]]-Table1_1[[#This Row],[Total cost]]</f>
        <v>20955</v>
      </c>
      <c r="V275" s="4">
        <f>IFERROR(Table1_1[[#This Row],[Profit/Loss]]/Table1_1[[#This Row],[Calculated sales]],0)</f>
        <v>0.15173237753882915</v>
      </c>
    </row>
    <row r="276" spans="1:22" x14ac:dyDescent="0.25">
      <c r="A276" s="4" t="s">
        <v>422</v>
      </c>
      <c r="B276" s="5">
        <v>45448</v>
      </c>
      <c r="C276" s="4">
        <f>YEAR(Table1_1[[#This Row],[Order Dates]])</f>
        <v>2024</v>
      </c>
      <c r="D276" s="6">
        <f>MONTH(Table1_1[[#This Row],[Order Dates]])</f>
        <v>6</v>
      </c>
      <c r="E276" s="4" t="s">
        <v>56</v>
      </c>
      <c r="F276" s="4" t="s">
        <v>127</v>
      </c>
      <c r="G276" s="4" t="s">
        <v>134</v>
      </c>
      <c r="H276" s="4" t="str">
        <f>TRIM(CLEAN(SUBSTITUTE(Table1_1[[#This Row],[Salesperson]],"   "," ")))</f>
        <v>Divya Nair</v>
      </c>
      <c r="I276" s="4" t="s">
        <v>19</v>
      </c>
      <c r="J276" s="4" t="s">
        <v>20</v>
      </c>
      <c r="K276" s="4" t="s">
        <v>109</v>
      </c>
      <c r="L276" s="4" t="s">
        <v>171</v>
      </c>
      <c r="M276" s="4" t="s">
        <v>40</v>
      </c>
      <c r="N276" s="4" t="s">
        <v>24</v>
      </c>
      <c r="O276" s="4">
        <v>2</v>
      </c>
      <c r="P276" s="7">
        <v>21950</v>
      </c>
      <c r="Q276" s="8">
        <v>0.2</v>
      </c>
      <c r="R276" s="7">
        <v>12440</v>
      </c>
      <c r="S276" s="7">
        <f>Table1_1[[#This Row],[Units Sold]]*Table1_1[[#This Row],[Unit Price]]*(1-Table1_1[[#This Row],[Discount %]])</f>
        <v>35120</v>
      </c>
      <c r="T276" s="7">
        <f>Table1_1[[#This Row],[Units Sold]]*Table1_1[[#This Row],[Unit Cost]]</f>
        <v>24880</v>
      </c>
      <c r="U276" s="7">
        <f>Table1_1[[#This Row],[Calculated sales]]-Table1_1[[#This Row],[Total cost]]</f>
        <v>10240</v>
      </c>
      <c r="V276" s="4">
        <f>IFERROR(Table1_1[[#This Row],[Profit/Loss]]/Table1_1[[#This Row],[Calculated sales]],0)</f>
        <v>0.29157175398633256</v>
      </c>
    </row>
    <row r="277" spans="1:22" x14ac:dyDescent="0.25">
      <c r="A277" s="4" t="s">
        <v>423</v>
      </c>
      <c r="B277" s="5">
        <v>45448</v>
      </c>
      <c r="C277" s="4">
        <f>YEAR(Table1_1[[#This Row],[Order Dates]])</f>
        <v>2024</v>
      </c>
      <c r="D277" s="6">
        <f>MONTH(Table1_1[[#This Row],[Order Dates]])</f>
        <v>6</v>
      </c>
      <c r="E277" s="4" t="s">
        <v>76</v>
      </c>
      <c r="F277" s="4" t="s">
        <v>150</v>
      </c>
      <c r="G277" s="4" t="s">
        <v>170</v>
      </c>
      <c r="H277" s="4" t="str">
        <f>TRIM(CLEAN(SUBSTITUTE(Table1_1[[#This Row],[Salesperson]],"   "," ")))</f>
        <v>Manish Tiwari</v>
      </c>
      <c r="I277" s="4" t="s">
        <v>45</v>
      </c>
      <c r="J277" s="4" t="s">
        <v>20</v>
      </c>
      <c r="K277" s="4" t="s">
        <v>21</v>
      </c>
      <c r="L277" s="4" t="s">
        <v>1682</v>
      </c>
      <c r="M277" s="4" t="s">
        <v>40</v>
      </c>
      <c r="N277" s="4" t="s">
        <v>119</v>
      </c>
      <c r="O277" s="4">
        <v>13</v>
      </c>
      <c r="P277" s="7">
        <v>9320</v>
      </c>
      <c r="Q277" s="8">
        <v>0</v>
      </c>
      <c r="R277" s="7">
        <v>6530</v>
      </c>
      <c r="S277" s="7">
        <f>Table1_1[[#This Row],[Units Sold]]*Table1_1[[#This Row],[Unit Price]]*(1-Table1_1[[#This Row],[Discount %]])</f>
        <v>121160</v>
      </c>
      <c r="T277" s="7">
        <f>Table1_1[[#This Row],[Units Sold]]*Table1_1[[#This Row],[Unit Cost]]</f>
        <v>84890</v>
      </c>
      <c r="U277" s="7">
        <f>Table1_1[[#This Row],[Calculated sales]]-Table1_1[[#This Row],[Total cost]]</f>
        <v>36270</v>
      </c>
      <c r="V277" s="4">
        <f>IFERROR(Table1_1[[#This Row],[Profit/Loss]]/Table1_1[[#This Row],[Calculated sales]],0)</f>
        <v>0.29935622317596566</v>
      </c>
    </row>
    <row r="278" spans="1:22" x14ac:dyDescent="0.25">
      <c r="A278" s="4" t="s">
        <v>424</v>
      </c>
      <c r="B278" s="5">
        <v>45449</v>
      </c>
      <c r="C278" s="4">
        <f>YEAR(Table1_1[[#This Row],[Order Dates]])</f>
        <v>2024</v>
      </c>
      <c r="D278" s="6">
        <f>MONTH(Table1_1[[#This Row],[Order Dates]])</f>
        <v>6</v>
      </c>
      <c r="E278" s="4" t="s">
        <v>42</v>
      </c>
      <c r="F278" s="4" t="s">
        <v>96</v>
      </c>
      <c r="G278" s="4" t="s">
        <v>97</v>
      </c>
      <c r="H278" s="4" t="str">
        <f>TRIM(CLEAN(SUBSTITUTE(Table1_1[[#This Row],[Salesperson]],"   "," ")))</f>
        <v>Rohit Malhotra</v>
      </c>
      <c r="I278" s="4" t="s">
        <v>19</v>
      </c>
      <c r="J278" s="4" t="s">
        <v>27</v>
      </c>
      <c r="K278" s="4" t="s">
        <v>53</v>
      </c>
      <c r="L278" s="4" t="s">
        <v>1669</v>
      </c>
      <c r="M278" s="4" t="s">
        <v>49</v>
      </c>
      <c r="N278" s="4" t="s">
        <v>119</v>
      </c>
      <c r="O278" s="4">
        <v>4</v>
      </c>
      <c r="P278" s="7">
        <v>45350</v>
      </c>
      <c r="Q278" s="8">
        <v>0</v>
      </c>
      <c r="R278" s="7">
        <v>25500</v>
      </c>
      <c r="S278" s="7">
        <f>Table1_1[[#This Row],[Units Sold]]*Table1_1[[#This Row],[Unit Price]]*(1-Table1_1[[#This Row],[Discount %]])</f>
        <v>181400</v>
      </c>
      <c r="T278" s="7">
        <f>Table1_1[[#This Row],[Units Sold]]*Table1_1[[#This Row],[Unit Cost]]</f>
        <v>102000</v>
      </c>
      <c r="U278" s="7">
        <f>Table1_1[[#This Row],[Calculated sales]]-Table1_1[[#This Row],[Total cost]]</f>
        <v>79400</v>
      </c>
      <c r="V278" s="4">
        <f>IFERROR(Table1_1[[#This Row],[Profit/Loss]]/Table1_1[[#This Row],[Calculated sales]],0)</f>
        <v>0.43770672546857775</v>
      </c>
    </row>
    <row r="279" spans="1:22" x14ac:dyDescent="0.25">
      <c r="A279" s="4" t="s">
        <v>425</v>
      </c>
      <c r="B279" s="5">
        <v>45449</v>
      </c>
      <c r="C279" s="4">
        <f>YEAR(Table1_1[[#This Row],[Order Dates]])</f>
        <v>2024</v>
      </c>
      <c r="D279" s="6">
        <f>MONTH(Table1_1[[#This Row],[Order Dates]])</f>
        <v>6</v>
      </c>
      <c r="E279" s="4" t="s">
        <v>56</v>
      </c>
      <c r="F279" s="4" t="s">
        <v>103</v>
      </c>
      <c r="G279" s="4" t="s">
        <v>58</v>
      </c>
      <c r="H279" s="4" t="str">
        <f>TRIM(CLEAN(SUBSTITUTE(Table1_1[[#This Row],[Salesperson]],"   "," ")))</f>
        <v>Karthik Raman</v>
      </c>
      <c r="I279" s="4" t="s">
        <v>19</v>
      </c>
      <c r="J279" s="4" t="s">
        <v>27</v>
      </c>
      <c r="K279" s="4" t="s">
        <v>53</v>
      </c>
      <c r="L279" s="4" t="s">
        <v>1676</v>
      </c>
      <c r="M279" s="4" t="s">
        <v>49</v>
      </c>
      <c r="N279" s="4" t="s">
        <v>24</v>
      </c>
      <c r="O279" s="4">
        <v>1</v>
      </c>
      <c r="P279" s="7">
        <v>35630</v>
      </c>
      <c r="Q279" s="8">
        <v>0</v>
      </c>
      <c r="R279" s="7">
        <v>23230</v>
      </c>
      <c r="S279" s="7">
        <f>Table1_1[[#This Row],[Units Sold]]*Table1_1[[#This Row],[Unit Price]]*(1-Table1_1[[#This Row],[Discount %]])</f>
        <v>35630</v>
      </c>
      <c r="T279" s="7">
        <f>Table1_1[[#This Row],[Units Sold]]*Table1_1[[#This Row],[Unit Cost]]</f>
        <v>23230</v>
      </c>
      <c r="U279" s="7">
        <f>Table1_1[[#This Row],[Calculated sales]]-Table1_1[[#This Row],[Total cost]]</f>
        <v>12400</v>
      </c>
      <c r="V279" s="4">
        <f>IFERROR(Table1_1[[#This Row],[Profit/Loss]]/Table1_1[[#This Row],[Calculated sales]],0)</f>
        <v>0.34802133033960148</v>
      </c>
    </row>
    <row r="280" spans="1:22" x14ac:dyDescent="0.25">
      <c r="A280" s="4" t="s">
        <v>426</v>
      </c>
      <c r="B280" s="5">
        <v>45449</v>
      </c>
      <c r="C280" s="4">
        <f>YEAR(Table1_1[[#This Row],[Order Dates]])</f>
        <v>2024</v>
      </c>
      <c r="D280" s="6">
        <f>MONTH(Table1_1[[#This Row],[Order Dates]])</f>
        <v>6</v>
      </c>
      <c r="E280" s="4" t="s">
        <v>42</v>
      </c>
      <c r="F280" s="4" t="s">
        <v>146</v>
      </c>
      <c r="G280" s="4" t="s">
        <v>64</v>
      </c>
      <c r="H280" s="4" t="str">
        <f>TRIM(CLEAN(SUBSTITUTE(Table1_1[[#This Row],[Salesperson]],"   "," ")))</f>
        <v>Aditya Verma</v>
      </c>
      <c r="I280" s="4" t="s">
        <v>19</v>
      </c>
      <c r="J280" s="4" t="s">
        <v>27</v>
      </c>
      <c r="K280" s="4" t="s">
        <v>79</v>
      </c>
      <c r="L280" s="4" t="s">
        <v>168</v>
      </c>
      <c r="M280" s="4" t="s">
        <v>23</v>
      </c>
      <c r="N280" s="4" t="s">
        <v>24</v>
      </c>
      <c r="O280" s="4">
        <v>13</v>
      </c>
      <c r="P280" s="7">
        <v>9590</v>
      </c>
      <c r="Q280" s="8">
        <v>0</v>
      </c>
      <c r="R280" s="7">
        <v>6070</v>
      </c>
      <c r="S280" s="7">
        <f>Table1_1[[#This Row],[Units Sold]]*Table1_1[[#This Row],[Unit Price]]*(1-Table1_1[[#This Row],[Discount %]])</f>
        <v>124670</v>
      </c>
      <c r="T280" s="7">
        <f>Table1_1[[#This Row],[Units Sold]]*Table1_1[[#This Row],[Unit Cost]]</f>
        <v>78910</v>
      </c>
      <c r="U280" s="7">
        <f>Table1_1[[#This Row],[Calculated sales]]-Table1_1[[#This Row],[Total cost]]</f>
        <v>45760</v>
      </c>
      <c r="V280" s="4">
        <f>IFERROR(Table1_1[[#This Row],[Profit/Loss]]/Table1_1[[#This Row],[Calculated sales]],0)</f>
        <v>0.3670490093847758</v>
      </c>
    </row>
    <row r="281" spans="1:22" x14ac:dyDescent="0.25">
      <c r="A281" s="4" t="s">
        <v>427</v>
      </c>
      <c r="B281" s="5">
        <v>45450</v>
      </c>
      <c r="C281" s="4">
        <f>YEAR(Table1_1[[#This Row],[Order Dates]])</f>
        <v>2024</v>
      </c>
      <c r="D281" s="6">
        <f>MONTH(Table1_1[[#This Row],[Order Dates]])</f>
        <v>6</v>
      </c>
      <c r="E281" s="4" t="s">
        <v>76</v>
      </c>
      <c r="F281" s="4" t="s">
        <v>125</v>
      </c>
      <c r="G281" s="4" t="s">
        <v>78</v>
      </c>
      <c r="H281" s="4" t="str">
        <f>TRIM(CLEAN(SUBSTITUTE(Table1_1[[#This Row],[Salesperson]],"   "," ")))</f>
        <v>Pooja Chouhan</v>
      </c>
      <c r="I281" s="4" t="s">
        <v>19</v>
      </c>
      <c r="J281" s="4" t="s">
        <v>27</v>
      </c>
      <c r="K281" s="4" t="s">
        <v>53</v>
      </c>
      <c r="L281" s="4" t="s">
        <v>1676</v>
      </c>
      <c r="M281" s="4" t="s">
        <v>40</v>
      </c>
      <c r="N281" s="4" t="s">
        <v>119</v>
      </c>
      <c r="O281" s="4">
        <v>1</v>
      </c>
      <c r="P281" s="7">
        <v>35690</v>
      </c>
      <c r="Q281" s="8">
        <v>0.08</v>
      </c>
      <c r="R281" s="7">
        <v>21620</v>
      </c>
      <c r="S281" s="7">
        <f>Table1_1[[#This Row],[Units Sold]]*Table1_1[[#This Row],[Unit Price]]*(1-Table1_1[[#This Row],[Discount %]])</f>
        <v>32834.800000000003</v>
      </c>
      <c r="T281" s="7">
        <f>Table1_1[[#This Row],[Units Sold]]*Table1_1[[#This Row],[Unit Cost]]</f>
        <v>21620</v>
      </c>
      <c r="U281" s="7">
        <f>Table1_1[[#This Row],[Calculated sales]]-Table1_1[[#This Row],[Total cost]]</f>
        <v>11214.800000000003</v>
      </c>
      <c r="V281" s="4">
        <f>IFERROR(Table1_1[[#This Row],[Profit/Loss]]/Table1_1[[#This Row],[Calculated sales]],0)</f>
        <v>0.34155225553376301</v>
      </c>
    </row>
    <row r="282" spans="1:22" x14ac:dyDescent="0.25">
      <c r="A282" s="4" t="s">
        <v>428</v>
      </c>
      <c r="B282" s="5">
        <v>45450</v>
      </c>
      <c r="C282" s="4">
        <f>YEAR(Table1_1[[#This Row],[Order Dates]])</f>
        <v>2024</v>
      </c>
      <c r="D282" s="6">
        <f>MONTH(Table1_1[[#This Row],[Order Dates]])</f>
        <v>6</v>
      </c>
      <c r="E282" s="4" t="s">
        <v>76</v>
      </c>
      <c r="F282" s="4" t="s">
        <v>150</v>
      </c>
      <c r="G282" s="4" t="s">
        <v>78</v>
      </c>
      <c r="H282" s="4" t="str">
        <f>TRIM(CLEAN(SUBSTITUTE(Table1_1[[#This Row],[Salesperson]],"   "," ")))</f>
        <v>Pooja Chouhan</v>
      </c>
      <c r="I282" s="4" t="s">
        <v>92</v>
      </c>
      <c r="J282" s="4" t="s">
        <v>46</v>
      </c>
      <c r="K282" s="4" t="s">
        <v>47</v>
      </c>
      <c r="L282" s="4" t="s">
        <v>1673</v>
      </c>
      <c r="M282" s="4" t="s">
        <v>40</v>
      </c>
      <c r="N282" s="4" t="s">
        <v>119</v>
      </c>
      <c r="O282" s="4">
        <v>33</v>
      </c>
      <c r="P282" s="7">
        <v>1190</v>
      </c>
      <c r="Q282" s="8">
        <v>0.08</v>
      </c>
      <c r="R282" s="7">
        <v>780</v>
      </c>
      <c r="S282" s="7">
        <f>Table1_1[[#This Row],[Units Sold]]*Table1_1[[#This Row],[Unit Price]]*(1-Table1_1[[#This Row],[Discount %]])</f>
        <v>36128.400000000001</v>
      </c>
      <c r="T282" s="7">
        <f>Table1_1[[#This Row],[Units Sold]]*Table1_1[[#This Row],[Unit Cost]]</f>
        <v>25740</v>
      </c>
      <c r="U282" s="7">
        <f>Table1_1[[#This Row],[Calculated sales]]-Table1_1[[#This Row],[Total cost]]</f>
        <v>10388.400000000001</v>
      </c>
      <c r="V282" s="4">
        <f>IFERROR(Table1_1[[#This Row],[Profit/Loss]]/Table1_1[[#This Row],[Calculated sales]],0)</f>
        <v>0.28754110339788091</v>
      </c>
    </row>
    <row r="283" spans="1:22" x14ac:dyDescent="0.25">
      <c r="A283" s="4" t="s">
        <v>429</v>
      </c>
      <c r="B283" s="5">
        <v>45452</v>
      </c>
      <c r="C283" s="4">
        <f>YEAR(Table1_1[[#This Row],[Order Dates]])</f>
        <v>2024</v>
      </c>
      <c r="D283" s="6">
        <f>MONTH(Table1_1[[#This Row],[Order Dates]])</f>
        <v>6</v>
      </c>
      <c r="E283" s="4" t="s">
        <v>16</v>
      </c>
      <c r="F283" s="4" t="s">
        <v>31</v>
      </c>
      <c r="G283" s="4" t="s">
        <v>32</v>
      </c>
      <c r="H283" s="4" t="str">
        <f>TRIM(CLEAN(SUBSTITUTE(Table1_1[[#This Row],[Salesperson]],"   "," ")))</f>
        <v>Neha Deshpande</v>
      </c>
      <c r="I283" s="4" t="s">
        <v>19</v>
      </c>
      <c r="J283" s="4" t="s">
        <v>59</v>
      </c>
      <c r="K283" s="4" t="s">
        <v>73</v>
      </c>
      <c r="L283" s="4" t="s">
        <v>74</v>
      </c>
      <c r="M283" s="4" t="s">
        <v>40</v>
      </c>
      <c r="N283" s="4" t="s">
        <v>24</v>
      </c>
      <c r="O283" s="4">
        <v>1</v>
      </c>
      <c r="P283" s="7">
        <v>44500</v>
      </c>
      <c r="Q283" s="8">
        <v>0.2</v>
      </c>
      <c r="R283" s="7">
        <v>34200</v>
      </c>
      <c r="S283" s="7">
        <f>Table1_1[[#This Row],[Units Sold]]*Table1_1[[#This Row],[Unit Price]]*(1-Table1_1[[#This Row],[Discount %]])</f>
        <v>35600</v>
      </c>
      <c r="T283" s="7">
        <f>Table1_1[[#This Row],[Units Sold]]*Table1_1[[#This Row],[Unit Cost]]</f>
        <v>34200</v>
      </c>
      <c r="U283" s="7">
        <f>Table1_1[[#This Row],[Calculated sales]]-Table1_1[[#This Row],[Total cost]]</f>
        <v>1400</v>
      </c>
      <c r="V283" s="4">
        <f>IFERROR(Table1_1[[#This Row],[Profit/Loss]]/Table1_1[[#This Row],[Calculated sales]],0)</f>
        <v>3.9325842696629212E-2</v>
      </c>
    </row>
    <row r="284" spans="1:22" x14ac:dyDescent="0.25">
      <c r="A284" s="4" t="s">
        <v>430</v>
      </c>
      <c r="B284" s="5">
        <v>45453</v>
      </c>
      <c r="C284" s="4">
        <f>YEAR(Table1_1[[#This Row],[Order Dates]])</f>
        <v>2024</v>
      </c>
      <c r="D284" s="6">
        <f>MONTH(Table1_1[[#This Row],[Order Dates]])</f>
        <v>6</v>
      </c>
      <c r="E284" s="4" t="s">
        <v>56</v>
      </c>
      <c r="F284" s="4" t="s">
        <v>57</v>
      </c>
      <c r="G284" s="4" t="s">
        <v>134</v>
      </c>
      <c r="H284" s="4" t="str">
        <f>TRIM(CLEAN(SUBSTITUTE(Table1_1[[#This Row],[Salesperson]],"   "," ")))</f>
        <v>Divya Nair</v>
      </c>
      <c r="I284" s="4" t="s">
        <v>52</v>
      </c>
      <c r="J284" s="4" t="s">
        <v>46</v>
      </c>
      <c r="K284" s="4" t="s">
        <v>47</v>
      </c>
      <c r="L284" s="4" t="s">
        <v>1673</v>
      </c>
      <c r="M284" s="4" t="s">
        <v>49</v>
      </c>
      <c r="N284" s="4" t="s">
        <v>24</v>
      </c>
      <c r="O284" s="4">
        <v>16</v>
      </c>
      <c r="P284" s="7">
        <v>1270</v>
      </c>
      <c r="Q284" s="8">
        <v>0.1</v>
      </c>
      <c r="R284" s="7">
        <v>760</v>
      </c>
      <c r="S284" s="7">
        <f>Table1_1[[#This Row],[Units Sold]]*Table1_1[[#This Row],[Unit Price]]*(1-Table1_1[[#This Row],[Discount %]])</f>
        <v>18288</v>
      </c>
      <c r="T284" s="7">
        <f>Table1_1[[#This Row],[Units Sold]]*Table1_1[[#This Row],[Unit Cost]]</f>
        <v>12160</v>
      </c>
      <c r="U284" s="7">
        <f>Table1_1[[#This Row],[Calculated sales]]-Table1_1[[#This Row],[Total cost]]</f>
        <v>6128</v>
      </c>
      <c r="V284" s="4">
        <f>IFERROR(Table1_1[[#This Row],[Profit/Loss]]/Table1_1[[#This Row],[Calculated sales]],0)</f>
        <v>0.33508311461067369</v>
      </c>
    </row>
    <row r="285" spans="1:22" x14ac:dyDescent="0.25">
      <c r="A285" s="4" t="s">
        <v>431</v>
      </c>
      <c r="B285" s="5">
        <v>45453</v>
      </c>
      <c r="C285" s="4">
        <f>YEAR(Table1_1[[#This Row],[Order Dates]])</f>
        <v>2024</v>
      </c>
      <c r="D285" s="6">
        <f>MONTH(Table1_1[[#This Row],[Order Dates]])</f>
        <v>6</v>
      </c>
      <c r="E285" s="4" t="s">
        <v>76</v>
      </c>
      <c r="F285" s="4" t="s">
        <v>112</v>
      </c>
      <c r="G285" s="4" t="s">
        <v>170</v>
      </c>
      <c r="H285" s="4" t="str">
        <f>TRIM(CLEAN(SUBSTITUTE(Table1_1[[#This Row],[Salesperson]],"   "," ")))</f>
        <v>Manish Tiwari</v>
      </c>
      <c r="I285" s="4" t="s">
        <v>19</v>
      </c>
      <c r="J285" s="4" t="s">
        <v>27</v>
      </c>
      <c r="K285" s="4" t="s">
        <v>53</v>
      </c>
      <c r="L285" s="4" t="s">
        <v>1669</v>
      </c>
      <c r="M285" s="4" t="s">
        <v>23</v>
      </c>
      <c r="N285" s="4" t="s">
        <v>24</v>
      </c>
      <c r="O285" s="4">
        <v>4</v>
      </c>
      <c r="P285" s="7">
        <v>42380</v>
      </c>
      <c r="Q285" s="8">
        <v>0.15</v>
      </c>
      <c r="R285" s="7">
        <v>24190</v>
      </c>
      <c r="S285" s="7">
        <f>Table1_1[[#This Row],[Units Sold]]*Table1_1[[#This Row],[Unit Price]]*(1-Table1_1[[#This Row],[Discount %]])</f>
        <v>144092</v>
      </c>
      <c r="T285" s="7">
        <f>Table1_1[[#This Row],[Units Sold]]*Table1_1[[#This Row],[Unit Cost]]</f>
        <v>96760</v>
      </c>
      <c r="U285" s="7">
        <f>Table1_1[[#This Row],[Calculated sales]]-Table1_1[[#This Row],[Total cost]]</f>
        <v>47332</v>
      </c>
      <c r="V285" s="4">
        <f>IFERROR(Table1_1[[#This Row],[Profit/Loss]]/Table1_1[[#This Row],[Calculated sales]],0)</f>
        <v>0.32848457929656055</v>
      </c>
    </row>
    <row r="286" spans="1:22" x14ac:dyDescent="0.25">
      <c r="A286" s="4" t="s">
        <v>432</v>
      </c>
      <c r="B286" s="5">
        <v>45454</v>
      </c>
      <c r="C286" s="4">
        <f>YEAR(Table1_1[[#This Row],[Order Dates]])</f>
        <v>2024</v>
      </c>
      <c r="D286" s="6">
        <f>MONTH(Table1_1[[#This Row],[Order Dates]])</f>
        <v>6</v>
      </c>
      <c r="E286" s="4" t="s">
        <v>56</v>
      </c>
      <c r="F286" s="4" t="s">
        <v>133</v>
      </c>
      <c r="G286" s="4" t="s">
        <v>134</v>
      </c>
      <c r="H286" s="4" t="str">
        <f>TRIM(CLEAN(SUBSTITUTE(Table1_1[[#This Row],[Salesperson]],"   "," ")))</f>
        <v>Divya Nair</v>
      </c>
      <c r="I286" s="4" t="s">
        <v>45</v>
      </c>
      <c r="J286" s="4" t="s">
        <v>27</v>
      </c>
      <c r="K286" s="4" t="s">
        <v>28</v>
      </c>
      <c r="L286" s="4" t="s">
        <v>141</v>
      </c>
      <c r="M286" s="4" t="s">
        <v>49</v>
      </c>
      <c r="N286" s="4" t="s">
        <v>24</v>
      </c>
      <c r="O286" s="4">
        <v>2</v>
      </c>
      <c r="P286" s="7">
        <v>16340</v>
      </c>
      <c r="Q286" s="8">
        <v>0</v>
      </c>
      <c r="R286" s="7">
        <v>11730</v>
      </c>
      <c r="S286" s="7">
        <f>Table1_1[[#This Row],[Units Sold]]*Table1_1[[#This Row],[Unit Price]]*(1-Table1_1[[#This Row],[Discount %]])</f>
        <v>32680</v>
      </c>
      <c r="T286" s="7">
        <f>Table1_1[[#This Row],[Units Sold]]*Table1_1[[#This Row],[Unit Cost]]</f>
        <v>23460</v>
      </c>
      <c r="U286" s="7">
        <f>Table1_1[[#This Row],[Calculated sales]]-Table1_1[[#This Row],[Total cost]]</f>
        <v>9220</v>
      </c>
      <c r="V286" s="4">
        <f>IFERROR(Table1_1[[#This Row],[Profit/Loss]]/Table1_1[[#This Row],[Calculated sales]],0)</f>
        <v>0.28212974296205628</v>
      </c>
    </row>
    <row r="287" spans="1:22" x14ac:dyDescent="0.25">
      <c r="A287" s="4" t="s">
        <v>433</v>
      </c>
      <c r="B287" s="5">
        <v>45454</v>
      </c>
      <c r="C287" s="4">
        <f>YEAR(Table1_1[[#This Row],[Order Dates]])</f>
        <v>2024</v>
      </c>
      <c r="D287" s="6">
        <f>MONTH(Table1_1[[#This Row],[Order Dates]])</f>
        <v>6</v>
      </c>
      <c r="E287" s="4" t="s">
        <v>56</v>
      </c>
      <c r="F287" s="4" t="s">
        <v>103</v>
      </c>
      <c r="G287" s="4" t="s">
        <v>91</v>
      </c>
      <c r="H287" s="4" t="str">
        <f>TRIM(CLEAN(SUBSTITUTE(Table1_1[[#This Row],[Salesperson]],"   "," ")))</f>
        <v>Anjali Menon</v>
      </c>
      <c r="I287" s="4" t="s">
        <v>19</v>
      </c>
      <c r="J287" s="4" t="s">
        <v>46</v>
      </c>
      <c r="K287" s="4" t="s">
        <v>100</v>
      </c>
      <c r="L287" s="4" t="s">
        <v>101</v>
      </c>
      <c r="M287" s="4" t="s">
        <v>23</v>
      </c>
      <c r="N287" s="4" t="s">
        <v>24</v>
      </c>
      <c r="O287" s="4">
        <v>37</v>
      </c>
      <c r="P287" s="7">
        <v>1960</v>
      </c>
      <c r="Q287" s="8">
        <v>0.1</v>
      </c>
      <c r="R287" s="7">
        <v>1380</v>
      </c>
      <c r="S287" s="7">
        <f>Table1_1[[#This Row],[Units Sold]]*Table1_1[[#This Row],[Unit Price]]*(1-Table1_1[[#This Row],[Discount %]])</f>
        <v>65268</v>
      </c>
      <c r="T287" s="7">
        <f>Table1_1[[#This Row],[Units Sold]]*Table1_1[[#This Row],[Unit Cost]]</f>
        <v>51060</v>
      </c>
      <c r="U287" s="7">
        <f>Table1_1[[#This Row],[Calculated sales]]-Table1_1[[#This Row],[Total cost]]</f>
        <v>14208</v>
      </c>
      <c r="V287" s="4">
        <f>IFERROR(Table1_1[[#This Row],[Profit/Loss]]/Table1_1[[#This Row],[Calculated sales]],0)</f>
        <v>0.21768707482993196</v>
      </c>
    </row>
    <row r="288" spans="1:22" x14ac:dyDescent="0.25">
      <c r="A288" s="4" t="s">
        <v>434</v>
      </c>
      <c r="B288" s="5">
        <v>45454</v>
      </c>
      <c r="C288" s="4">
        <f>YEAR(Table1_1[[#This Row],[Order Dates]])</f>
        <v>2024</v>
      </c>
      <c r="D288" s="6">
        <f>MONTH(Table1_1[[#This Row],[Order Dates]])</f>
        <v>6</v>
      </c>
      <c r="E288" s="4" t="s">
        <v>16</v>
      </c>
      <c r="F288" s="4" t="s">
        <v>191</v>
      </c>
      <c r="G288" s="4" t="s">
        <v>18</v>
      </c>
      <c r="H288" s="4" t="str">
        <f>TRIM(CLEAN(SUBSTITUTE(Table1_1[[#This Row],[Salesperson]],"   "," ")))</f>
        <v>Imran Sheikh</v>
      </c>
      <c r="I288" s="4" t="s">
        <v>19</v>
      </c>
      <c r="J288" s="4" t="s">
        <v>27</v>
      </c>
      <c r="K288" s="4" t="s">
        <v>79</v>
      </c>
      <c r="L288" s="4" t="s">
        <v>80</v>
      </c>
      <c r="M288" s="4" t="s">
        <v>23</v>
      </c>
      <c r="N288" s="4" t="s">
        <v>24</v>
      </c>
      <c r="O288" s="4">
        <v>3</v>
      </c>
      <c r="P288" s="7">
        <v>4710</v>
      </c>
      <c r="Q288" s="8">
        <v>0.1</v>
      </c>
      <c r="R288" s="7">
        <v>2960</v>
      </c>
      <c r="S288" s="7">
        <f>Table1_1[[#This Row],[Units Sold]]*Table1_1[[#This Row],[Unit Price]]*(1-Table1_1[[#This Row],[Discount %]])</f>
        <v>12717</v>
      </c>
      <c r="T288" s="7">
        <f>Table1_1[[#This Row],[Units Sold]]*Table1_1[[#This Row],[Unit Cost]]</f>
        <v>8880</v>
      </c>
      <c r="U288" s="7">
        <f>Table1_1[[#This Row],[Calculated sales]]-Table1_1[[#This Row],[Total cost]]</f>
        <v>3837</v>
      </c>
      <c r="V288" s="4">
        <f>IFERROR(Table1_1[[#This Row],[Profit/Loss]]/Table1_1[[#This Row],[Calculated sales]],0)</f>
        <v>0.30172210426987495</v>
      </c>
    </row>
    <row r="289" spans="1:22" x14ac:dyDescent="0.25">
      <c r="A289" s="4" t="s">
        <v>435</v>
      </c>
      <c r="B289" s="5">
        <v>45454</v>
      </c>
      <c r="C289" s="4">
        <f>YEAR(Table1_1[[#This Row],[Order Dates]])</f>
        <v>2024</v>
      </c>
      <c r="D289" s="6">
        <f>MONTH(Table1_1[[#This Row],[Order Dates]])</f>
        <v>6</v>
      </c>
      <c r="E289" s="4" t="s">
        <v>56</v>
      </c>
      <c r="F289" s="4" t="s">
        <v>127</v>
      </c>
      <c r="G289" s="4" t="s">
        <v>134</v>
      </c>
      <c r="H289" s="4" t="str">
        <f>TRIM(CLEAN(SUBSTITUTE(Table1_1[[#This Row],[Salesperson]],"   "," ")))</f>
        <v>Divya Nair</v>
      </c>
      <c r="I289" s="4" t="s">
        <v>45</v>
      </c>
      <c r="J289" s="4" t="s">
        <v>27</v>
      </c>
      <c r="K289" s="4" t="s">
        <v>53</v>
      </c>
      <c r="L289" s="4" t="s">
        <v>1676</v>
      </c>
      <c r="M289" s="4" t="s">
        <v>40</v>
      </c>
      <c r="N289" s="4" t="s">
        <v>24</v>
      </c>
      <c r="O289" s="4">
        <v>7</v>
      </c>
      <c r="P289" s="7">
        <v>35050</v>
      </c>
      <c r="Q289" s="8">
        <v>0.05</v>
      </c>
      <c r="R289" s="7">
        <v>22860</v>
      </c>
      <c r="S289" s="7">
        <f>Table1_1[[#This Row],[Units Sold]]*Table1_1[[#This Row],[Unit Price]]*(1-Table1_1[[#This Row],[Discount %]])</f>
        <v>233082.5</v>
      </c>
      <c r="T289" s="7">
        <f>Table1_1[[#This Row],[Units Sold]]*Table1_1[[#This Row],[Unit Cost]]</f>
        <v>160020</v>
      </c>
      <c r="U289" s="7">
        <f>Table1_1[[#This Row],[Calculated sales]]-Table1_1[[#This Row],[Total cost]]</f>
        <v>73062.5</v>
      </c>
      <c r="V289" s="4">
        <f>IFERROR(Table1_1[[#This Row],[Profit/Loss]]/Table1_1[[#This Row],[Calculated sales]],0)</f>
        <v>0.31346197161949096</v>
      </c>
    </row>
    <row r="290" spans="1:22" x14ac:dyDescent="0.25">
      <c r="A290" s="4" t="s">
        <v>436</v>
      </c>
      <c r="B290" s="5">
        <v>45454</v>
      </c>
      <c r="C290" s="4">
        <f>YEAR(Table1_1[[#This Row],[Order Dates]])</f>
        <v>2024</v>
      </c>
      <c r="D290" s="6">
        <f>MONTH(Table1_1[[#This Row],[Order Dates]])</f>
        <v>6</v>
      </c>
      <c r="E290" s="4" t="s">
        <v>56</v>
      </c>
      <c r="F290" s="4" t="s">
        <v>57</v>
      </c>
      <c r="G290" s="4" t="s">
        <v>134</v>
      </c>
      <c r="H290" s="4" t="str">
        <f>TRIM(CLEAN(SUBSTITUTE(Table1_1[[#This Row],[Salesperson]],"   "," ")))</f>
        <v>Divya Nair</v>
      </c>
      <c r="I290" s="4" t="s">
        <v>19</v>
      </c>
      <c r="J290" s="4" t="s">
        <v>20</v>
      </c>
      <c r="K290" s="4" t="s">
        <v>33</v>
      </c>
      <c r="L290" s="4" t="s">
        <v>1678</v>
      </c>
      <c r="M290" s="4" t="s">
        <v>23</v>
      </c>
      <c r="N290" s="4" t="s">
        <v>24</v>
      </c>
      <c r="O290" s="4">
        <v>2</v>
      </c>
      <c r="P290" s="7">
        <v>112710</v>
      </c>
      <c r="Q290" s="8">
        <v>0.1</v>
      </c>
      <c r="R290" s="7">
        <v>77910</v>
      </c>
      <c r="S290" s="7">
        <f>Table1_1[[#This Row],[Units Sold]]*Table1_1[[#This Row],[Unit Price]]*(1-Table1_1[[#This Row],[Discount %]])</f>
        <v>202878</v>
      </c>
      <c r="T290" s="7">
        <f>Table1_1[[#This Row],[Units Sold]]*Table1_1[[#This Row],[Unit Cost]]</f>
        <v>155820</v>
      </c>
      <c r="U290" s="7">
        <f>Table1_1[[#This Row],[Calculated sales]]-Table1_1[[#This Row],[Total cost]]</f>
        <v>47058</v>
      </c>
      <c r="V290" s="4">
        <f>IFERROR(Table1_1[[#This Row],[Profit/Loss]]/Table1_1[[#This Row],[Calculated sales]],0)</f>
        <v>0.23195220773075445</v>
      </c>
    </row>
    <row r="291" spans="1:22" x14ac:dyDescent="0.25">
      <c r="A291" s="4" t="s">
        <v>437</v>
      </c>
      <c r="B291" s="5">
        <v>45455</v>
      </c>
      <c r="C291" s="4">
        <f>YEAR(Table1_1[[#This Row],[Order Dates]])</f>
        <v>2024</v>
      </c>
      <c r="D291" s="6">
        <f>MONTH(Table1_1[[#This Row],[Order Dates]])</f>
        <v>6</v>
      </c>
      <c r="E291" s="4" t="s">
        <v>16</v>
      </c>
      <c r="F291" s="4" t="s">
        <v>31</v>
      </c>
      <c r="G291" s="4" t="s">
        <v>18</v>
      </c>
      <c r="H291" s="4" t="str">
        <f>TRIM(CLEAN(SUBSTITUTE(Table1_1[[#This Row],[Salesperson]],"   "," ")))</f>
        <v>Imran Sheikh</v>
      </c>
      <c r="I291" s="4" t="s">
        <v>19</v>
      </c>
      <c r="J291" s="4" t="s">
        <v>46</v>
      </c>
      <c r="K291" s="4" t="s">
        <v>179</v>
      </c>
      <c r="L291" s="4" t="s">
        <v>180</v>
      </c>
      <c r="M291" s="4" t="s">
        <v>40</v>
      </c>
      <c r="N291" s="4" t="s">
        <v>24</v>
      </c>
      <c r="O291" s="4">
        <v>5</v>
      </c>
      <c r="P291" s="7">
        <v>3640</v>
      </c>
      <c r="Q291" s="8">
        <v>0.1</v>
      </c>
      <c r="R291" s="7">
        <v>2260</v>
      </c>
      <c r="S291" s="7">
        <f>Table1_1[[#This Row],[Units Sold]]*Table1_1[[#This Row],[Unit Price]]*(1-Table1_1[[#This Row],[Discount %]])</f>
        <v>16380</v>
      </c>
      <c r="T291" s="7">
        <f>Table1_1[[#This Row],[Units Sold]]*Table1_1[[#This Row],[Unit Cost]]</f>
        <v>11300</v>
      </c>
      <c r="U291" s="7">
        <f>Table1_1[[#This Row],[Calculated sales]]-Table1_1[[#This Row],[Total cost]]</f>
        <v>5080</v>
      </c>
      <c r="V291" s="4">
        <f>IFERROR(Table1_1[[#This Row],[Profit/Loss]]/Table1_1[[#This Row],[Calculated sales]],0)</f>
        <v>0.31013431013431014</v>
      </c>
    </row>
    <row r="292" spans="1:22" x14ac:dyDescent="0.25">
      <c r="A292" s="4" t="s">
        <v>438</v>
      </c>
      <c r="B292" s="5">
        <v>45456</v>
      </c>
      <c r="C292" s="4">
        <f>YEAR(Table1_1[[#This Row],[Order Dates]])</f>
        <v>2024</v>
      </c>
      <c r="D292" s="6">
        <f>MONTH(Table1_1[[#This Row],[Order Dates]])</f>
        <v>6</v>
      </c>
      <c r="E292" s="4" t="s">
        <v>37</v>
      </c>
      <c r="F292" s="4" t="s">
        <v>67</v>
      </c>
      <c r="G292" s="4" t="s">
        <v>39</v>
      </c>
      <c r="H292" s="4" t="str">
        <f>TRIM(CLEAN(SUBSTITUTE(Table1_1[[#This Row],[Salesperson]],"   "," ")))</f>
        <v>Sourav Das</v>
      </c>
      <c r="I292" s="4" t="s">
        <v>52</v>
      </c>
      <c r="J292" s="4" t="s">
        <v>27</v>
      </c>
      <c r="K292" s="4" t="s">
        <v>53</v>
      </c>
      <c r="L292" s="4" t="s">
        <v>1669</v>
      </c>
      <c r="M292" s="4" t="s">
        <v>23</v>
      </c>
      <c r="N292" s="4" t="s">
        <v>24</v>
      </c>
      <c r="O292" s="4">
        <v>4</v>
      </c>
      <c r="P292" s="7">
        <v>42930</v>
      </c>
      <c r="Q292" s="8">
        <v>0</v>
      </c>
      <c r="R292" s="7">
        <v>32080</v>
      </c>
      <c r="S292" s="7">
        <f>Table1_1[[#This Row],[Units Sold]]*Table1_1[[#This Row],[Unit Price]]*(1-Table1_1[[#This Row],[Discount %]])</f>
        <v>171720</v>
      </c>
      <c r="T292" s="7">
        <f>Table1_1[[#This Row],[Units Sold]]*Table1_1[[#This Row],[Unit Cost]]</f>
        <v>128320</v>
      </c>
      <c r="U292" s="7">
        <f>Table1_1[[#This Row],[Calculated sales]]-Table1_1[[#This Row],[Total cost]]</f>
        <v>43400</v>
      </c>
      <c r="V292" s="4">
        <f>IFERROR(Table1_1[[#This Row],[Profit/Loss]]/Table1_1[[#This Row],[Calculated sales]],0)</f>
        <v>0.25273701374330304</v>
      </c>
    </row>
    <row r="293" spans="1:22" x14ac:dyDescent="0.25">
      <c r="A293" s="4" t="s">
        <v>439</v>
      </c>
      <c r="B293" s="5">
        <v>45456</v>
      </c>
      <c r="C293" s="4">
        <f>YEAR(Table1_1[[#This Row],[Order Dates]])</f>
        <v>2024</v>
      </c>
      <c r="D293" s="6">
        <f>MONTH(Table1_1[[#This Row],[Order Dates]])</f>
        <v>6</v>
      </c>
      <c r="E293" s="4" t="s">
        <v>56</v>
      </c>
      <c r="F293" s="4" t="s">
        <v>127</v>
      </c>
      <c r="G293" s="4" t="s">
        <v>91</v>
      </c>
      <c r="H293" s="4" t="str">
        <f>TRIM(CLEAN(SUBSTITUTE(Table1_1[[#This Row],[Salesperson]],"   "," ")))</f>
        <v>Anjali Menon</v>
      </c>
      <c r="I293" s="4" t="s">
        <v>19</v>
      </c>
      <c r="J293" s="4" t="s">
        <v>27</v>
      </c>
      <c r="K293" s="4" t="s">
        <v>28</v>
      </c>
      <c r="L293" s="4" t="s">
        <v>1668</v>
      </c>
      <c r="M293" s="4" t="s">
        <v>40</v>
      </c>
      <c r="N293" s="4" t="s">
        <v>24</v>
      </c>
      <c r="O293" s="4">
        <v>8</v>
      </c>
      <c r="P293" s="7">
        <v>28000</v>
      </c>
      <c r="Q293" s="8">
        <v>0.08</v>
      </c>
      <c r="R293" s="7">
        <v>22070</v>
      </c>
      <c r="S293" s="7">
        <f>Table1_1[[#This Row],[Units Sold]]*Table1_1[[#This Row],[Unit Price]]*(1-Table1_1[[#This Row],[Discount %]])</f>
        <v>206080</v>
      </c>
      <c r="T293" s="7">
        <f>Table1_1[[#This Row],[Units Sold]]*Table1_1[[#This Row],[Unit Cost]]</f>
        <v>176560</v>
      </c>
      <c r="U293" s="7">
        <f>Table1_1[[#This Row],[Calculated sales]]-Table1_1[[#This Row],[Total cost]]</f>
        <v>29520</v>
      </c>
      <c r="V293" s="4">
        <f>IFERROR(Table1_1[[#This Row],[Profit/Loss]]/Table1_1[[#This Row],[Calculated sales]],0)</f>
        <v>0.14324534161490685</v>
      </c>
    </row>
    <row r="294" spans="1:22" x14ac:dyDescent="0.25">
      <c r="A294" s="4" t="s">
        <v>440</v>
      </c>
      <c r="B294" s="5">
        <v>45457</v>
      </c>
      <c r="C294" s="4">
        <f>YEAR(Table1_1[[#This Row],[Order Dates]])</f>
        <v>2024</v>
      </c>
      <c r="D294" s="6">
        <f>MONTH(Table1_1[[#This Row],[Order Dates]])</f>
        <v>6</v>
      </c>
      <c r="E294" s="4" t="s">
        <v>16</v>
      </c>
      <c r="F294" s="4" t="s">
        <v>153</v>
      </c>
      <c r="G294" s="4" t="s">
        <v>32</v>
      </c>
      <c r="H294" s="4" t="str">
        <f>TRIM(CLEAN(SUBSTITUTE(Table1_1[[#This Row],[Salesperson]],"   "," ")))</f>
        <v>Neha Deshpande</v>
      </c>
      <c r="I294" s="4" t="s">
        <v>92</v>
      </c>
      <c r="J294" s="4" t="s">
        <v>46</v>
      </c>
      <c r="K294" s="4" t="s">
        <v>179</v>
      </c>
      <c r="L294" s="4" t="s">
        <v>221</v>
      </c>
      <c r="M294" s="4" t="s">
        <v>40</v>
      </c>
      <c r="N294" s="4" t="s">
        <v>24</v>
      </c>
      <c r="O294" s="4">
        <v>52</v>
      </c>
      <c r="P294" s="7">
        <v>1530</v>
      </c>
      <c r="Q294" s="8">
        <v>0.08</v>
      </c>
      <c r="R294" s="7">
        <v>910</v>
      </c>
      <c r="S294" s="7">
        <f>Table1_1[[#This Row],[Units Sold]]*Table1_1[[#This Row],[Unit Price]]*(1-Table1_1[[#This Row],[Discount %]])</f>
        <v>73195.199999999997</v>
      </c>
      <c r="T294" s="7">
        <f>Table1_1[[#This Row],[Units Sold]]*Table1_1[[#This Row],[Unit Cost]]</f>
        <v>47320</v>
      </c>
      <c r="U294" s="7">
        <f>Table1_1[[#This Row],[Calculated sales]]-Table1_1[[#This Row],[Total cost]]</f>
        <v>25875.199999999997</v>
      </c>
      <c r="V294" s="4">
        <f>IFERROR(Table1_1[[#This Row],[Profit/Loss]]/Table1_1[[#This Row],[Calculated sales]],0)</f>
        <v>0.35350951974992895</v>
      </c>
    </row>
    <row r="295" spans="1:22" x14ac:dyDescent="0.25">
      <c r="A295" s="4" t="s">
        <v>441</v>
      </c>
      <c r="B295" s="5">
        <v>45458</v>
      </c>
      <c r="C295" s="4">
        <f>YEAR(Table1_1[[#This Row],[Order Dates]])</f>
        <v>2024</v>
      </c>
      <c r="D295" s="6">
        <f>MONTH(Table1_1[[#This Row],[Order Dates]])</f>
        <v>6</v>
      </c>
      <c r="E295" s="4" t="s">
        <v>42</v>
      </c>
      <c r="F295" s="4" t="s">
        <v>146</v>
      </c>
      <c r="G295" s="4" t="s">
        <v>97</v>
      </c>
      <c r="H295" s="4" t="str">
        <f>TRIM(CLEAN(SUBSTITUTE(Table1_1[[#This Row],[Salesperson]],"   "," ")))</f>
        <v>Rohit Malhotra</v>
      </c>
      <c r="I295" s="4" t="s">
        <v>52</v>
      </c>
      <c r="J295" s="4" t="s">
        <v>27</v>
      </c>
      <c r="K295" s="4" t="s">
        <v>214</v>
      </c>
      <c r="L295" s="4" t="s">
        <v>1680</v>
      </c>
      <c r="M295" s="4" t="s">
        <v>49</v>
      </c>
      <c r="N295" s="4" t="s">
        <v>24</v>
      </c>
      <c r="O295" s="4">
        <v>2</v>
      </c>
      <c r="P295" s="7">
        <v>35320</v>
      </c>
      <c r="Q295" s="8">
        <v>0.08</v>
      </c>
      <c r="R295" s="7">
        <v>24320</v>
      </c>
      <c r="S295" s="7">
        <f>Table1_1[[#This Row],[Units Sold]]*Table1_1[[#This Row],[Unit Price]]*(1-Table1_1[[#This Row],[Discount %]])</f>
        <v>64988.800000000003</v>
      </c>
      <c r="T295" s="7">
        <f>Table1_1[[#This Row],[Units Sold]]*Table1_1[[#This Row],[Unit Cost]]</f>
        <v>48640</v>
      </c>
      <c r="U295" s="7">
        <f>Table1_1[[#This Row],[Calculated sales]]-Table1_1[[#This Row],[Total cost]]</f>
        <v>16348.800000000003</v>
      </c>
      <c r="V295" s="4">
        <f>IFERROR(Table1_1[[#This Row],[Profit/Loss]]/Table1_1[[#This Row],[Calculated sales]],0)</f>
        <v>0.25156334629967014</v>
      </c>
    </row>
    <row r="296" spans="1:22" x14ac:dyDescent="0.25">
      <c r="A296" s="4" t="s">
        <v>442</v>
      </c>
      <c r="B296" s="5">
        <v>45458</v>
      </c>
      <c r="C296" s="4">
        <f>YEAR(Table1_1[[#This Row],[Order Dates]])</f>
        <v>2024</v>
      </c>
      <c r="D296" s="6">
        <f>MONTH(Table1_1[[#This Row],[Order Dates]])</f>
        <v>6</v>
      </c>
      <c r="E296" s="4" t="s">
        <v>76</v>
      </c>
      <c r="F296" s="4" t="s">
        <v>77</v>
      </c>
      <c r="G296" s="4" t="s">
        <v>170</v>
      </c>
      <c r="H296" s="4" t="str">
        <f>TRIM(CLEAN(SUBSTITUTE(Table1_1[[#This Row],[Salesperson]],"   "," ")))</f>
        <v>Manish Tiwari</v>
      </c>
      <c r="I296" s="4" t="s">
        <v>45</v>
      </c>
      <c r="J296" s="4" t="s">
        <v>20</v>
      </c>
      <c r="K296" s="4" t="s">
        <v>87</v>
      </c>
      <c r="L296" s="4" t="s">
        <v>1674</v>
      </c>
      <c r="M296" s="4" t="s">
        <v>40</v>
      </c>
      <c r="N296" s="4" t="s">
        <v>24</v>
      </c>
      <c r="O296" s="4">
        <v>4</v>
      </c>
      <c r="P296" s="7">
        <v>52400</v>
      </c>
      <c r="Q296" s="8">
        <v>0</v>
      </c>
      <c r="R296" s="7">
        <v>29640</v>
      </c>
      <c r="S296" s="7">
        <f>Table1_1[[#This Row],[Units Sold]]*Table1_1[[#This Row],[Unit Price]]*(1-Table1_1[[#This Row],[Discount %]])</f>
        <v>209600</v>
      </c>
      <c r="T296" s="7">
        <f>Table1_1[[#This Row],[Units Sold]]*Table1_1[[#This Row],[Unit Cost]]</f>
        <v>118560</v>
      </c>
      <c r="U296" s="7">
        <f>Table1_1[[#This Row],[Calculated sales]]-Table1_1[[#This Row],[Total cost]]</f>
        <v>91040</v>
      </c>
      <c r="V296" s="4">
        <f>IFERROR(Table1_1[[#This Row],[Profit/Loss]]/Table1_1[[#This Row],[Calculated sales]],0)</f>
        <v>0.43435114503816796</v>
      </c>
    </row>
    <row r="297" spans="1:22" x14ac:dyDescent="0.25">
      <c r="A297" s="4" t="s">
        <v>443</v>
      </c>
      <c r="B297" s="5">
        <v>45459</v>
      </c>
      <c r="C297" s="4">
        <f>YEAR(Table1_1[[#This Row],[Order Dates]])</f>
        <v>2024</v>
      </c>
      <c r="D297" s="6">
        <f>MONTH(Table1_1[[#This Row],[Order Dates]])</f>
        <v>6</v>
      </c>
      <c r="E297" s="4" t="s">
        <v>16</v>
      </c>
      <c r="F297" s="4" t="s">
        <v>153</v>
      </c>
      <c r="G297" s="4" t="s">
        <v>26</v>
      </c>
      <c r="H297" s="4" t="str">
        <f>TRIM(CLEAN(SUBSTITUTE(Table1_1[[#This Row],[Salesperson]],"   "," ")))</f>
        <v>Prateek Shah</v>
      </c>
      <c r="I297" s="4" t="s">
        <v>52</v>
      </c>
      <c r="J297" s="4" t="s">
        <v>27</v>
      </c>
      <c r="K297" s="4" t="s">
        <v>53</v>
      </c>
      <c r="L297" s="4" t="s">
        <v>1676</v>
      </c>
      <c r="M297" s="4" t="s">
        <v>49</v>
      </c>
      <c r="N297" s="4" t="s">
        <v>24</v>
      </c>
      <c r="O297" s="4">
        <v>2</v>
      </c>
      <c r="P297" s="7">
        <v>38190</v>
      </c>
      <c r="Q297" s="8">
        <v>0.1</v>
      </c>
      <c r="R297" s="7">
        <v>28700</v>
      </c>
      <c r="S297" s="7">
        <f>Table1_1[[#This Row],[Units Sold]]*Table1_1[[#This Row],[Unit Price]]*(1-Table1_1[[#This Row],[Discount %]])</f>
        <v>68742</v>
      </c>
      <c r="T297" s="7">
        <f>Table1_1[[#This Row],[Units Sold]]*Table1_1[[#This Row],[Unit Cost]]</f>
        <v>57400</v>
      </c>
      <c r="U297" s="7">
        <f>Table1_1[[#This Row],[Calculated sales]]-Table1_1[[#This Row],[Total cost]]</f>
        <v>11342</v>
      </c>
      <c r="V297" s="4">
        <f>IFERROR(Table1_1[[#This Row],[Profit/Loss]]/Table1_1[[#This Row],[Calculated sales]],0)</f>
        <v>0.16499374472665909</v>
      </c>
    </row>
    <row r="298" spans="1:22" x14ac:dyDescent="0.25">
      <c r="A298" s="4" t="s">
        <v>444</v>
      </c>
      <c r="B298" s="5">
        <v>45460</v>
      </c>
      <c r="C298" s="4">
        <f>YEAR(Table1_1[[#This Row],[Order Dates]])</f>
        <v>2024</v>
      </c>
      <c r="D298" s="6">
        <f>MONTH(Table1_1[[#This Row],[Order Dates]])</f>
        <v>6</v>
      </c>
      <c r="E298" s="4" t="s">
        <v>42</v>
      </c>
      <c r="F298" s="4" t="s">
        <v>123</v>
      </c>
      <c r="G298" s="4" t="s">
        <v>97</v>
      </c>
      <c r="H298" s="4" t="str">
        <f>TRIM(CLEAN(SUBSTITUTE(Table1_1[[#This Row],[Salesperson]],"   "," ")))</f>
        <v>Rohit Malhotra</v>
      </c>
      <c r="I298" s="4" t="s">
        <v>92</v>
      </c>
      <c r="J298" s="4" t="s">
        <v>59</v>
      </c>
      <c r="K298" s="4" t="s">
        <v>60</v>
      </c>
      <c r="L298" s="4" t="s">
        <v>61</v>
      </c>
      <c r="M298" s="4" t="s">
        <v>49</v>
      </c>
      <c r="N298" s="4" t="s">
        <v>119</v>
      </c>
      <c r="O298" s="4">
        <v>11</v>
      </c>
      <c r="P298" s="7">
        <v>25660</v>
      </c>
      <c r="Q298" s="8">
        <v>0.18</v>
      </c>
      <c r="R298" s="7">
        <v>14960</v>
      </c>
      <c r="S298" s="7">
        <f>Table1_1[[#This Row],[Units Sold]]*Table1_1[[#This Row],[Unit Price]]*(1-Table1_1[[#This Row],[Discount %]])</f>
        <v>231453.2</v>
      </c>
      <c r="T298" s="7">
        <f>Table1_1[[#This Row],[Units Sold]]*Table1_1[[#This Row],[Unit Cost]]</f>
        <v>164560</v>
      </c>
      <c r="U298" s="7">
        <f>Table1_1[[#This Row],[Calculated sales]]-Table1_1[[#This Row],[Total cost]]</f>
        <v>66893.200000000012</v>
      </c>
      <c r="V298" s="4">
        <f>IFERROR(Table1_1[[#This Row],[Profit/Loss]]/Table1_1[[#This Row],[Calculated sales]],0)</f>
        <v>0.28901393456646962</v>
      </c>
    </row>
    <row r="299" spans="1:22" x14ac:dyDescent="0.25">
      <c r="A299" s="4" t="s">
        <v>445</v>
      </c>
      <c r="B299" s="5">
        <v>45460</v>
      </c>
      <c r="C299" s="4">
        <f>YEAR(Table1_1[[#This Row],[Order Dates]])</f>
        <v>2024</v>
      </c>
      <c r="D299" s="6">
        <f>MONTH(Table1_1[[#This Row],[Order Dates]])</f>
        <v>6</v>
      </c>
      <c r="E299" s="4" t="s">
        <v>16</v>
      </c>
      <c r="F299" s="4" t="s">
        <v>191</v>
      </c>
      <c r="G299" s="4" t="s">
        <v>32</v>
      </c>
      <c r="H299" s="4" t="str">
        <f>TRIM(CLEAN(SUBSTITUTE(Table1_1[[#This Row],[Salesperson]],"   "," ")))</f>
        <v>Neha Deshpande</v>
      </c>
      <c r="I299" s="4" t="s">
        <v>19</v>
      </c>
      <c r="J299" s="4" t="s">
        <v>20</v>
      </c>
      <c r="K299" s="4" t="s">
        <v>21</v>
      </c>
      <c r="L299" s="4" t="s">
        <v>1670</v>
      </c>
      <c r="M299" s="4" t="s">
        <v>23</v>
      </c>
      <c r="N299" s="4" t="s">
        <v>24</v>
      </c>
      <c r="O299" s="4">
        <v>10</v>
      </c>
      <c r="P299" s="7">
        <v>8080</v>
      </c>
      <c r="Q299" s="8">
        <v>0</v>
      </c>
      <c r="R299" s="7">
        <v>5640</v>
      </c>
      <c r="S299" s="7">
        <f>Table1_1[[#This Row],[Units Sold]]*Table1_1[[#This Row],[Unit Price]]*(1-Table1_1[[#This Row],[Discount %]])</f>
        <v>80800</v>
      </c>
      <c r="T299" s="7">
        <f>Table1_1[[#This Row],[Units Sold]]*Table1_1[[#This Row],[Unit Cost]]</f>
        <v>56400</v>
      </c>
      <c r="U299" s="7">
        <f>Table1_1[[#This Row],[Calculated sales]]-Table1_1[[#This Row],[Total cost]]</f>
        <v>24400</v>
      </c>
      <c r="V299" s="4">
        <f>IFERROR(Table1_1[[#This Row],[Profit/Loss]]/Table1_1[[#This Row],[Calculated sales]],0)</f>
        <v>0.30198019801980197</v>
      </c>
    </row>
    <row r="300" spans="1:22" x14ac:dyDescent="0.25">
      <c r="A300" s="4" t="s">
        <v>446</v>
      </c>
      <c r="B300" s="5">
        <v>45461</v>
      </c>
      <c r="C300" s="4">
        <f>YEAR(Table1_1[[#This Row],[Order Dates]])</f>
        <v>2024</v>
      </c>
      <c r="D300" s="6">
        <f>MONTH(Table1_1[[#This Row],[Order Dates]])</f>
        <v>6</v>
      </c>
      <c r="E300" s="4" t="s">
        <v>16</v>
      </c>
      <c r="F300" s="4" t="s">
        <v>153</v>
      </c>
      <c r="G300" s="4" t="s">
        <v>26</v>
      </c>
      <c r="H300" s="4" t="str">
        <f>TRIM(CLEAN(SUBSTITUTE(Table1_1[[#This Row],[Salesperson]],"   "," ")))</f>
        <v>Prateek Shah</v>
      </c>
      <c r="I300" s="4" t="s">
        <v>52</v>
      </c>
      <c r="J300" s="4" t="s">
        <v>59</v>
      </c>
      <c r="K300" s="4" t="s">
        <v>154</v>
      </c>
      <c r="L300" s="4" t="s">
        <v>155</v>
      </c>
      <c r="M300" s="4" t="s">
        <v>23</v>
      </c>
      <c r="N300" s="4" t="s">
        <v>24</v>
      </c>
      <c r="O300" s="4">
        <v>3</v>
      </c>
      <c r="P300" s="7">
        <v>12470</v>
      </c>
      <c r="Q300" s="8">
        <v>0</v>
      </c>
      <c r="R300" s="7">
        <v>8860</v>
      </c>
      <c r="S300" s="7">
        <f>Table1_1[[#This Row],[Units Sold]]*Table1_1[[#This Row],[Unit Price]]*(1-Table1_1[[#This Row],[Discount %]])</f>
        <v>37410</v>
      </c>
      <c r="T300" s="7">
        <f>Table1_1[[#This Row],[Units Sold]]*Table1_1[[#This Row],[Unit Cost]]</f>
        <v>26580</v>
      </c>
      <c r="U300" s="7">
        <f>Table1_1[[#This Row],[Calculated sales]]-Table1_1[[#This Row],[Total cost]]</f>
        <v>10830</v>
      </c>
      <c r="V300" s="4">
        <f>IFERROR(Table1_1[[#This Row],[Profit/Loss]]/Table1_1[[#This Row],[Calculated sales]],0)</f>
        <v>0.28949478748997592</v>
      </c>
    </row>
    <row r="301" spans="1:22" x14ac:dyDescent="0.25">
      <c r="A301" s="4" t="s">
        <v>447</v>
      </c>
      <c r="B301" s="5">
        <v>45461</v>
      </c>
      <c r="C301" s="4">
        <f>YEAR(Table1_1[[#This Row],[Order Dates]])</f>
        <v>2024</v>
      </c>
      <c r="D301" s="6">
        <f>MONTH(Table1_1[[#This Row],[Order Dates]])</f>
        <v>6</v>
      </c>
      <c r="E301" s="4" t="s">
        <v>37</v>
      </c>
      <c r="F301" s="4" t="s">
        <v>38</v>
      </c>
      <c r="G301" s="4" t="s">
        <v>39</v>
      </c>
      <c r="H301" s="4" t="str">
        <f>TRIM(CLEAN(SUBSTITUTE(Table1_1[[#This Row],[Salesperson]],"   "," ")))</f>
        <v>Sourav Das</v>
      </c>
      <c r="I301" s="4" t="s">
        <v>92</v>
      </c>
      <c r="J301" s="4" t="s">
        <v>46</v>
      </c>
      <c r="K301" s="4" t="s">
        <v>47</v>
      </c>
      <c r="L301" s="4" t="s">
        <v>48</v>
      </c>
      <c r="M301" s="4" t="s">
        <v>40</v>
      </c>
      <c r="N301" s="4" t="s">
        <v>24</v>
      </c>
      <c r="O301" s="4">
        <v>81</v>
      </c>
      <c r="P301" s="7">
        <v>1870</v>
      </c>
      <c r="Q301" s="8">
        <v>0.05</v>
      </c>
      <c r="R301" s="7">
        <v>1070</v>
      </c>
      <c r="S301" s="7">
        <f>Table1_1[[#This Row],[Units Sold]]*Table1_1[[#This Row],[Unit Price]]*(1-Table1_1[[#This Row],[Discount %]])</f>
        <v>143896.5</v>
      </c>
      <c r="T301" s="7">
        <f>Table1_1[[#This Row],[Units Sold]]*Table1_1[[#This Row],[Unit Cost]]</f>
        <v>86670</v>
      </c>
      <c r="U301" s="7">
        <f>Table1_1[[#This Row],[Calculated sales]]-Table1_1[[#This Row],[Total cost]]</f>
        <v>57226.5</v>
      </c>
      <c r="V301" s="4">
        <f>IFERROR(Table1_1[[#This Row],[Profit/Loss]]/Table1_1[[#This Row],[Calculated sales]],0)</f>
        <v>0.39769209119054322</v>
      </c>
    </row>
    <row r="302" spans="1:22" x14ac:dyDescent="0.25">
      <c r="A302" s="4" t="s">
        <v>448</v>
      </c>
      <c r="B302" s="5">
        <v>45462</v>
      </c>
      <c r="C302" s="4">
        <f>YEAR(Table1_1[[#This Row],[Order Dates]])</f>
        <v>2024</v>
      </c>
      <c r="D302" s="6">
        <f>MONTH(Table1_1[[#This Row],[Order Dates]])</f>
        <v>6</v>
      </c>
      <c r="E302" s="4" t="s">
        <v>56</v>
      </c>
      <c r="F302" s="4" t="s">
        <v>143</v>
      </c>
      <c r="G302" s="4" t="s">
        <v>91</v>
      </c>
      <c r="H302" s="4" t="str">
        <f>TRIM(CLEAN(SUBSTITUTE(Table1_1[[#This Row],[Salesperson]],"   "," ")))</f>
        <v>Anjali Menon</v>
      </c>
      <c r="I302" s="4" t="s">
        <v>92</v>
      </c>
      <c r="J302" s="4" t="s">
        <v>83</v>
      </c>
      <c r="K302" s="4" t="s">
        <v>136</v>
      </c>
      <c r="L302" s="4" t="s">
        <v>137</v>
      </c>
      <c r="M302" s="4" t="s">
        <v>23</v>
      </c>
      <c r="N302" s="4" t="s">
        <v>24</v>
      </c>
      <c r="O302" s="4">
        <v>16</v>
      </c>
      <c r="P302" s="7">
        <v>1640</v>
      </c>
      <c r="Q302" s="8">
        <v>0.25</v>
      </c>
      <c r="R302" s="7">
        <v>1210</v>
      </c>
      <c r="S302" s="7">
        <f>Table1_1[[#This Row],[Units Sold]]*Table1_1[[#This Row],[Unit Price]]*(1-Table1_1[[#This Row],[Discount %]])</f>
        <v>19680</v>
      </c>
      <c r="T302" s="7">
        <f>Table1_1[[#This Row],[Units Sold]]*Table1_1[[#This Row],[Unit Cost]]</f>
        <v>19360</v>
      </c>
      <c r="U302" s="7">
        <f>Table1_1[[#This Row],[Calculated sales]]-Table1_1[[#This Row],[Total cost]]</f>
        <v>320</v>
      </c>
      <c r="V302" s="4">
        <f>IFERROR(Table1_1[[#This Row],[Profit/Loss]]/Table1_1[[#This Row],[Calculated sales]],0)</f>
        <v>1.6260162601626018E-2</v>
      </c>
    </row>
    <row r="303" spans="1:22" x14ac:dyDescent="0.25">
      <c r="A303" s="4" t="s">
        <v>449</v>
      </c>
      <c r="B303" s="5">
        <v>45464</v>
      </c>
      <c r="C303" s="4">
        <f>YEAR(Table1_1[[#This Row],[Order Dates]])</f>
        <v>2024</v>
      </c>
      <c r="D303" s="6">
        <f>MONTH(Table1_1[[#This Row],[Order Dates]])</f>
        <v>6</v>
      </c>
      <c r="E303" s="4" t="s">
        <v>56</v>
      </c>
      <c r="F303" s="4" t="s">
        <v>127</v>
      </c>
      <c r="G303" s="4" t="s">
        <v>134</v>
      </c>
      <c r="H303" s="4" t="str">
        <f>TRIM(CLEAN(SUBSTITUTE(Table1_1[[#This Row],[Salesperson]],"   "," ")))</f>
        <v>Divya Nair</v>
      </c>
      <c r="I303" s="4" t="s">
        <v>52</v>
      </c>
      <c r="J303" s="4" t="s">
        <v>20</v>
      </c>
      <c r="K303" s="4" t="s">
        <v>87</v>
      </c>
      <c r="L303" s="4" t="s">
        <v>1672</v>
      </c>
      <c r="M303" s="4" t="s">
        <v>49</v>
      </c>
      <c r="N303" s="4" t="s">
        <v>24</v>
      </c>
      <c r="O303" s="4">
        <v>3</v>
      </c>
      <c r="P303" s="7">
        <v>31850</v>
      </c>
      <c r="Q303" s="8">
        <v>0.15</v>
      </c>
      <c r="R303" s="7">
        <v>18780</v>
      </c>
      <c r="S303" s="7">
        <f>Table1_1[[#This Row],[Units Sold]]*Table1_1[[#This Row],[Unit Price]]*(1-Table1_1[[#This Row],[Discount %]])</f>
        <v>81217.5</v>
      </c>
      <c r="T303" s="7">
        <f>Table1_1[[#This Row],[Units Sold]]*Table1_1[[#This Row],[Unit Cost]]</f>
        <v>56340</v>
      </c>
      <c r="U303" s="7">
        <f>Table1_1[[#This Row],[Calculated sales]]-Table1_1[[#This Row],[Total cost]]</f>
        <v>24877.5</v>
      </c>
      <c r="V303" s="4">
        <f>IFERROR(Table1_1[[#This Row],[Profit/Loss]]/Table1_1[[#This Row],[Calculated sales]],0)</f>
        <v>0.30630713823991135</v>
      </c>
    </row>
    <row r="304" spans="1:22" x14ac:dyDescent="0.25">
      <c r="A304" s="4" t="s">
        <v>450</v>
      </c>
      <c r="B304" s="5">
        <v>45465</v>
      </c>
      <c r="C304" s="4">
        <f>YEAR(Table1_1[[#This Row],[Order Dates]])</f>
        <v>2024</v>
      </c>
      <c r="D304" s="6">
        <f>MONTH(Table1_1[[#This Row],[Order Dates]])</f>
        <v>6</v>
      </c>
      <c r="E304" s="4" t="s">
        <v>56</v>
      </c>
      <c r="F304" s="4" t="s">
        <v>57</v>
      </c>
      <c r="G304" s="4" t="s">
        <v>134</v>
      </c>
      <c r="H304" s="4" t="str">
        <f>TRIM(CLEAN(SUBSTITUTE(Table1_1[[#This Row],[Salesperson]],"   "," ")))</f>
        <v>Divya Nair</v>
      </c>
      <c r="I304" s="4" t="s">
        <v>52</v>
      </c>
      <c r="J304" s="4" t="s">
        <v>59</v>
      </c>
      <c r="K304" s="4" t="s">
        <v>69</v>
      </c>
      <c r="L304" s="4" t="s">
        <v>121</v>
      </c>
      <c r="M304" s="4" t="s">
        <v>23</v>
      </c>
      <c r="N304" s="4" t="s">
        <v>94</v>
      </c>
      <c r="O304" s="4">
        <v>11</v>
      </c>
      <c r="P304" s="7">
        <v>3470</v>
      </c>
      <c r="Q304" s="8">
        <v>0.12</v>
      </c>
      <c r="R304" s="7">
        <v>2100</v>
      </c>
      <c r="S304" s="7">
        <f>Table1_1[[#This Row],[Units Sold]]*Table1_1[[#This Row],[Unit Price]]*(1-Table1_1[[#This Row],[Discount %]])</f>
        <v>33589.599999999999</v>
      </c>
      <c r="T304" s="7">
        <f>Table1_1[[#This Row],[Units Sold]]*Table1_1[[#This Row],[Unit Cost]]</f>
        <v>23100</v>
      </c>
      <c r="U304" s="7">
        <f>Table1_1[[#This Row],[Calculated sales]]-Table1_1[[#This Row],[Total cost]]</f>
        <v>10489.599999999999</v>
      </c>
      <c r="V304" s="4">
        <f>IFERROR(Table1_1[[#This Row],[Profit/Loss]]/Table1_1[[#This Row],[Calculated sales]],0)</f>
        <v>0.31228713649462925</v>
      </c>
    </row>
    <row r="305" spans="1:22" x14ac:dyDescent="0.25">
      <c r="A305" s="4" t="s">
        <v>451</v>
      </c>
      <c r="B305" s="5">
        <v>45465</v>
      </c>
      <c r="C305" s="4">
        <f>YEAR(Table1_1[[#This Row],[Order Dates]])</f>
        <v>2024</v>
      </c>
      <c r="D305" s="6">
        <f>MONTH(Table1_1[[#This Row],[Order Dates]])</f>
        <v>6</v>
      </c>
      <c r="E305" s="4" t="s">
        <v>42</v>
      </c>
      <c r="F305" s="4" t="s">
        <v>146</v>
      </c>
      <c r="G305" s="4" t="s">
        <v>64</v>
      </c>
      <c r="H305" s="4" t="str">
        <f>TRIM(CLEAN(SUBSTITUTE(Table1_1[[#This Row],[Salesperson]],"   "," ")))</f>
        <v>Aditya Verma</v>
      </c>
      <c r="I305" s="4" t="s">
        <v>19</v>
      </c>
      <c r="J305" s="4" t="s">
        <v>27</v>
      </c>
      <c r="K305" s="4" t="s">
        <v>79</v>
      </c>
      <c r="L305" s="4" t="s">
        <v>262</v>
      </c>
      <c r="M305" s="4" t="s">
        <v>40</v>
      </c>
      <c r="N305" s="4" t="s">
        <v>24</v>
      </c>
      <c r="O305" s="4">
        <v>34</v>
      </c>
      <c r="P305" s="7">
        <v>2630</v>
      </c>
      <c r="Q305" s="8">
        <v>0.1</v>
      </c>
      <c r="R305" s="7">
        <v>1720</v>
      </c>
      <c r="S305" s="7">
        <f>Table1_1[[#This Row],[Units Sold]]*Table1_1[[#This Row],[Unit Price]]*(1-Table1_1[[#This Row],[Discount %]])</f>
        <v>80478</v>
      </c>
      <c r="T305" s="7">
        <f>Table1_1[[#This Row],[Units Sold]]*Table1_1[[#This Row],[Unit Cost]]</f>
        <v>58480</v>
      </c>
      <c r="U305" s="7">
        <f>Table1_1[[#This Row],[Calculated sales]]-Table1_1[[#This Row],[Total cost]]</f>
        <v>21998</v>
      </c>
      <c r="V305" s="4">
        <f>IFERROR(Table1_1[[#This Row],[Profit/Loss]]/Table1_1[[#This Row],[Calculated sales]],0)</f>
        <v>0.27334178284748628</v>
      </c>
    </row>
    <row r="306" spans="1:22" x14ac:dyDescent="0.25">
      <c r="A306" s="4" t="s">
        <v>452</v>
      </c>
      <c r="B306" s="5">
        <v>45465</v>
      </c>
      <c r="C306" s="4">
        <f>YEAR(Table1_1[[#This Row],[Order Dates]])</f>
        <v>2024</v>
      </c>
      <c r="D306" s="6">
        <f>MONTH(Table1_1[[#This Row],[Order Dates]])</f>
        <v>6</v>
      </c>
      <c r="E306" s="4" t="s">
        <v>37</v>
      </c>
      <c r="F306" s="4" t="s">
        <v>166</v>
      </c>
      <c r="G306" s="4" t="s">
        <v>68</v>
      </c>
      <c r="H306" s="4" t="str">
        <f>TRIM(CLEAN(SUBSTITUTE(Table1_1[[#This Row],[Salesperson]],"   "," ")))</f>
        <v>Ritika Ghosh</v>
      </c>
      <c r="I306" s="4" t="s">
        <v>19</v>
      </c>
      <c r="J306" s="4" t="s">
        <v>20</v>
      </c>
      <c r="K306" s="4" t="s">
        <v>87</v>
      </c>
      <c r="L306" s="4" t="s">
        <v>1674</v>
      </c>
      <c r="M306" s="4" t="s">
        <v>23</v>
      </c>
      <c r="N306" s="4" t="s">
        <v>24</v>
      </c>
      <c r="O306" s="4">
        <v>1</v>
      </c>
      <c r="P306" s="7">
        <v>53190</v>
      </c>
      <c r="Q306" s="8">
        <v>0.2</v>
      </c>
      <c r="R306" s="7">
        <v>34770</v>
      </c>
      <c r="S306" s="7">
        <f>Table1_1[[#This Row],[Units Sold]]*Table1_1[[#This Row],[Unit Price]]*(1-Table1_1[[#This Row],[Discount %]])</f>
        <v>42552</v>
      </c>
      <c r="T306" s="7">
        <f>Table1_1[[#This Row],[Units Sold]]*Table1_1[[#This Row],[Unit Cost]]</f>
        <v>34770</v>
      </c>
      <c r="U306" s="7">
        <f>Table1_1[[#This Row],[Calculated sales]]-Table1_1[[#This Row],[Total cost]]</f>
        <v>7782</v>
      </c>
      <c r="V306" s="4">
        <f>IFERROR(Table1_1[[#This Row],[Profit/Loss]]/Table1_1[[#This Row],[Calculated sales]],0)</f>
        <v>0.18288212069937959</v>
      </c>
    </row>
    <row r="307" spans="1:22" x14ac:dyDescent="0.25">
      <c r="A307" s="4" t="s">
        <v>453</v>
      </c>
      <c r="B307" s="5">
        <v>45465</v>
      </c>
      <c r="C307" s="4">
        <f>YEAR(Table1_1[[#This Row],[Order Dates]])</f>
        <v>2024</v>
      </c>
      <c r="D307" s="6">
        <f>MONTH(Table1_1[[#This Row],[Order Dates]])</f>
        <v>6</v>
      </c>
      <c r="E307" s="4" t="s">
        <v>42</v>
      </c>
      <c r="F307" s="4" t="s">
        <v>265</v>
      </c>
      <c r="G307" s="4" t="s">
        <v>44</v>
      </c>
      <c r="H307" s="4" t="str">
        <f>TRIM(CLEAN(SUBSTITUTE(Table1_1[[#This Row],[Salesperson]],"   "," ")))</f>
        <v>Simran Kaur</v>
      </c>
      <c r="I307" s="4" t="s">
        <v>19</v>
      </c>
      <c r="J307" s="4" t="s">
        <v>46</v>
      </c>
      <c r="K307" s="4" t="s">
        <v>100</v>
      </c>
      <c r="L307" s="4" t="s">
        <v>177</v>
      </c>
      <c r="M307" s="4" t="s">
        <v>23</v>
      </c>
      <c r="N307" s="4" t="s">
        <v>24</v>
      </c>
      <c r="O307" s="4">
        <v>7</v>
      </c>
      <c r="P307" s="7">
        <v>2670</v>
      </c>
      <c r="Q307" s="8">
        <v>0.08</v>
      </c>
      <c r="R307" s="7">
        <v>1560</v>
      </c>
      <c r="S307" s="7">
        <f>Table1_1[[#This Row],[Units Sold]]*Table1_1[[#This Row],[Unit Price]]*(1-Table1_1[[#This Row],[Discount %]])</f>
        <v>17194.8</v>
      </c>
      <c r="T307" s="7">
        <f>Table1_1[[#This Row],[Units Sold]]*Table1_1[[#This Row],[Unit Cost]]</f>
        <v>10920</v>
      </c>
      <c r="U307" s="7">
        <f>Table1_1[[#This Row],[Calculated sales]]-Table1_1[[#This Row],[Total cost]]</f>
        <v>6274.7999999999993</v>
      </c>
      <c r="V307" s="4">
        <f>IFERROR(Table1_1[[#This Row],[Profit/Loss]]/Table1_1[[#This Row],[Calculated sales]],0)</f>
        <v>0.36492427943331701</v>
      </c>
    </row>
    <row r="308" spans="1:22" x14ac:dyDescent="0.25">
      <c r="A308" s="4" t="s">
        <v>454</v>
      </c>
      <c r="B308" s="5">
        <v>45465</v>
      </c>
      <c r="C308" s="4">
        <f>YEAR(Table1_1[[#This Row],[Order Dates]])</f>
        <v>2024</v>
      </c>
      <c r="D308" s="6">
        <f>MONTH(Table1_1[[#This Row],[Order Dates]])</f>
        <v>6</v>
      </c>
      <c r="E308" s="4" t="s">
        <v>42</v>
      </c>
      <c r="F308" s="4" t="s">
        <v>146</v>
      </c>
      <c r="G308" s="4" t="s">
        <v>44</v>
      </c>
      <c r="H308" s="4" t="str">
        <f>TRIM(CLEAN(SUBSTITUTE(Table1_1[[#This Row],[Salesperson]],"   "," ")))</f>
        <v>Simran Kaur</v>
      </c>
      <c r="I308" s="4" t="s">
        <v>92</v>
      </c>
      <c r="J308" s="4" t="s">
        <v>20</v>
      </c>
      <c r="K308" s="4" t="s">
        <v>21</v>
      </c>
      <c r="L308" s="4" t="s">
        <v>1682</v>
      </c>
      <c r="M308" s="4" t="s">
        <v>23</v>
      </c>
      <c r="N308" s="4" t="s">
        <v>24</v>
      </c>
      <c r="O308" s="4">
        <v>5</v>
      </c>
      <c r="P308" s="7">
        <v>8960</v>
      </c>
      <c r="Q308" s="8">
        <v>0.18</v>
      </c>
      <c r="R308" s="7">
        <v>6970</v>
      </c>
      <c r="S308" s="7">
        <f>Table1_1[[#This Row],[Units Sold]]*Table1_1[[#This Row],[Unit Price]]*(1-Table1_1[[#This Row],[Discount %]])</f>
        <v>36736</v>
      </c>
      <c r="T308" s="7">
        <f>Table1_1[[#This Row],[Units Sold]]*Table1_1[[#This Row],[Unit Cost]]</f>
        <v>34850</v>
      </c>
      <c r="U308" s="7">
        <f>Table1_1[[#This Row],[Calculated sales]]-Table1_1[[#This Row],[Total cost]]</f>
        <v>1886</v>
      </c>
      <c r="V308" s="4">
        <f>IFERROR(Table1_1[[#This Row],[Profit/Loss]]/Table1_1[[#This Row],[Calculated sales]],0)</f>
        <v>5.1339285714285712E-2</v>
      </c>
    </row>
    <row r="309" spans="1:22" x14ac:dyDescent="0.25">
      <c r="A309" s="4" t="s">
        <v>455</v>
      </c>
      <c r="B309" s="5">
        <v>45466</v>
      </c>
      <c r="C309" s="4">
        <f>YEAR(Table1_1[[#This Row],[Order Dates]])</f>
        <v>2024</v>
      </c>
      <c r="D309" s="6">
        <f>MONTH(Table1_1[[#This Row],[Order Dates]])</f>
        <v>6</v>
      </c>
      <c r="E309" s="4" t="s">
        <v>37</v>
      </c>
      <c r="F309" s="4" t="s">
        <v>115</v>
      </c>
      <c r="G309" s="4" t="s">
        <v>39</v>
      </c>
      <c r="H309" s="4" t="str">
        <f>TRIM(CLEAN(SUBSTITUTE(Table1_1[[#This Row],[Salesperson]],"   "," ")))</f>
        <v>Sourav Das</v>
      </c>
      <c r="I309" s="4" t="s">
        <v>52</v>
      </c>
      <c r="J309" s="4" t="s">
        <v>46</v>
      </c>
      <c r="K309" s="4" t="s">
        <v>47</v>
      </c>
      <c r="L309" s="4" t="s">
        <v>1673</v>
      </c>
      <c r="M309" s="4" t="s">
        <v>40</v>
      </c>
      <c r="N309" s="4" t="s">
        <v>24</v>
      </c>
      <c r="O309" s="4">
        <v>30</v>
      </c>
      <c r="P309" s="7">
        <v>1210</v>
      </c>
      <c r="Q309" s="8">
        <v>0.1</v>
      </c>
      <c r="R309" s="7">
        <v>740</v>
      </c>
      <c r="S309" s="7">
        <f>Table1_1[[#This Row],[Units Sold]]*Table1_1[[#This Row],[Unit Price]]*(1-Table1_1[[#This Row],[Discount %]])</f>
        <v>32670</v>
      </c>
      <c r="T309" s="7">
        <f>Table1_1[[#This Row],[Units Sold]]*Table1_1[[#This Row],[Unit Cost]]</f>
        <v>22200</v>
      </c>
      <c r="U309" s="7">
        <f>Table1_1[[#This Row],[Calculated sales]]-Table1_1[[#This Row],[Total cost]]</f>
        <v>10470</v>
      </c>
      <c r="V309" s="4">
        <f>IFERROR(Table1_1[[#This Row],[Profit/Loss]]/Table1_1[[#This Row],[Calculated sales]],0)</f>
        <v>0.32047750229568411</v>
      </c>
    </row>
    <row r="310" spans="1:22" x14ac:dyDescent="0.25">
      <c r="A310" s="4" t="s">
        <v>456</v>
      </c>
      <c r="B310" s="5">
        <v>45467</v>
      </c>
      <c r="C310" s="4">
        <f>YEAR(Table1_1[[#This Row],[Order Dates]])</f>
        <v>2024</v>
      </c>
      <c r="D310" s="6">
        <f>MONTH(Table1_1[[#This Row],[Order Dates]])</f>
        <v>6</v>
      </c>
      <c r="E310" s="4" t="s">
        <v>16</v>
      </c>
      <c r="F310" s="4" t="s">
        <v>153</v>
      </c>
      <c r="G310" s="4" t="s">
        <v>26</v>
      </c>
      <c r="H310" s="4" t="str">
        <f>TRIM(CLEAN(SUBSTITUTE(Table1_1[[#This Row],[Salesperson]],"   "," ")))</f>
        <v>Prateek Shah</v>
      </c>
      <c r="I310" s="4" t="s">
        <v>19</v>
      </c>
      <c r="J310" s="4" t="s">
        <v>46</v>
      </c>
      <c r="K310" s="4" t="s">
        <v>47</v>
      </c>
      <c r="L310" s="4" t="s">
        <v>1673</v>
      </c>
      <c r="M310" s="4" t="s">
        <v>40</v>
      </c>
      <c r="N310" s="4" t="s">
        <v>24</v>
      </c>
      <c r="O310" s="4">
        <v>39</v>
      </c>
      <c r="P310" s="7">
        <v>1290</v>
      </c>
      <c r="Q310" s="8">
        <v>0.05</v>
      </c>
      <c r="R310" s="7">
        <v>730</v>
      </c>
      <c r="S310" s="7">
        <f>Table1_1[[#This Row],[Units Sold]]*Table1_1[[#This Row],[Unit Price]]*(1-Table1_1[[#This Row],[Discount %]])</f>
        <v>47794.5</v>
      </c>
      <c r="T310" s="7">
        <f>Table1_1[[#This Row],[Units Sold]]*Table1_1[[#This Row],[Unit Cost]]</f>
        <v>28470</v>
      </c>
      <c r="U310" s="7">
        <f>Table1_1[[#This Row],[Calculated sales]]-Table1_1[[#This Row],[Total cost]]</f>
        <v>19324.5</v>
      </c>
      <c r="V310" s="4">
        <f>IFERROR(Table1_1[[#This Row],[Profit/Loss]]/Table1_1[[#This Row],[Calculated sales]],0)</f>
        <v>0.40432476540187678</v>
      </c>
    </row>
    <row r="311" spans="1:22" x14ac:dyDescent="0.25">
      <c r="A311" s="4" t="s">
        <v>457</v>
      </c>
      <c r="B311" s="5">
        <v>45467</v>
      </c>
      <c r="C311" s="4">
        <f>YEAR(Table1_1[[#This Row],[Order Dates]])</f>
        <v>2024</v>
      </c>
      <c r="D311" s="6">
        <f>MONTH(Table1_1[[#This Row],[Order Dates]])</f>
        <v>6</v>
      </c>
      <c r="E311" s="4" t="s">
        <v>42</v>
      </c>
      <c r="F311" s="4" t="s">
        <v>96</v>
      </c>
      <c r="G311" s="4" t="s">
        <v>44</v>
      </c>
      <c r="H311" s="4" t="str">
        <f>TRIM(CLEAN(SUBSTITUTE(Table1_1[[#This Row],[Salesperson]],"   "," ")))</f>
        <v>Simran Kaur</v>
      </c>
      <c r="I311" s="4" t="s">
        <v>52</v>
      </c>
      <c r="J311" s="4" t="s">
        <v>20</v>
      </c>
      <c r="K311" s="4" t="s">
        <v>109</v>
      </c>
      <c r="L311" s="4" t="s">
        <v>1675</v>
      </c>
      <c r="M311" s="4" t="s">
        <v>49</v>
      </c>
      <c r="N311" s="4" t="s">
        <v>24</v>
      </c>
      <c r="O311" s="4">
        <v>1</v>
      </c>
      <c r="P311" s="7">
        <v>69680</v>
      </c>
      <c r="Q311" s="8">
        <v>0.18</v>
      </c>
      <c r="R311" s="7">
        <v>40690</v>
      </c>
      <c r="S311" s="7">
        <f>Table1_1[[#This Row],[Units Sold]]*Table1_1[[#This Row],[Unit Price]]*(1-Table1_1[[#This Row],[Discount %]])</f>
        <v>57137.600000000006</v>
      </c>
      <c r="T311" s="7">
        <f>Table1_1[[#This Row],[Units Sold]]*Table1_1[[#This Row],[Unit Cost]]</f>
        <v>40690</v>
      </c>
      <c r="U311" s="7">
        <f>Table1_1[[#This Row],[Calculated sales]]-Table1_1[[#This Row],[Total cost]]</f>
        <v>16447.600000000006</v>
      </c>
      <c r="V311" s="4">
        <f>IFERROR(Table1_1[[#This Row],[Profit/Loss]]/Table1_1[[#This Row],[Calculated sales]],0)</f>
        <v>0.28785948307244275</v>
      </c>
    </row>
    <row r="312" spans="1:22" x14ac:dyDescent="0.25">
      <c r="A312" s="4" t="s">
        <v>458</v>
      </c>
      <c r="B312" s="5">
        <v>45468</v>
      </c>
      <c r="C312" s="4">
        <f>YEAR(Table1_1[[#This Row],[Order Dates]])</f>
        <v>2024</v>
      </c>
      <c r="D312" s="6">
        <f>MONTH(Table1_1[[#This Row],[Order Dates]])</f>
        <v>6</v>
      </c>
      <c r="E312" s="4" t="s">
        <v>42</v>
      </c>
      <c r="F312" s="4" t="s">
        <v>265</v>
      </c>
      <c r="G312" s="4" t="s">
        <v>97</v>
      </c>
      <c r="H312" s="4" t="str">
        <f>TRIM(CLEAN(SUBSTITUTE(Table1_1[[#This Row],[Salesperson]],"   "," ")))</f>
        <v>Rohit Malhotra</v>
      </c>
      <c r="I312" s="4" t="s">
        <v>92</v>
      </c>
      <c r="J312" s="4" t="s">
        <v>20</v>
      </c>
      <c r="K312" s="4" t="s">
        <v>109</v>
      </c>
      <c r="L312" s="4" t="s">
        <v>1675</v>
      </c>
      <c r="M312" s="4" t="s">
        <v>23</v>
      </c>
      <c r="N312" s="4" t="s">
        <v>35</v>
      </c>
      <c r="O312" s="4">
        <v>5</v>
      </c>
      <c r="P312" s="7">
        <v>66670</v>
      </c>
      <c r="Q312" s="8">
        <v>0.1</v>
      </c>
      <c r="R312" s="7">
        <v>39720</v>
      </c>
      <c r="S312" s="7">
        <f>Table1_1[[#This Row],[Units Sold]]*Table1_1[[#This Row],[Unit Price]]*(1-Table1_1[[#This Row],[Discount %]])</f>
        <v>300015</v>
      </c>
      <c r="T312" s="7">
        <f>Table1_1[[#This Row],[Units Sold]]*Table1_1[[#This Row],[Unit Cost]]</f>
        <v>198600</v>
      </c>
      <c r="U312" s="7">
        <f>Table1_1[[#This Row],[Calculated sales]]-Table1_1[[#This Row],[Total cost]]</f>
        <v>101415</v>
      </c>
      <c r="V312" s="4">
        <f>IFERROR(Table1_1[[#This Row],[Profit/Loss]]/Table1_1[[#This Row],[Calculated sales]],0)</f>
        <v>0.33803309834508277</v>
      </c>
    </row>
    <row r="313" spans="1:22" x14ac:dyDescent="0.25">
      <c r="A313" s="4" t="s">
        <v>459</v>
      </c>
      <c r="B313" s="5">
        <v>45468</v>
      </c>
      <c r="C313" s="4">
        <f>YEAR(Table1_1[[#This Row],[Order Dates]])</f>
        <v>2024</v>
      </c>
      <c r="D313" s="6">
        <f>MONTH(Table1_1[[#This Row],[Order Dates]])</f>
        <v>6</v>
      </c>
      <c r="E313" s="4" t="s">
        <v>16</v>
      </c>
      <c r="F313" s="4" t="s">
        <v>191</v>
      </c>
      <c r="G313" s="4" t="s">
        <v>32</v>
      </c>
      <c r="H313" s="4" t="str">
        <f>TRIM(CLEAN(SUBSTITUTE(Table1_1[[#This Row],[Salesperson]],"   "," ")))</f>
        <v>Neha Deshpande</v>
      </c>
      <c r="I313" s="4" t="s">
        <v>19</v>
      </c>
      <c r="J313" s="4" t="s">
        <v>20</v>
      </c>
      <c r="K313" s="4" t="s">
        <v>109</v>
      </c>
      <c r="L313" s="4" t="s">
        <v>1675</v>
      </c>
      <c r="M313" s="4" t="s">
        <v>23</v>
      </c>
      <c r="N313" s="4" t="s">
        <v>24</v>
      </c>
      <c r="O313" s="4">
        <v>2</v>
      </c>
      <c r="P313" s="7">
        <v>67940</v>
      </c>
      <c r="Q313" s="8">
        <v>0.05</v>
      </c>
      <c r="R313" s="7">
        <v>43450</v>
      </c>
      <c r="S313" s="7">
        <f>Table1_1[[#This Row],[Units Sold]]*Table1_1[[#This Row],[Unit Price]]*(1-Table1_1[[#This Row],[Discount %]])</f>
        <v>129086</v>
      </c>
      <c r="T313" s="7">
        <f>Table1_1[[#This Row],[Units Sold]]*Table1_1[[#This Row],[Unit Cost]]</f>
        <v>86900</v>
      </c>
      <c r="U313" s="7">
        <f>Table1_1[[#This Row],[Calculated sales]]-Table1_1[[#This Row],[Total cost]]</f>
        <v>42186</v>
      </c>
      <c r="V313" s="4">
        <f>IFERROR(Table1_1[[#This Row],[Profit/Loss]]/Table1_1[[#This Row],[Calculated sales]],0)</f>
        <v>0.32680538555691552</v>
      </c>
    </row>
    <row r="314" spans="1:22" x14ac:dyDescent="0.25">
      <c r="A314" s="4" t="s">
        <v>460</v>
      </c>
      <c r="B314" s="5">
        <v>45469</v>
      </c>
      <c r="C314" s="4">
        <f>YEAR(Table1_1[[#This Row],[Order Dates]])</f>
        <v>2024</v>
      </c>
      <c r="D314" s="6">
        <f>MONTH(Table1_1[[#This Row],[Order Dates]])</f>
        <v>6</v>
      </c>
      <c r="E314" s="4" t="s">
        <v>42</v>
      </c>
      <c r="F314" s="4" t="s">
        <v>130</v>
      </c>
      <c r="G314" s="4" t="s">
        <v>44</v>
      </c>
      <c r="H314" s="4" t="str">
        <f>TRIM(CLEAN(SUBSTITUTE(Table1_1[[#This Row],[Salesperson]],"   "," ")))</f>
        <v>Simran Kaur</v>
      </c>
      <c r="I314" s="4" t="s">
        <v>19</v>
      </c>
      <c r="J314" s="4" t="s">
        <v>27</v>
      </c>
      <c r="K314" s="4" t="s">
        <v>53</v>
      </c>
      <c r="L314" s="4" t="s">
        <v>1669</v>
      </c>
      <c r="M314" s="4" t="s">
        <v>40</v>
      </c>
      <c r="N314" s="4" t="s">
        <v>24</v>
      </c>
      <c r="O314" s="4">
        <v>2</v>
      </c>
      <c r="P314" s="7">
        <v>44630</v>
      </c>
      <c r="Q314" s="8">
        <v>0.2</v>
      </c>
      <c r="R314" s="7">
        <v>27520</v>
      </c>
      <c r="S314" s="7">
        <f>Table1_1[[#This Row],[Units Sold]]*Table1_1[[#This Row],[Unit Price]]*(1-Table1_1[[#This Row],[Discount %]])</f>
        <v>71408</v>
      </c>
      <c r="T314" s="7">
        <f>Table1_1[[#This Row],[Units Sold]]*Table1_1[[#This Row],[Unit Cost]]</f>
        <v>55040</v>
      </c>
      <c r="U314" s="7">
        <f>Table1_1[[#This Row],[Calculated sales]]-Table1_1[[#This Row],[Total cost]]</f>
        <v>16368</v>
      </c>
      <c r="V314" s="4">
        <f>IFERROR(Table1_1[[#This Row],[Profit/Loss]]/Table1_1[[#This Row],[Calculated sales]],0)</f>
        <v>0.22921801478825901</v>
      </c>
    </row>
    <row r="315" spans="1:22" x14ac:dyDescent="0.25">
      <c r="A315" s="4" t="s">
        <v>461</v>
      </c>
      <c r="B315" s="5">
        <v>45469</v>
      </c>
      <c r="C315" s="4">
        <f>YEAR(Table1_1[[#This Row],[Order Dates]])</f>
        <v>2024</v>
      </c>
      <c r="D315" s="6">
        <f>MONTH(Table1_1[[#This Row],[Order Dates]])</f>
        <v>6</v>
      </c>
      <c r="E315" s="4" t="s">
        <v>42</v>
      </c>
      <c r="F315" s="4" t="s">
        <v>43</v>
      </c>
      <c r="G315" s="4" t="s">
        <v>64</v>
      </c>
      <c r="H315" s="4" t="str">
        <f>TRIM(CLEAN(SUBSTITUTE(Table1_1[[#This Row],[Salesperson]],"   "," ")))</f>
        <v>Aditya Verma</v>
      </c>
      <c r="I315" s="4" t="s">
        <v>19</v>
      </c>
      <c r="J315" s="4" t="s">
        <v>46</v>
      </c>
      <c r="K315" s="4" t="s">
        <v>100</v>
      </c>
      <c r="L315" s="4" t="s">
        <v>101</v>
      </c>
      <c r="M315" s="4" t="s">
        <v>23</v>
      </c>
      <c r="N315" s="4" t="s">
        <v>24</v>
      </c>
      <c r="O315" s="4">
        <v>24</v>
      </c>
      <c r="P315" s="7">
        <v>1820</v>
      </c>
      <c r="Q315" s="8">
        <v>0.08</v>
      </c>
      <c r="R315" s="7">
        <v>1250</v>
      </c>
      <c r="S315" s="7">
        <f>Table1_1[[#This Row],[Units Sold]]*Table1_1[[#This Row],[Unit Price]]*(1-Table1_1[[#This Row],[Discount %]])</f>
        <v>40185.599999999999</v>
      </c>
      <c r="T315" s="7">
        <f>Table1_1[[#This Row],[Units Sold]]*Table1_1[[#This Row],[Unit Cost]]</f>
        <v>30000</v>
      </c>
      <c r="U315" s="7">
        <f>Table1_1[[#This Row],[Calculated sales]]-Table1_1[[#This Row],[Total cost]]</f>
        <v>10185.599999999999</v>
      </c>
      <c r="V315" s="4">
        <f>IFERROR(Table1_1[[#This Row],[Profit/Loss]]/Table1_1[[#This Row],[Calculated sales]],0)</f>
        <v>0.25346392737697082</v>
      </c>
    </row>
    <row r="316" spans="1:22" x14ac:dyDescent="0.25">
      <c r="A316" s="4" t="s">
        <v>462</v>
      </c>
      <c r="B316" s="5">
        <v>45469</v>
      </c>
      <c r="C316" s="4">
        <f>YEAR(Table1_1[[#This Row],[Order Dates]])</f>
        <v>2024</v>
      </c>
      <c r="D316" s="6">
        <f>MONTH(Table1_1[[#This Row],[Order Dates]])</f>
        <v>6</v>
      </c>
      <c r="E316" s="4" t="s">
        <v>42</v>
      </c>
      <c r="F316" s="4" t="s">
        <v>130</v>
      </c>
      <c r="G316" s="4" t="s">
        <v>97</v>
      </c>
      <c r="H316" s="4" t="str">
        <f>TRIM(CLEAN(SUBSTITUTE(Table1_1[[#This Row],[Salesperson]],"   "," ")))</f>
        <v>Rohit Malhotra</v>
      </c>
      <c r="I316" s="4" t="s">
        <v>19</v>
      </c>
      <c r="J316" s="4" t="s">
        <v>27</v>
      </c>
      <c r="K316" s="4" t="s">
        <v>28</v>
      </c>
      <c r="L316" s="4" t="s">
        <v>1668</v>
      </c>
      <c r="M316" s="4" t="s">
        <v>23</v>
      </c>
      <c r="N316" s="4" t="s">
        <v>24</v>
      </c>
      <c r="O316" s="4">
        <v>2</v>
      </c>
      <c r="P316" s="7">
        <v>27660</v>
      </c>
      <c r="Q316" s="8">
        <v>0.2</v>
      </c>
      <c r="R316" s="7">
        <v>17280</v>
      </c>
      <c r="S316" s="7">
        <f>Table1_1[[#This Row],[Units Sold]]*Table1_1[[#This Row],[Unit Price]]*(1-Table1_1[[#This Row],[Discount %]])</f>
        <v>44256</v>
      </c>
      <c r="T316" s="7">
        <f>Table1_1[[#This Row],[Units Sold]]*Table1_1[[#This Row],[Unit Cost]]</f>
        <v>34560</v>
      </c>
      <c r="U316" s="7">
        <f>Table1_1[[#This Row],[Calculated sales]]-Table1_1[[#This Row],[Total cost]]</f>
        <v>9696</v>
      </c>
      <c r="V316" s="4">
        <f>IFERROR(Table1_1[[#This Row],[Profit/Loss]]/Table1_1[[#This Row],[Calculated sales]],0)</f>
        <v>0.21908893709327548</v>
      </c>
    </row>
    <row r="317" spans="1:22" x14ac:dyDescent="0.25">
      <c r="A317" s="4" t="s">
        <v>463</v>
      </c>
      <c r="B317" s="5">
        <v>45470</v>
      </c>
      <c r="C317" s="4">
        <f>YEAR(Table1_1[[#This Row],[Order Dates]])</f>
        <v>2024</v>
      </c>
      <c r="D317" s="6">
        <f>MONTH(Table1_1[[#This Row],[Order Dates]])</f>
        <v>6</v>
      </c>
      <c r="E317" s="4" t="s">
        <v>37</v>
      </c>
      <c r="F317" s="4" t="s">
        <v>38</v>
      </c>
      <c r="G317" s="4" t="s">
        <v>39</v>
      </c>
      <c r="H317" s="4" t="str">
        <f>TRIM(CLEAN(SUBSTITUTE(Table1_1[[#This Row],[Salesperson]],"   "," ")))</f>
        <v>Sourav Das</v>
      </c>
      <c r="I317" s="4" t="s">
        <v>19</v>
      </c>
      <c r="J317" s="4" t="s">
        <v>83</v>
      </c>
      <c r="K317" s="4" t="s">
        <v>184</v>
      </c>
      <c r="L317" s="4" t="s">
        <v>1679</v>
      </c>
      <c r="M317" s="4" t="s">
        <v>40</v>
      </c>
      <c r="N317" s="4" t="s">
        <v>94</v>
      </c>
      <c r="O317" s="4">
        <v>4</v>
      </c>
      <c r="P317" s="7">
        <v>4720</v>
      </c>
      <c r="Q317" s="8">
        <v>0.05</v>
      </c>
      <c r="R317" s="7">
        <v>3150</v>
      </c>
      <c r="S317" s="7">
        <f>Table1_1[[#This Row],[Units Sold]]*Table1_1[[#This Row],[Unit Price]]*(1-Table1_1[[#This Row],[Discount %]])</f>
        <v>17936</v>
      </c>
      <c r="T317" s="7">
        <f>Table1_1[[#This Row],[Units Sold]]*Table1_1[[#This Row],[Unit Cost]]</f>
        <v>12600</v>
      </c>
      <c r="U317" s="7">
        <f>Table1_1[[#This Row],[Calculated sales]]-Table1_1[[#This Row],[Total cost]]</f>
        <v>5336</v>
      </c>
      <c r="V317" s="4">
        <f>IFERROR(Table1_1[[#This Row],[Profit/Loss]]/Table1_1[[#This Row],[Calculated sales]],0)</f>
        <v>0.29750223015165034</v>
      </c>
    </row>
    <row r="318" spans="1:22" x14ac:dyDescent="0.25">
      <c r="A318" s="4" t="s">
        <v>464</v>
      </c>
      <c r="B318" s="5">
        <v>45471</v>
      </c>
      <c r="C318" s="4">
        <f>YEAR(Table1_1[[#This Row],[Order Dates]])</f>
        <v>2024</v>
      </c>
      <c r="D318" s="6">
        <f>MONTH(Table1_1[[#This Row],[Order Dates]])</f>
        <v>6</v>
      </c>
      <c r="E318" s="4" t="s">
        <v>16</v>
      </c>
      <c r="F318" s="4" t="s">
        <v>82</v>
      </c>
      <c r="G318" s="4" t="s">
        <v>32</v>
      </c>
      <c r="H318" s="4" t="str">
        <f>TRIM(CLEAN(SUBSTITUTE(Table1_1[[#This Row],[Salesperson]],"   "," ")))</f>
        <v>Neha Deshpande</v>
      </c>
      <c r="I318" s="4" t="s">
        <v>92</v>
      </c>
      <c r="J318" s="4" t="s">
        <v>27</v>
      </c>
      <c r="K318" s="4" t="s">
        <v>79</v>
      </c>
      <c r="L318" s="4" t="s">
        <v>168</v>
      </c>
      <c r="M318" s="4" t="s">
        <v>40</v>
      </c>
      <c r="N318" s="4" t="s">
        <v>24</v>
      </c>
      <c r="O318" s="4">
        <v>10</v>
      </c>
      <c r="P318" s="7">
        <v>9840</v>
      </c>
      <c r="Q318" s="8">
        <v>0</v>
      </c>
      <c r="R318" s="7">
        <v>6900</v>
      </c>
      <c r="S318" s="7">
        <f>Table1_1[[#This Row],[Units Sold]]*Table1_1[[#This Row],[Unit Price]]*(1-Table1_1[[#This Row],[Discount %]])</f>
        <v>98400</v>
      </c>
      <c r="T318" s="7">
        <f>Table1_1[[#This Row],[Units Sold]]*Table1_1[[#This Row],[Unit Cost]]</f>
        <v>69000</v>
      </c>
      <c r="U318" s="7">
        <f>Table1_1[[#This Row],[Calculated sales]]-Table1_1[[#This Row],[Total cost]]</f>
        <v>29400</v>
      </c>
      <c r="V318" s="4">
        <f>IFERROR(Table1_1[[#This Row],[Profit/Loss]]/Table1_1[[#This Row],[Calculated sales]],0)</f>
        <v>0.29878048780487804</v>
      </c>
    </row>
    <row r="319" spans="1:22" x14ac:dyDescent="0.25">
      <c r="A319" s="4" t="s">
        <v>465</v>
      </c>
      <c r="B319" s="5">
        <v>45471</v>
      </c>
      <c r="C319" s="4">
        <f>YEAR(Table1_1[[#This Row],[Order Dates]])</f>
        <v>2024</v>
      </c>
      <c r="D319" s="6">
        <f>MONTH(Table1_1[[#This Row],[Order Dates]])</f>
        <v>6</v>
      </c>
      <c r="E319" s="4" t="s">
        <v>76</v>
      </c>
      <c r="F319" s="4" t="s">
        <v>217</v>
      </c>
      <c r="G319" s="4" t="s">
        <v>170</v>
      </c>
      <c r="H319" s="4" t="str">
        <f>TRIM(CLEAN(SUBSTITUTE(Table1_1[[#This Row],[Salesperson]],"   "," ")))</f>
        <v>Manish Tiwari</v>
      </c>
      <c r="I319" s="4" t="s">
        <v>19</v>
      </c>
      <c r="J319" s="4" t="s">
        <v>20</v>
      </c>
      <c r="K319" s="4" t="s">
        <v>21</v>
      </c>
      <c r="L319" s="4" t="s">
        <v>1682</v>
      </c>
      <c r="M319" s="4" t="s">
        <v>49</v>
      </c>
      <c r="N319" s="4" t="s">
        <v>24</v>
      </c>
      <c r="O319" s="4">
        <v>5</v>
      </c>
      <c r="P319" s="7">
        <v>9710</v>
      </c>
      <c r="Q319" s="8">
        <v>0</v>
      </c>
      <c r="R319" s="7">
        <v>6780</v>
      </c>
      <c r="S319" s="7">
        <f>Table1_1[[#This Row],[Units Sold]]*Table1_1[[#This Row],[Unit Price]]*(1-Table1_1[[#This Row],[Discount %]])</f>
        <v>48550</v>
      </c>
      <c r="T319" s="7">
        <f>Table1_1[[#This Row],[Units Sold]]*Table1_1[[#This Row],[Unit Cost]]</f>
        <v>33900</v>
      </c>
      <c r="U319" s="7">
        <f>Table1_1[[#This Row],[Calculated sales]]-Table1_1[[#This Row],[Total cost]]</f>
        <v>14650</v>
      </c>
      <c r="V319" s="4">
        <f>IFERROR(Table1_1[[#This Row],[Profit/Loss]]/Table1_1[[#This Row],[Calculated sales]],0)</f>
        <v>0.30175077239958803</v>
      </c>
    </row>
    <row r="320" spans="1:22" x14ac:dyDescent="0.25">
      <c r="A320" s="4" t="s">
        <v>466</v>
      </c>
      <c r="B320" s="5">
        <v>45472</v>
      </c>
      <c r="C320" s="4">
        <f>YEAR(Table1_1[[#This Row],[Order Dates]])</f>
        <v>2024</v>
      </c>
      <c r="D320" s="6">
        <f>MONTH(Table1_1[[#This Row],[Order Dates]])</f>
        <v>6</v>
      </c>
      <c r="E320" s="4" t="s">
        <v>76</v>
      </c>
      <c r="F320" s="4" t="s">
        <v>99</v>
      </c>
      <c r="G320" s="4" t="s">
        <v>78</v>
      </c>
      <c r="H320" s="4" t="str">
        <f>TRIM(CLEAN(SUBSTITUTE(Table1_1[[#This Row],[Salesperson]],"   "," ")))</f>
        <v>Pooja Chouhan</v>
      </c>
      <c r="I320" s="4" t="s">
        <v>92</v>
      </c>
      <c r="J320" s="4" t="s">
        <v>20</v>
      </c>
      <c r="K320" s="4" t="s">
        <v>87</v>
      </c>
      <c r="L320" s="4" t="s">
        <v>1672</v>
      </c>
      <c r="M320" s="4" t="s">
        <v>40</v>
      </c>
      <c r="N320" s="4" t="s">
        <v>24</v>
      </c>
      <c r="O320" s="4">
        <v>5</v>
      </c>
      <c r="P320" s="7">
        <v>32340</v>
      </c>
      <c r="Q320" s="8">
        <v>0.1</v>
      </c>
      <c r="R320" s="7">
        <v>20720</v>
      </c>
      <c r="S320" s="7">
        <f>Table1_1[[#This Row],[Units Sold]]*Table1_1[[#This Row],[Unit Price]]*(1-Table1_1[[#This Row],[Discount %]])</f>
        <v>145530</v>
      </c>
      <c r="T320" s="7">
        <f>Table1_1[[#This Row],[Units Sold]]*Table1_1[[#This Row],[Unit Cost]]</f>
        <v>103600</v>
      </c>
      <c r="U320" s="7">
        <f>Table1_1[[#This Row],[Calculated sales]]-Table1_1[[#This Row],[Total cost]]</f>
        <v>41930</v>
      </c>
      <c r="V320" s="4">
        <f>IFERROR(Table1_1[[#This Row],[Profit/Loss]]/Table1_1[[#This Row],[Calculated sales]],0)</f>
        <v>0.28811928811928811</v>
      </c>
    </row>
    <row r="321" spans="1:22" x14ac:dyDescent="0.25">
      <c r="A321" s="4" t="s">
        <v>467</v>
      </c>
      <c r="B321" s="5">
        <v>45472</v>
      </c>
      <c r="C321" s="4">
        <f>YEAR(Table1_1[[#This Row],[Order Dates]])</f>
        <v>2024</v>
      </c>
      <c r="D321" s="6">
        <f>MONTH(Table1_1[[#This Row],[Order Dates]])</f>
        <v>6</v>
      </c>
      <c r="E321" s="4" t="s">
        <v>42</v>
      </c>
      <c r="F321" s="4" t="s">
        <v>146</v>
      </c>
      <c r="G321" s="4" t="s">
        <v>44</v>
      </c>
      <c r="H321" s="4" t="str">
        <f>TRIM(CLEAN(SUBSTITUTE(Table1_1[[#This Row],[Salesperson]],"   "," ")))</f>
        <v>Simran Kaur</v>
      </c>
      <c r="I321" s="4" t="s">
        <v>19</v>
      </c>
      <c r="J321" s="4" t="s">
        <v>27</v>
      </c>
      <c r="K321" s="4" t="s">
        <v>214</v>
      </c>
      <c r="L321" s="4" t="s">
        <v>1681</v>
      </c>
      <c r="M321" s="4" t="s">
        <v>49</v>
      </c>
      <c r="N321" s="4" t="s">
        <v>24</v>
      </c>
      <c r="O321" s="4">
        <v>2</v>
      </c>
      <c r="P321" s="7">
        <v>14110</v>
      </c>
      <c r="Q321" s="8">
        <v>0.08</v>
      </c>
      <c r="R321" s="7">
        <v>10180</v>
      </c>
      <c r="S321" s="7">
        <f>Table1_1[[#This Row],[Units Sold]]*Table1_1[[#This Row],[Unit Price]]*(1-Table1_1[[#This Row],[Discount %]])</f>
        <v>25962.400000000001</v>
      </c>
      <c r="T321" s="7">
        <f>Table1_1[[#This Row],[Units Sold]]*Table1_1[[#This Row],[Unit Cost]]</f>
        <v>20360</v>
      </c>
      <c r="U321" s="7">
        <f>Table1_1[[#This Row],[Calculated sales]]-Table1_1[[#This Row],[Total cost]]</f>
        <v>5602.4000000000015</v>
      </c>
      <c r="V321" s="4">
        <f>IFERROR(Table1_1[[#This Row],[Profit/Loss]]/Table1_1[[#This Row],[Calculated sales]],0)</f>
        <v>0.21578898715064868</v>
      </c>
    </row>
    <row r="322" spans="1:22" x14ac:dyDescent="0.25">
      <c r="A322" s="4" t="s">
        <v>468</v>
      </c>
      <c r="B322" s="5">
        <v>45474</v>
      </c>
      <c r="C322" s="4">
        <f>YEAR(Table1_1[[#This Row],[Order Dates]])</f>
        <v>2024</v>
      </c>
      <c r="D322" s="6">
        <f>MONTH(Table1_1[[#This Row],[Order Dates]])</f>
        <v>7</v>
      </c>
      <c r="E322" s="4" t="s">
        <v>37</v>
      </c>
      <c r="F322" s="4" t="s">
        <v>161</v>
      </c>
      <c r="G322" s="4" t="s">
        <v>68</v>
      </c>
      <c r="H322" s="4" t="str">
        <f>TRIM(CLEAN(SUBSTITUTE(Table1_1[[#This Row],[Salesperson]],"   "," ")))</f>
        <v>Ritika Ghosh</v>
      </c>
      <c r="I322" s="4" t="s">
        <v>19</v>
      </c>
      <c r="J322" s="4" t="s">
        <v>27</v>
      </c>
      <c r="K322" s="4" t="s">
        <v>53</v>
      </c>
      <c r="L322" s="4" t="s">
        <v>1669</v>
      </c>
      <c r="M322" s="4" t="s">
        <v>23</v>
      </c>
      <c r="N322" s="4" t="s">
        <v>24</v>
      </c>
      <c r="O322" s="4">
        <v>4</v>
      </c>
      <c r="P322" s="7">
        <v>41560</v>
      </c>
      <c r="Q322" s="8">
        <v>0.1</v>
      </c>
      <c r="R322" s="7">
        <v>29970</v>
      </c>
      <c r="S322" s="7">
        <f>Table1_1[[#This Row],[Units Sold]]*Table1_1[[#This Row],[Unit Price]]*(1-Table1_1[[#This Row],[Discount %]])</f>
        <v>149616</v>
      </c>
      <c r="T322" s="7">
        <f>Table1_1[[#This Row],[Units Sold]]*Table1_1[[#This Row],[Unit Cost]]</f>
        <v>119880</v>
      </c>
      <c r="U322" s="7">
        <f>Table1_1[[#This Row],[Calculated sales]]-Table1_1[[#This Row],[Total cost]]</f>
        <v>29736</v>
      </c>
      <c r="V322" s="4">
        <f>IFERROR(Table1_1[[#This Row],[Profit/Loss]]/Table1_1[[#This Row],[Calculated sales]],0)</f>
        <v>0.19874879692011549</v>
      </c>
    </row>
    <row r="323" spans="1:22" x14ac:dyDescent="0.25">
      <c r="A323" s="4" t="s">
        <v>469</v>
      </c>
      <c r="B323" s="5">
        <v>45474</v>
      </c>
      <c r="C323" s="4">
        <f>YEAR(Table1_1[[#This Row],[Order Dates]])</f>
        <v>2024</v>
      </c>
      <c r="D323" s="6">
        <f>MONTH(Table1_1[[#This Row],[Order Dates]])</f>
        <v>7</v>
      </c>
      <c r="E323" s="4" t="s">
        <v>76</v>
      </c>
      <c r="F323" s="4" t="s">
        <v>125</v>
      </c>
      <c r="G323" s="4" t="s">
        <v>170</v>
      </c>
      <c r="H323" s="4" t="str">
        <f>TRIM(CLEAN(SUBSTITUTE(Table1_1[[#This Row],[Salesperson]],"   "," ")))</f>
        <v>Manish Tiwari</v>
      </c>
      <c r="I323" s="4" t="s">
        <v>92</v>
      </c>
      <c r="J323" s="4" t="s">
        <v>20</v>
      </c>
      <c r="K323" s="4" t="s">
        <v>87</v>
      </c>
      <c r="L323" s="4" t="s">
        <v>1674</v>
      </c>
      <c r="M323" s="4" t="s">
        <v>40</v>
      </c>
      <c r="N323" s="4" t="s">
        <v>24</v>
      </c>
      <c r="O323" s="4">
        <v>5</v>
      </c>
      <c r="P323" s="7">
        <v>49610</v>
      </c>
      <c r="Q323" s="8">
        <v>0.05</v>
      </c>
      <c r="R323" s="7">
        <v>33490</v>
      </c>
      <c r="S323" s="7">
        <f>Table1_1[[#This Row],[Units Sold]]*Table1_1[[#This Row],[Unit Price]]*(1-Table1_1[[#This Row],[Discount %]])</f>
        <v>235647.5</v>
      </c>
      <c r="T323" s="7">
        <f>Table1_1[[#This Row],[Units Sold]]*Table1_1[[#This Row],[Unit Cost]]</f>
        <v>167450</v>
      </c>
      <c r="U323" s="7">
        <f>Table1_1[[#This Row],[Calculated sales]]-Table1_1[[#This Row],[Total cost]]</f>
        <v>68197.5</v>
      </c>
      <c r="V323" s="4">
        <f>IFERROR(Table1_1[[#This Row],[Profit/Loss]]/Table1_1[[#This Row],[Calculated sales]],0)</f>
        <v>0.28940472527822275</v>
      </c>
    </row>
    <row r="324" spans="1:22" x14ac:dyDescent="0.25">
      <c r="A324" s="4" t="s">
        <v>470</v>
      </c>
      <c r="B324" s="5">
        <v>45475</v>
      </c>
      <c r="C324" s="4">
        <f>YEAR(Table1_1[[#This Row],[Order Dates]])</f>
        <v>2024</v>
      </c>
      <c r="D324" s="6">
        <f>MONTH(Table1_1[[#This Row],[Order Dates]])</f>
        <v>7</v>
      </c>
      <c r="E324" s="4" t="s">
        <v>76</v>
      </c>
      <c r="F324" s="4" t="s">
        <v>77</v>
      </c>
      <c r="G324" s="4" t="s">
        <v>170</v>
      </c>
      <c r="H324" s="4" t="str">
        <f>TRIM(CLEAN(SUBSTITUTE(Table1_1[[#This Row],[Salesperson]],"   "," ")))</f>
        <v>Manish Tiwari</v>
      </c>
      <c r="I324" s="4" t="s">
        <v>92</v>
      </c>
      <c r="J324" s="4" t="s">
        <v>83</v>
      </c>
      <c r="K324" s="4" t="s">
        <v>184</v>
      </c>
      <c r="L324" s="4" t="s">
        <v>1679</v>
      </c>
      <c r="M324" s="4" t="s">
        <v>49</v>
      </c>
      <c r="N324" s="4" t="s">
        <v>24</v>
      </c>
      <c r="O324" s="4">
        <v>19</v>
      </c>
      <c r="P324" s="7">
        <v>4570</v>
      </c>
      <c r="Q324" s="8">
        <v>0.08</v>
      </c>
      <c r="R324" s="7">
        <v>2640</v>
      </c>
      <c r="S324" s="7">
        <f>Table1_1[[#This Row],[Units Sold]]*Table1_1[[#This Row],[Unit Price]]*(1-Table1_1[[#This Row],[Discount %]])</f>
        <v>79883.600000000006</v>
      </c>
      <c r="T324" s="7">
        <f>Table1_1[[#This Row],[Units Sold]]*Table1_1[[#This Row],[Unit Cost]]</f>
        <v>50160</v>
      </c>
      <c r="U324" s="7">
        <f>Table1_1[[#This Row],[Calculated sales]]-Table1_1[[#This Row],[Total cost]]</f>
        <v>29723.600000000006</v>
      </c>
      <c r="V324" s="4">
        <f>IFERROR(Table1_1[[#This Row],[Profit/Loss]]/Table1_1[[#This Row],[Calculated sales]],0)</f>
        <v>0.37208638569118069</v>
      </c>
    </row>
    <row r="325" spans="1:22" x14ac:dyDescent="0.25">
      <c r="A325" s="4" t="s">
        <v>471</v>
      </c>
      <c r="B325" s="5">
        <v>45476</v>
      </c>
      <c r="C325" s="4">
        <f>YEAR(Table1_1[[#This Row],[Order Dates]])</f>
        <v>2024</v>
      </c>
      <c r="D325" s="6">
        <f>MONTH(Table1_1[[#This Row],[Order Dates]])</f>
        <v>7</v>
      </c>
      <c r="E325" s="4" t="s">
        <v>76</v>
      </c>
      <c r="F325" s="4" t="s">
        <v>112</v>
      </c>
      <c r="G325" s="4" t="s">
        <v>170</v>
      </c>
      <c r="H325" s="4" t="str">
        <f>TRIM(CLEAN(SUBSTITUTE(Table1_1[[#This Row],[Salesperson]],"   "," ")))</f>
        <v>Manish Tiwari</v>
      </c>
      <c r="I325" s="4" t="s">
        <v>19</v>
      </c>
      <c r="J325" s="4" t="s">
        <v>27</v>
      </c>
      <c r="K325" s="4" t="s">
        <v>214</v>
      </c>
      <c r="L325" s="4" t="s">
        <v>1680</v>
      </c>
      <c r="M325" s="4" t="s">
        <v>49</v>
      </c>
      <c r="N325" s="4" t="s">
        <v>24</v>
      </c>
      <c r="O325" s="4">
        <v>1</v>
      </c>
      <c r="P325" s="7">
        <v>33920</v>
      </c>
      <c r="Q325" s="8">
        <v>0</v>
      </c>
      <c r="R325" s="7">
        <v>24340</v>
      </c>
      <c r="S325" s="7">
        <f>Table1_1[[#This Row],[Units Sold]]*Table1_1[[#This Row],[Unit Price]]*(1-Table1_1[[#This Row],[Discount %]])</f>
        <v>33920</v>
      </c>
      <c r="T325" s="7">
        <f>Table1_1[[#This Row],[Units Sold]]*Table1_1[[#This Row],[Unit Cost]]</f>
        <v>24340</v>
      </c>
      <c r="U325" s="7">
        <f>Table1_1[[#This Row],[Calculated sales]]-Table1_1[[#This Row],[Total cost]]</f>
        <v>9580</v>
      </c>
      <c r="V325" s="4">
        <f>IFERROR(Table1_1[[#This Row],[Profit/Loss]]/Table1_1[[#This Row],[Calculated sales]],0)</f>
        <v>0.28242924528301888</v>
      </c>
    </row>
    <row r="326" spans="1:22" x14ac:dyDescent="0.25">
      <c r="A326" s="4" t="s">
        <v>472</v>
      </c>
      <c r="B326" s="5">
        <v>45476</v>
      </c>
      <c r="C326" s="4">
        <f>YEAR(Table1_1[[#This Row],[Order Dates]])</f>
        <v>2024</v>
      </c>
      <c r="D326" s="6">
        <f>MONTH(Table1_1[[#This Row],[Order Dates]])</f>
        <v>7</v>
      </c>
      <c r="E326" s="4" t="s">
        <v>56</v>
      </c>
      <c r="F326" s="4" t="s">
        <v>103</v>
      </c>
      <c r="G326" s="4" t="s">
        <v>134</v>
      </c>
      <c r="H326" s="4" t="str">
        <f>TRIM(CLEAN(SUBSTITUTE(Table1_1[[#This Row],[Salesperson]],"   "," ")))</f>
        <v>Divya Nair</v>
      </c>
      <c r="I326" s="4" t="s">
        <v>19</v>
      </c>
      <c r="J326" s="4" t="s">
        <v>20</v>
      </c>
      <c r="K326" s="4" t="s">
        <v>87</v>
      </c>
      <c r="L326" s="4" t="s">
        <v>1674</v>
      </c>
      <c r="M326" s="4" t="s">
        <v>49</v>
      </c>
      <c r="N326" s="4" t="s">
        <v>24</v>
      </c>
      <c r="O326" s="4">
        <v>3</v>
      </c>
      <c r="P326" s="7">
        <v>52070</v>
      </c>
      <c r="Q326" s="8">
        <v>0.08</v>
      </c>
      <c r="R326" s="7">
        <v>37820</v>
      </c>
      <c r="S326" s="7">
        <f>Table1_1[[#This Row],[Units Sold]]*Table1_1[[#This Row],[Unit Price]]*(1-Table1_1[[#This Row],[Discount %]])</f>
        <v>143713.20000000001</v>
      </c>
      <c r="T326" s="7">
        <f>Table1_1[[#This Row],[Units Sold]]*Table1_1[[#This Row],[Unit Cost]]</f>
        <v>113460</v>
      </c>
      <c r="U326" s="7">
        <f>Table1_1[[#This Row],[Calculated sales]]-Table1_1[[#This Row],[Total cost]]</f>
        <v>30253.200000000012</v>
      </c>
      <c r="V326" s="4">
        <f>IFERROR(Table1_1[[#This Row],[Profit/Loss]]/Table1_1[[#This Row],[Calculated sales]],0)</f>
        <v>0.21051093427743595</v>
      </c>
    </row>
    <row r="327" spans="1:22" x14ac:dyDescent="0.25">
      <c r="A327" s="4" t="s">
        <v>473</v>
      </c>
      <c r="B327" s="5">
        <v>45476</v>
      </c>
      <c r="C327" s="4">
        <f>YEAR(Table1_1[[#This Row],[Order Dates]])</f>
        <v>2024</v>
      </c>
      <c r="D327" s="6">
        <f>MONTH(Table1_1[[#This Row],[Order Dates]])</f>
        <v>7</v>
      </c>
      <c r="E327" s="4" t="s">
        <v>16</v>
      </c>
      <c r="F327" s="4" t="s">
        <v>153</v>
      </c>
      <c r="G327" s="4" t="s">
        <v>18</v>
      </c>
      <c r="H327" s="4" t="str">
        <f>TRIM(CLEAN(SUBSTITUTE(Table1_1[[#This Row],[Salesperson]],"   "," ")))</f>
        <v>Imran Sheikh</v>
      </c>
      <c r="I327" s="4" t="s">
        <v>52</v>
      </c>
      <c r="J327" s="4" t="s">
        <v>20</v>
      </c>
      <c r="K327" s="4" t="s">
        <v>21</v>
      </c>
      <c r="L327" s="4" t="s">
        <v>1667</v>
      </c>
      <c r="M327" s="4" t="s">
        <v>23</v>
      </c>
      <c r="N327" s="4" t="s">
        <v>24</v>
      </c>
      <c r="O327" s="4">
        <v>33</v>
      </c>
      <c r="P327" s="7">
        <v>1860</v>
      </c>
      <c r="Q327" s="8">
        <v>0.15</v>
      </c>
      <c r="R327" s="7">
        <v>1200</v>
      </c>
      <c r="S327" s="7">
        <f>Table1_1[[#This Row],[Units Sold]]*Table1_1[[#This Row],[Unit Price]]*(1-Table1_1[[#This Row],[Discount %]])</f>
        <v>52173</v>
      </c>
      <c r="T327" s="7">
        <f>Table1_1[[#This Row],[Units Sold]]*Table1_1[[#This Row],[Unit Cost]]</f>
        <v>39600</v>
      </c>
      <c r="U327" s="7">
        <f>Table1_1[[#This Row],[Calculated sales]]-Table1_1[[#This Row],[Total cost]]</f>
        <v>12573</v>
      </c>
      <c r="V327" s="4">
        <f>IFERROR(Table1_1[[#This Row],[Profit/Loss]]/Table1_1[[#This Row],[Calculated sales]],0)</f>
        <v>0.24098671726755219</v>
      </c>
    </row>
    <row r="328" spans="1:22" x14ac:dyDescent="0.25">
      <c r="A328" s="4" t="s">
        <v>474</v>
      </c>
      <c r="B328" s="5">
        <v>45477</v>
      </c>
      <c r="C328" s="4">
        <f>YEAR(Table1_1[[#This Row],[Order Dates]])</f>
        <v>2024</v>
      </c>
      <c r="D328" s="6">
        <f>MONTH(Table1_1[[#This Row],[Order Dates]])</f>
        <v>7</v>
      </c>
      <c r="E328" s="4" t="s">
        <v>56</v>
      </c>
      <c r="F328" s="4" t="s">
        <v>127</v>
      </c>
      <c r="G328" s="4" t="s">
        <v>58</v>
      </c>
      <c r="H328" s="4" t="str">
        <f>TRIM(CLEAN(SUBSTITUTE(Table1_1[[#This Row],[Salesperson]],"   "," ")))</f>
        <v>Karthik Raman</v>
      </c>
      <c r="I328" s="4" t="s">
        <v>19</v>
      </c>
      <c r="J328" s="4" t="s">
        <v>20</v>
      </c>
      <c r="K328" s="4" t="s">
        <v>109</v>
      </c>
      <c r="L328" s="4" t="s">
        <v>1675</v>
      </c>
      <c r="M328" s="4" t="s">
        <v>49</v>
      </c>
      <c r="N328" s="4" t="s">
        <v>24</v>
      </c>
      <c r="O328" s="4">
        <v>1</v>
      </c>
      <c r="P328" s="7">
        <v>69710</v>
      </c>
      <c r="Q328" s="8">
        <v>0.05</v>
      </c>
      <c r="R328" s="7">
        <v>44850</v>
      </c>
      <c r="S328" s="7">
        <f>Table1_1[[#This Row],[Units Sold]]*Table1_1[[#This Row],[Unit Price]]*(1-Table1_1[[#This Row],[Discount %]])</f>
        <v>66224.5</v>
      </c>
      <c r="T328" s="7">
        <f>Table1_1[[#This Row],[Units Sold]]*Table1_1[[#This Row],[Unit Cost]]</f>
        <v>44850</v>
      </c>
      <c r="U328" s="7">
        <f>Table1_1[[#This Row],[Calculated sales]]-Table1_1[[#This Row],[Total cost]]</f>
        <v>21374.5</v>
      </c>
      <c r="V328" s="4">
        <f>IFERROR(Table1_1[[#This Row],[Profit/Loss]]/Table1_1[[#This Row],[Calculated sales]],0)</f>
        <v>0.32275819371984688</v>
      </c>
    </row>
    <row r="329" spans="1:22" x14ac:dyDescent="0.25">
      <c r="A329" s="4" t="s">
        <v>475</v>
      </c>
      <c r="B329" s="5">
        <v>45478</v>
      </c>
      <c r="C329" s="4">
        <f>YEAR(Table1_1[[#This Row],[Order Dates]])</f>
        <v>2024</v>
      </c>
      <c r="D329" s="6">
        <f>MONTH(Table1_1[[#This Row],[Order Dates]])</f>
        <v>7</v>
      </c>
      <c r="E329" s="4" t="s">
        <v>76</v>
      </c>
      <c r="F329" s="4" t="s">
        <v>217</v>
      </c>
      <c r="G329" s="4" t="s">
        <v>78</v>
      </c>
      <c r="H329" s="4" t="str">
        <f>TRIM(CLEAN(SUBSTITUTE(Table1_1[[#This Row],[Salesperson]],"   "," ")))</f>
        <v>Pooja Chouhan</v>
      </c>
      <c r="I329" s="4" t="s">
        <v>45</v>
      </c>
      <c r="J329" s="4" t="s">
        <v>20</v>
      </c>
      <c r="K329" s="4" t="s">
        <v>21</v>
      </c>
      <c r="L329" s="4" t="s">
        <v>1670</v>
      </c>
      <c r="M329" s="4" t="s">
        <v>40</v>
      </c>
      <c r="N329" s="4" t="s">
        <v>24</v>
      </c>
      <c r="O329" s="4">
        <v>25</v>
      </c>
      <c r="P329" s="7">
        <v>8860</v>
      </c>
      <c r="Q329" s="8">
        <v>0.08</v>
      </c>
      <c r="R329" s="7">
        <v>6980</v>
      </c>
      <c r="S329" s="7">
        <f>Table1_1[[#This Row],[Units Sold]]*Table1_1[[#This Row],[Unit Price]]*(1-Table1_1[[#This Row],[Discount %]])</f>
        <v>203780</v>
      </c>
      <c r="T329" s="7">
        <f>Table1_1[[#This Row],[Units Sold]]*Table1_1[[#This Row],[Unit Cost]]</f>
        <v>174500</v>
      </c>
      <c r="U329" s="7">
        <f>Table1_1[[#This Row],[Calculated sales]]-Table1_1[[#This Row],[Total cost]]</f>
        <v>29280</v>
      </c>
      <c r="V329" s="4">
        <f>IFERROR(Table1_1[[#This Row],[Profit/Loss]]/Table1_1[[#This Row],[Calculated sales]],0)</f>
        <v>0.14368436549219746</v>
      </c>
    </row>
    <row r="330" spans="1:22" x14ac:dyDescent="0.25">
      <c r="A330" s="4" t="s">
        <v>476</v>
      </c>
      <c r="B330" s="5">
        <v>45478</v>
      </c>
      <c r="C330" s="4">
        <f>YEAR(Table1_1[[#This Row],[Order Dates]])</f>
        <v>2024</v>
      </c>
      <c r="D330" s="6">
        <f>MONTH(Table1_1[[#This Row],[Order Dates]])</f>
        <v>7</v>
      </c>
      <c r="E330" s="4" t="s">
        <v>56</v>
      </c>
      <c r="F330" s="4" t="s">
        <v>143</v>
      </c>
      <c r="G330" s="4" t="s">
        <v>134</v>
      </c>
      <c r="H330" s="4" t="str">
        <f>TRIM(CLEAN(SUBSTITUTE(Table1_1[[#This Row],[Salesperson]],"   "," ")))</f>
        <v>Divya Nair</v>
      </c>
      <c r="I330" s="4" t="s">
        <v>92</v>
      </c>
      <c r="J330" s="4" t="s">
        <v>59</v>
      </c>
      <c r="K330" s="4" t="s">
        <v>60</v>
      </c>
      <c r="L330" s="4" t="s">
        <v>61</v>
      </c>
      <c r="M330" s="4" t="s">
        <v>40</v>
      </c>
      <c r="N330" s="4" t="s">
        <v>24</v>
      </c>
      <c r="O330" s="4">
        <v>14</v>
      </c>
      <c r="P330" s="7">
        <v>24810</v>
      </c>
      <c r="Q330" s="8">
        <v>0.12</v>
      </c>
      <c r="R330" s="7">
        <v>16950</v>
      </c>
      <c r="S330" s="7">
        <f>Table1_1[[#This Row],[Units Sold]]*Table1_1[[#This Row],[Unit Price]]*(1-Table1_1[[#This Row],[Discount %]])</f>
        <v>305659.2</v>
      </c>
      <c r="T330" s="7">
        <f>Table1_1[[#This Row],[Units Sold]]*Table1_1[[#This Row],[Unit Cost]]</f>
        <v>237300</v>
      </c>
      <c r="U330" s="7">
        <f>Table1_1[[#This Row],[Calculated sales]]-Table1_1[[#This Row],[Total cost]]</f>
        <v>68359.200000000012</v>
      </c>
      <c r="V330" s="4">
        <f>IFERROR(Table1_1[[#This Row],[Profit/Loss]]/Table1_1[[#This Row],[Calculated sales]],0)</f>
        <v>0.22364515774431135</v>
      </c>
    </row>
    <row r="331" spans="1:22" x14ac:dyDescent="0.25">
      <c r="A331" s="4" t="s">
        <v>477</v>
      </c>
      <c r="B331" s="5">
        <v>45479</v>
      </c>
      <c r="C331" s="4">
        <f>YEAR(Table1_1[[#This Row],[Order Dates]])</f>
        <v>2024</v>
      </c>
      <c r="D331" s="6">
        <f>MONTH(Table1_1[[#This Row],[Order Dates]])</f>
        <v>7</v>
      </c>
      <c r="E331" s="4" t="s">
        <v>37</v>
      </c>
      <c r="F331" s="4" t="s">
        <v>213</v>
      </c>
      <c r="G331" s="4" t="s">
        <v>39</v>
      </c>
      <c r="H331" s="4" t="str">
        <f>TRIM(CLEAN(SUBSTITUTE(Table1_1[[#This Row],[Salesperson]],"   "," ")))</f>
        <v>Sourav Das</v>
      </c>
      <c r="I331" s="4" t="s">
        <v>92</v>
      </c>
      <c r="J331" s="4" t="s">
        <v>20</v>
      </c>
      <c r="K331" s="4" t="s">
        <v>109</v>
      </c>
      <c r="L331" s="4" t="s">
        <v>159</v>
      </c>
      <c r="M331" s="4" t="s">
        <v>23</v>
      </c>
      <c r="N331" s="4" t="s">
        <v>94</v>
      </c>
      <c r="O331" s="4">
        <v>7</v>
      </c>
      <c r="P331" s="7">
        <v>17420</v>
      </c>
      <c r="Q331" s="8">
        <v>0.05</v>
      </c>
      <c r="R331" s="7">
        <v>9850</v>
      </c>
      <c r="S331" s="7">
        <f>Table1_1[[#This Row],[Units Sold]]*Table1_1[[#This Row],[Unit Price]]*(1-Table1_1[[#This Row],[Discount %]])</f>
        <v>115843</v>
      </c>
      <c r="T331" s="7">
        <f>Table1_1[[#This Row],[Units Sold]]*Table1_1[[#This Row],[Unit Cost]]</f>
        <v>68950</v>
      </c>
      <c r="U331" s="7">
        <f>Table1_1[[#This Row],[Calculated sales]]-Table1_1[[#This Row],[Total cost]]</f>
        <v>46893</v>
      </c>
      <c r="V331" s="4">
        <f>IFERROR(Table1_1[[#This Row],[Profit/Loss]]/Table1_1[[#This Row],[Calculated sales]],0)</f>
        <v>0.40479787298326181</v>
      </c>
    </row>
    <row r="332" spans="1:22" x14ac:dyDescent="0.25">
      <c r="A332" s="4" t="s">
        <v>478</v>
      </c>
      <c r="B332" s="5">
        <v>45479</v>
      </c>
      <c r="C332" s="4">
        <f>YEAR(Table1_1[[#This Row],[Order Dates]])</f>
        <v>2024</v>
      </c>
      <c r="D332" s="6">
        <f>MONTH(Table1_1[[#This Row],[Order Dates]])</f>
        <v>7</v>
      </c>
      <c r="E332" s="4" t="s">
        <v>42</v>
      </c>
      <c r="F332" s="4" t="s">
        <v>265</v>
      </c>
      <c r="G332" s="4" t="s">
        <v>64</v>
      </c>
      <c r="H332" s="4" t="str">
        <f>TRIM(CLEAN(SUBSTITUTE(Table1_1[[#This Row],[Salesperson]],"   "," ")))</f>
        <v>Aditya Verma</v>
      </c>
      <c r="I332" s="4" t="s">
        <v>19</v>
      </c>
      <c r="J332" s="4" t="s">
        <v>59</v>
      </c>
      <c r="K332" s="4" t="s">
        <v>154</v>
      </c>
      <c r="L332" s="4" t="s">
        <v>155</v>
      </c>
      <c r="M332" s="4" t="s">
        <v>23</v>
      </c>
      <c r="N332" s="4" t="s">
        <v>35</v>
      </c>
      <c r="O332" s="4">
        <v>6</v>
      </c>
      <c r="P332" s="7">
        <v>12290</v>
      </c>
      <c r="Q332" s="8">
        <v>0.15</v>
      </c>
      <c r="R332" s="7">
        <v>9430</v>
      </c>
      <c r="S332" s="7">
        <f>Table1_1[[#This Row],[Units Sold]]*Table1_1[[#This Row],[Unit Price]]*(1-Table1_1[[#This Row],[Discount %]])</f>
        <v>62679</v>
      </c>
      <c r="T332" s="7">
        <f>Table1_1[[#This Row],[Units Sold]]*Table1_1[[#This Row],[Unit Cost]]</f>
        <v>56580</v>
      </c>
      <c r="U332" s="7">
        <f>Table1_1[[#This Row],[Calculated sales]]-Table1_1[[#This Row],[Total cost]]</f>
        <v>6099</v>
      </c>
      <c r="V332" s="4">
        <f>IFERROR(Table1_1[[#This Row],[Profit/Loss]]/Table1_1[[#This Row],[Calculated sales]],0)</f>
        <v>9.7305317570478153E-2</v>
      </c>
    </row>
    <row r="333" spans="1:22" x14ac:dyDescent="0.25">
      <c r="A333" s="4" t="s">
        <v>479</v>
      </c>
      <c r="B333" s="5">
        <v>45479</v>
      </c>
      <c r="C333" s="4">
        <f>YEAR(Table1_1[[#This Row],[Order Dates]])</f>
        <v>2024</v>
      </c>
      <c r="D333" s="6">
        <f>MONTH(Table1_1[[#This Row],[Order Dates]])</f>
        <v>7</v>
      </c>
      <c r="E333" s="4" t="s">
        <v>16</v>
      </c>
      <c r="F333" s="4" t="s">
        <v>31</v>
      </c>
      <c r="G333" s="4" t="s">
        <v>32</v>
      </c>
      <c r="H333" s="4" t="str">
        <f>TRIM(CLEAN(SUBSTITUTE(Table1_1[[#This Row],[Salesperson]],"   "," ")))</f>
        <v>Neha Deshpande</v>
      </c>
      <c r="I333" s="4" t="s">
        <v>92</v>
      </c>
      <c r="J333" s="4" t="s">
        <v>20</v>
      </c>
      <c r="K333" s="4" t="s">
        <v>87</v>
      </c>
      <c r="L333" s="4" t="s">
        <v>1674</v>
      </c>
      <c r="M333" s="4" t="s">
        <v>23</v>
      </c>
      <c r="N333" s="4" t="s">
        <v>24</v>
      </c>
      <c r="O333" s="4">
        <v>3</v>
      </c>
      <c r="P333" s="7">
        <v>49530</v>
      </c>
      <c r="Q333" s="8">
        <v>0.05</v>
      </c>
      <c r="R333" s="7">
        <v>36810</v>
      </c>
      <c r="S333" s="7">
        <f>Table1_1[[#This Row],[Units Sold]]*Table1_1[[#This Row],[Unit Price]]*(1-Table1_1[[#This Row],[Discount %]])</f>
        <v>141160.5</v>
      </c>
      <c r="T333" s="7">
        <f>Table1_1[[#This Row],[Units Sold]]*Table1_1[[#This Row],[Unit Cost]]</f>
        <v>110430</v>
      </c>
      <c r="U333" s="7">
        <f>Table1_1[[#This Row],[Calculated sales]]-Table1_1[[#This Row],[Total cost]]</f>
        <v>30730.5</v>
      </c>
      <c r="V333" s="4">
        <f>IFERROR(Table1_1[[#This Row],[Profit/Loss]]/Table1_1[[#This Row],[Calculated sales]],0)</f>
        <v>0.21769900219962382</v>
      </c>
    </row>
    <row r="334" spans="1:22" x14ac:dyDescent="0.25">
      <c r="A334" s="4" t="s">
        <v>480</v>
      </c>
      <c r="B334" s="5">
        <v>45482</v>
      </c>
      <c r="C334" s="4">
        <f>YEAR(Table1_1[[#This Row],[Order Dates]])</f>
        <v>2024</v>
      </c>
      <c r="D334" s="6">
        <f>MONTH(Table1_1[[#This Row],[Order Dates]])</f>
        <v>7</v>
      </c>
      <c r="E334" s="4" t="s">
        <v>42</v>
      </c>
      <c r="F334" s="4" t="s">
        <v>265</v>
      </c>
      <c r="G334" s="4" t="s">
        <v>64</v>
      </c>
      <c r="H334" s="4" t="str">
        <f>TRIM(CLEAN(SUBSTITUTE(Table1_1[[#This Row],[Salesperson]],"   "," ")))</f>
        <v>Aditya Verma</v>
      </c>
      <c r="I334" s="4" t="s">
        <v>19</v>
      </c>
      <c r="J334" s="4" t="s">
        <v>27</v>
      </c>
      <c r="K334" s="4" t="s">
        <v>53</v>
      </c>
      <c r="L334" s="4" t="s">
        <v>1676</v>
      </c>
      <c r="M334" s="4" t="s">
        <v>40</v>
      </c>
      <c r="N334" s="4" t="s">
        <v>24</v>
      </c>
      <c r="O334" s="4">
        <v>2</v>
      </c>
      <c r="P334" s="7">
        <v>37740</v>
      </c>
      <c r="Q334" s="8">
        <v>0.2</v>
      </c>
      <c r="R334" s="7">
        <v>22580</v>
      </c>
      <c r="S334" s="7">
        <f>Table1_1[[#This Row],[Units Sold]]*Table1_1[[#This Row],[Unit Price]]*(1-Table1_1[[#This Row],[Discount %]])</f>
        <v>60384</v>
      </c>
      <c r="T334" s="7">
        <f>Table1_1[[#This Row],[Units Sold]]*Table1_1[[#This Row],[Unit Cost]]</f>
        <v>45160</v>
      </c>
      <c r="U334" s="7">
        <f>Table1_1[[#This Row],[Calculated sales]]-Table1_1[[#This Row],[Total cost]]</f>
        <v>15224</v>
      </c>
      <c r="V334" s="4">
        <f>IFERROR(Table1_1[[#This Row],[Profit/Loss]]/Table1_1[[#This Row],[Calculated sales]],0)</f>
        <v>0.25211976682564918</v>
      </c>
    </row>
    <row r="335" spans="1:22" x14ac:dyDescent="0.25">
      <c r="A335" s="4" t="s">
        <v>481</v>
      </c>
      <c r="B335" s="5">
        <v>45482</v>
      </c>
      <c r="C335" s="4">
        <f>YEAR(Table1_1[[#This Row],[Order Dates]])</f>
        <v>2024</v>
      </c>
      <c r="D335" s="6">
        <f>MONTH(Table1_1[[#This Row],[Order Dates]])</f>
        <v>7</v>
      </c>
      <c r="E335" s="4" t="s">
        <v>37</v>
      </c>
      <c r="F335" s="4" t="s">
        <v>213</v>
      </c>
      <c r="G335" s="4" t="s">
        <v>39</v>
      </c>
      <c r="H335" s="4" t="str">
        <f>TRIM(CLEAN(SUBSTITUTE(Table1_1[[#This Row],[Salesperson]],"   "," ")))</f>
        <v>Sourav Das</v>
      </c>
      <c r="I335" s="4" t="s">
        <v>92</v>
      </c>
      <c r="J335" s="4" t="s">
        <v>20</v>
      </c>
      <c r="K335" s="4" t="s">
        <v>109</v>
      </c>
      <c r="L335" s="4" t="s">
        <v>1675</v>
      </c>
      <c r="M335" s="4" t="s">
        <v>40</v>
      </c>
      <c r="N335" s="4" t="s">
        <v>24</v>
      </c>
      <c r="O335" s="4">
        <v>5</v>
      </c>
      <c r="P335" s="7">
        <v>70790</v>
      </c>
      <c r="Q335" s="8">
        <v>0.1</v>
      </c>
      <c r="R335" s="7">
        <v>50940</v>
      </c>
      <c r="S335" s="7">
        <f>Table1_1[[#This Row],[Units Sold]]*Table1_1[[#This Row],[Unit Price]]*(1-Table1_1[[#This Row],[Discount %]])</f>
        <v>318555</v>
      </c>
      <c r="T335" s="7">
        <f>Table1_1[[#This Row],[Units Sold]]*Table1_1[[#This Row],[Unit Cost]]</f>
        <v>254700</v>
      </c>
      <c r="U335" s="7">
        <f>Table1_1[[#This Row],[Calculated sales]]-Table1_1[[#This Row],[Total cost]]</f>
        <v>63855</v>
      </c>
      <c r="V335" s="4">
        <f>IFERROR(Table1_1[[#This Row],[Profit/Loss]]/Table1_1[[#This Row],[Calculated sales]],0)</f>
        <v>0.20045204124876395</v>
      </c>
    </row>
    <row r="336" spans="1:22" x14ac:dyDescent="0.25">
      <c r="A336" s="4" t="s">
        <v>482</v>
      </c>
      <c r="B336" s="5">
        <v>45483</v>
      </c>
      <c r="C336" s="4">
        <f>YEAR(Table1_1[[#This Row],[Order Dates]])</f>
        <v>2024</v>
      </c>
      <c r="D336" s="6">
        <f>MONTH(Table1_1[[#This Row],[Order Dates]])</f>
        <v>7</v>
      </c>
      <c r="E336" s="4" t="s">
        <v>56</v>
      </c>
      <c r="F336" s="4" t="s">
        <v>57</v>
      </c>
      <c r="G336" s="4" t="s">
        <v>91</v>
      </c>
      <c r="H336" s="4" t="str">
        <f>TRIM(CLEAN(SUBSTITUTE(Table1_1[[#This Row],[Salesperson]],"   "," ")))</f>
        <v>Anjali Menon</v>
      </c>
      <c r="I336" s="4" t="s">
        <v>19</v>
      </c>
      <c r="J336" s="4" t="s">
        <v>46</v>
      </c>
      <c r="K336" s="4" t="s">
        <v>47</v>
      </c>
      <c r="L336" s="4" t="s">
        <v>48</v>
      </c>
      <c r="M336" s="4" t="s">
        <v>40</v>
      </c>
      <c r="N336" s="4" t="s">
        <v>24</v>
      </c>
      <c r="O336" s="4">
        <v>19</v>
      </c>
      <c r="P336" s="7">
        <v>1910</v>
      </c>
      <c r="Q336" s="8">
        <v>0.05</v>
      </c>
      <c r="R336" s="7">
        <v>1200</v>
      </c>
      <c r="S336" s="7">
        <f>Table1_1[[#This Row],[Units Sold]]*Table1_1[[#This Row],[Unit Price]]*(1-Table1_1[[#This Row],[Discount %]])</f>
        <v>34475.5</v>
      </c>
      <c r="T336" s="7">
        <f>Table1_1[[#This Row],[Units Sold]]*Table1_1[[#This Row],[Unit Cost]]</f>
        <v>22800</v>
      </c>
      <c r="U336" s="7">
        <f>Table1_1[[#This Row],[Calculated sales]]-Table1_1[[#This Row],[Total cost]]</f>
        <v>11675.5</v>
      </c>
      <c r="V336" s="4">
        <f>IFERROR(Table1_1[[#This Row],[Profit/Loss]]/Table1_1[[#This Row],[Calculated sales]],0)</f>
        <v>0.33866078809589417</v>
      </c>
    </row>
    <row r="337" spans="1:22" x14ac:dyDescent="0.25">
      <c r="A337" s="4" t="s">
        <v>483</v>
      </c>
      <c r="B337" s="5">
        <v>45483</v>
      </c>
      <c r="C337" s="4">
        <f>YEAR(Table1_1[[#This Row],[Order Dates]])</f>
        <v>2024</v>
      </c>
      <c r="D337" s="6">
        <f>MONTH(Table1_1[[#This Row],[Order Dates]])</f>
        <v>7</v>
      </c>
      <c r="E337" s="4" t="s">
        <v>16</v>
      </c>
      <c r="F337" s="4" t="s">
        <v>191</v>
      </c>
      <c r="G337" s="4" t="s">
        <v>18</v>
      </c>
      <c r="H337" s="4" t="str">
        <f>TRIM(CLEAN(SUBSTITUTE(Table1_1[[#This Row],[Salesperson]],"   "," ")))</f>
        <v>Imran Sheikh</v>
      </c>
      <c r="I337" s="4" t="s">
        <v>45</v>
      </c>
      <c r="J337" s="4" t="s">
        <v>46</v>
      </c>
      <c r="K337" s="4" t="s">
        <v>100</v>
      </c>
      <c r="L337" s="4" t="s">
        <v>177</v>
      </c>
      <c r="M337" s="4" t="s">
        <v>23</v>
      </c>
      <c r="N337" s="4" t="s">
        <v>24</v>
      </c>
      <c r="O337" s="4">
        <v>83</v>
      </c>
      <c r="P337" s="7">
        <v>2660</v>
      </c>
      <c r="Q337" s="8">
        <v>0</v>
      </c>
      <c r="R337" s="7">
        <v>1960</v>
      </c>
      <c r="S337" s="7">
        <f>Table1_1[[#This Row],[Units Sold]]*Table1_1[[#This Row],[Unit Price]]*(1-Table1_1[[#This Row],[Discount %]])</f>
        <v>220780</v>
      </c>
      <c r="T337" s="7">
        <f>Table1_1[[#This Row],[Units Sold]]*Table1_1[[#This Row],[Unit Cost]]</f>
        <v>162680</v>
      </c>
      <c r="U337" s="7">
        <f>Table1_1[[#This Row],[Calculated sales]]-Table1_1[[#This Row],[Total cost]]</f>
        <v>58100</v>
      </c>
      <c r="V337" s="4">
        <f>IFERROR(Table1_1[[#This Row],[Profit/Loss]]/Table1_1[[#This Row],[Calculated sales]],0)</f>
        <v>0.26315789473684209</v>
      </c>
    </row>
    <row r="338" spans="1:22" x14ac:dyDescent="0.25">
      <c r="A338" s="4" t="s">
        <v>484</v>
      </c>
      <c r="B338" s="5">
        <v>45483</v>
      </c>
      <c r="C338" s="4">
        <f>YEAR(Table1_1[[#This Row],[Order Dates]])</f>
        <v>2024</v>
      </c>
      <c r="D338" s="6">
        <f>MONTH(Table1_1[[#This Row],[Order Dates]])</f>
        <v>7</v>
      </c>
      <c r="E338" s="4" t="s">
        <v>56</v>
      </c>
      <c r="F338" s="4" t="s">
        <v>143</v>
      </c>
      <c r="G338" s="4" t="s">
        <v>91</v>
      </c>
      <c r="H338" s="4" t="str">
        <f>TRIM(CLEAN(SUBSTITUTE(Table1_1[[#This Row],[Salesperson]],"   "," ")))</f>
        <v>Anjali Menon</v>
      </c>
      <c r="I338" s="4" t="s">
        <v>19</v>
      </c>
      <c r="J338" s="4" t="s">
        <v>46</v>
      </c>
      <c r="K338" s="4" t="s">
        <v>100</v>
      </c>
      <c r="L338" s="4" t="s">
        <v>177</v>
      </c>
      <c r="M338" s="4" t="s">
        <v>40</v>
      </c>
      <c r="N338" s="4" t="s">
        <v>24</v>
      </c>
      <c r="O338" s="4">
        <v>19</v>
      </c>
      <c r="P338" s="7">
        <v>2510</v>
      </c>
      <c r="Q338" s="8">
        <v>0.15</v>
      </c>
      <c r="R338" s="7">
        <v>1740</v>
      </c>
      <c r="S338" s="7">
        <f>Table1_1[[#This Row],[Units Sold]]*Table1_1[[#This Row],[Unit Price]]*(1-Table1_1[[#This Row],[Discount %]])</f>
        <v>40536.5</v>
      </c>
      <c r="T338" s="7">
        <f>Table1_1[[#This Row],[Units Sold]]*Table1_1[[#This Row],[Unit Cost]]</f>
        <v>33060</v>
      </c>
      <c r="U338" s="7">
        <f>Table1_1[[#This Row],[Calculated sales]]-Table1_1[[#This Row],[Total cost]]</f>
        <v>7476.5</v>
      </c>
      <c r="V338" s="4">
        <f>IFERROR(Table1_1[[#This Row],[Profit/Loss]]/Table1_1[[#This Row],[Calculated sales]],0)</f>
        <v>0.18443871572533396</v>
      </c>
    </row>
    <row r="339" spans="1:22" x14ac:dyDescent="0.25">
      <c r="A339" s="4" t="s">
        <v>485</v>
      </c>
      <c r="B339" s="5">
        <v>45484</v>
      </c>
      <c r="C339" s="4">
        <f>YEAR(Table1_1[[#This Row],[Order Dates]])</f>
        <v>2024</v>
      </c>
      <c r="D339" s="6">
        <f>MONTH(Table1_1[[#This Row],[Order Dates]])</f>
        <v>7</v>
      </c>
      <c r="E339" s="4" t="s">
        <v>16</v>
      </c>
      <c r="F339" s="4" t="s">
        <v>17</v>
      </c>
      <c r="G339" s="4" t="s">
        <v>18</v>
      </c>
      <c r="H339" s="4" t="str">
        <f>TRIM(CLEAN(SUBSTITUTE(Table1_1[[#This Row],[Salesperson]],"   "," ")))</f>
        <v>Imran Sheikh</v>
      </c>
      <c r="I339" s="4" t="s">
        <v>19</v>
      </c>
      <c r="J339" s="4" t="s">
        <v>27</v>
      </c>
      <c r="K339" s="4" t="s">
        <v>79</v>
      </c>
      <c r="L339" s="4" t="s">
        <v>262</v>
      </c>
      <c r="M339" s="4" t="s">
        <v>23</v>
      </c>
      <c r="N339" s="4" t="s">
        <v>24</v>
      </c>
      <c r="O339" s="4">
        <v>21</v>
      </c>
      <c r="P339" s="7">
        <v>2600</v>
      </c>
      <c r="Q339" s="8">
        <v>0.2</v>
      </c>
      <c r="R339" s="7">
        <v>1960</v>
      </c>
      <c r="S339" s="7">
        <f>Table1_1[[#This Row],[Units Sold]]*Table1_1[[#This Row],[Unit Price]]*(1-Table1_1[[#This Row],[Discount %]])</f>
        <v>43680</v>
      </c>
      <c r="T339" s="7">
        <f>Table1_1[[#This Row],[Units Sold]]*Table1_1[[#This Row],[Unit Cost]]</f>
        <v>41160</v>
      </c>
      <c r="U339" s="7">
        <f>Table1_1[[#This Row],[Calculated sales]]-Table1_1[[#This Row],[Total cost]]</f>
        <v>2520</v>
      </c>
      <c r="V339" s="4">
        <f>IFERROR(Table1_1[[#This Row],[Profit/Loss]]/Table1_1[[#This Row],[Calculated sales]],0)</f>
        <v>5.7692307692307696E-2</v>
      </c>
    </row>
    <row r="340" spans="1:22" x14ac:dyDescent="0.25">
      <c r="A340" s="4" t="s">
        <v>486</v>
      </c>
      <c r="B340" s="5">
        <v>45485</v>
      </c>
      <c r="C340" s="4">
        <f>YEAR(Table1_1[[#This Row],[Order Dates]])</f>
        <v>2024</v>
      </c>
      <c r="D340" s="6">
        <f>MONTH(Table1_1[[#This Row],[Order Dates]])</f>
        <v>7</v>
      </c>
      <c r="E340" s="4" t="s">
        <v>56</v>
      </c>
      <c r="F340" s="4" t="s">
        <v>143</v>
      </c>
      <c r="G340" s="4" t="s">
        <v>91</v>
      </c>
      <c r="H340" s="4" t="str">
        <f>TRIM(CLEAN(SUBSTITUTE(Table1_1[[#This Row],[Salesperson]],"   "," ")))</f>
        <v>Anjali Menon</v>
      </c>
      <c r="I340" s="4" t="s">
        <v>19</v>
      </c>
      <c r="J340" s="4" t="s">
        <v>27</v>
      </c>
      <c r="K340" s="4" t="s">
        <v>79</v>
      </c>
      <c r="L340" s="4" t="s">
        <v>168</v>
      </c>
      <c r="M340" s="4" t="s">
        <v>23</v>
      </c>
      <c r="N340" s="4" t="s">
        <v>24</v>
      </c>
      <c r="O340" s="4">
        <v>7</v>
      </c>
      <c r="P340" s="7">
        <v>9070</v>
      </c>
      <c r="Q340" s="8">
        <v>0.2</v>
      </c>
      <c r="R340" s="7">
        <v>5610</v>
      </c>
      <c r="S340" s="7">
        <f>Table1_1[[#This Row],[Units Sold]]*Table1_1[[#This Row],[Unit Price]]*(1-Table1_1[[#This Row],[Discount %]])</f>
        <v>50792</v>
      </c>
      <c r="T340" s="7">
        <f>Table1_1[[#This Row],[Units Sold]]*Table1_1[[#This Row],[Unit Cost]]</f>
        <v>39270</v>
      </c>
      <c r="U340" s="7">
        <f>Table1_1[[#This Row],[Calculated sales]]-Table1_1[[#This Row],[Total cost]]</f>
        <v>11522</v>
      </c>
      <c r="V340" s="4">
        <f>IFERROR(Table1_1[[#This Row],[Profit/Loss]]/Table1_1[[#This Row],[Calculated sales]],0)</f>
        <v>0.22684674751929437</v>
      </c>
    </row>
    <row r="341" spans="1:22" x14ac:dyDescent="0.25">
      <c r="A341" s="4" t="s">
        <v>487</v>
      </c>
      <c r="B341" s="5">
        <v>45485</v>
      </c>
      <c r="C341" s="4">
        <f>YEAR(Table1_1[[#This Row],[Order Dates]])</f>
        <v>2024</v>
      </c>
      <c r="D341" s="6">
        <f>MONTH(Table1_1[[#This Row],[Order Dates]])</f>
        <v>7</v>
      </c>
      <c r="E341" s="4" t="s">
        <v>42</v>
      </c>
      <c r="F341" s="4" t="s">
        <v>130</v>
      </c>
      <c r="G341" s="4" t="s">
        <v>44</v>
      </c>
      <c r="H341" s="4" t="str">
        <f>TRIM(CLEAN(SUBSTITUTE(Table1_1[[#This Row],[Salesperson]],"   "," ")))</f>
        <v>Simran Kaur</v>
      </c>
      <c r="I341" s="4" t="s">
        <v>19</v>
      </c>
      <c r="J341" s="4" t="s">
        <v>83</v>
      </c>
      <c r="K341" s="4" t="s">
        <v>184</v>
      </c>
      <c r="L341" s="4" t="s">
        <v>1679</v>
      </c>
      <c r="M341" s="4" t="s">
        <v>40</v>
      </c>
      <c r="N341" s="4" t="s">
        <v>24</v>
      </c>
      <c r="O341" s="4">
        <v>3</v>
      </c>
      <c r="P341" s="7">
        <v>4800</v>
      </c>
      <c r="Q341" s="8">
        <v>0</v>
      </c>
      <c r="R341" s="7">
        <v>3270</v>
      </c>
      <c r="S341" s="7">
        <f>Table1_1[[#This Row],[Units Sold]]*Table1_1[[#This Row],[Unit Price]]*(1-Table1_1[[#This Row],[Discount %]])</f>
        <v>14400</v>
      </c>
      <c r="T341" s="7">
        <f>Table1_1[[#This Row],[Units Sold]]*Table1_1[[#This Row],[Unit Cost]]</f>
        <v>9810</v>
      </c>
      <c r="U341" s="7">
        <f>Table1_1[[#This Row],[Calculated sales]]-Table1_1[[#This Row],[Total cost]]</f>
        <v>4590</v>
      </c>
      <c r="V341" s="4">
        <f>IFERROR(Table1_1[[#This Row],[Profit/Loss]]/Table1_1[[#This Row],[Calculated sales]],0)</f>
        <v>0.31874999999999998</v>
      </c>
    </row>
    <row r="342" spans="1:22" x14ac:dyDescent="0.25">
      <c r="A342" s="4" t="s">
        <v>488</v>
      </c>
      <c r="B342" s="5">
        <v>45486</v>
      </c>
      <c r="C342" s="4">
        <f>YEAR(Table1_1[[#This Row],[Order Dates]])</f>
        <v>2024</v>
      </c>
      <c r="D342" s="6">
        <f>MONTH(Table1_1[[#This Row],[Order Dates]])</f>
        <v>7</v>
      </c>
      <c r="E342" s="4" t="s">
        <v>42</v>
      </c>
      <c r="F342" s="4" t="s">
        <v>123</v>
      </c>
      <c r="G342" s="4" t="s">
        <v>64</v>
      </c>
      <c r="H342" s="4" t="str">
        <f>TRIM(CLEAN(SUBSTITUTE(Table1_1[[#This Row],[Salesperson]],"   "," ")))</f>
        <v>Aditya Verma</v>
      </c>
      <c r="I342" s="4" t="s">
        <v>52</v>
      </c>
      <c r="J342" s="4" t="s">
        <v>20</v>
      </c>
      <c r="K342" s="4" t="s">
        <v>109</v>
      </c>
      <c r="L342" s="4" t="s">
        <v>159</v>
      </c>
      <c r="M342" s="4" t="s">
        <v>23</v>
      </c>
      <c r="N342" s="4" t="s">
        <v>35</v>
      </c>
      <c r="O342" s="4">
        <v>7</v>
      </c>
      <c r="P342" s="7">
        <v>19070</v>
      </c>
      <c r="Q342" s="8">
        <v>0</v>
      </c>
      <c r="R342" s="7">
        <v>14760</v>
      </c>
      <c r="S342" s="7">
        <f>Table1_1[[#This Row],[Units Sold]]*Table1_1[[#This Row],[Unit Price]]*(1-Table1_1[[#This Row],[Discount %]])</f>
        <v>133490</v>
      </c>
      <c r="T342" s="7">
        <f>Table1_1[[#This Row],[Units Sold]]*Table1_1[[#This Row],[Unit Cost]]</f>
        <v>103320</v>
      </c>
      <c r="U342" s="7">
        <f>Table1_1[[#This Row],[Calculated sales]]-Table1_1[[#This Row],[Total cost]]</f>
        <v>30170</v>
      </c>
      <c r="V342" s="4">
        <f>IFERROR(Table1_1[[#This Row],[Profit/Loss]]/Table1_1[[#This Row],[Calculated sales]],0)</f>
        <v>0.2260094389092816</v>
      </c>
    </row>
    <row r="343" spans="1:22" x14ac:dyDescent="0.25">
      <c r="A343" s="4" t="s">
        <v>489</v>
      </c>
      <c r="B343" s="5">
        <v>45486</v>
      </c>
      <c r="C343" s="4">
        <f>YEAR(Table1_1[[#This Row],[Order Dates]])</f>
        <v>2024</v>
      </c>
      <c r="D343" s="6">
        <f>MONTH(Table1_1[[#This Row],[Order Dates]])</f>
        <v>7</v>
      </c>
      <c r="E343" s="4" t="s">
        <v>56</v>
      </c>
      <c r="F343" s="4" t="s">
        <v>72</v>
      </c>
      <c r="G343" s="4" t="s">
        <v>91</v>
      </c>
      <c r="H343" s="4" t="str">
        <f>TRIM(CLEAN(SUBSTITUTE(Table1_1[[#This Row],[Salesperson]],"   "," ")))</f>
        <v>Anjali Menon</v>
      </c>
      <c r="I343" s="4" t="s">
        <v>52</v>
      </c>
      <c r="J343" s="4" t="s">
        <v>20</v>
      </c>
      <c r="K343" s="4" t="s">
        <v>87</v>
      </c>
      <c r="L343" s="4" t="s">
        <v>1672</v>
      </c>
      <c r="M343" s="4" t="s">
        <v>40</v>
      </c>
      <c r="N343" s="4" t="s">
        <v>24</v>
      </c>
      <c r="O343" s="4">
        <v>1</v>
      </c>
      <c r="P343" s="7">
        <v>34280</v>
      </c>
      <c r="Q343" s="8">
        <v>0.18</v>
      </c>
      <c r="R343" s="7">
        <v>19700</v>
      </c>
      <c r="S343" s="7">
        <f>Table1_1[[#This Row],[Units Sold]]*Table1_1[[#This Row],[Unit Price]]*(1-Table1_1[[#This Row],[Discount %]])</f>
        <v>28109.600000000002</v>
      </c>
      <c r="T343" s="7">
        <f>Table1_1[[#This Row],[Units Sold]]*Table1_1[[#This Row],[Unit Cost]]</f>
        <v>19700</v>
      </c>
      <c r="U343" s="7">
        <f>Table1_1[[#This Row],[Calculated sales]]-Table1_1[[#This Row],[Total cost]]</f>
        <v>8409.6000000000022</v>
      </c>
      <c r="V343" s="4">
        <f>IFERROR(Table1_1[[#This Row],[Profit/Loss]]/Table1_1[[#This Row],[Calculated sales]],0)</f>
        <v>0.29917181318837699</v>
      </c>
    </row>
    <row r="344" spans="1:22" x14ac:dyDescent="0.25">
      <c r="A344" s="4" t="s">
        <v>490</v>
      </c>
      <c r="B344" s="5">
        <v>45486</v>
      </c>
      <c r="C344" s="4">
        <f>YEAR(Table1_1[[#This Row],[Order Dates]])</f>
        <v>2024</v>
      </c>
      <c r="D344" s="6">
        <f>MONTH(Table1_1[[#This Row],[Order Dates]])</f>
        <v>7</v>
      </c>
      <c r="E344" s="4" t="s">
        <v>56</v>
      </c>
      <c r="F344" s="4" t="s">
        <v>57</v>
      </c>
      <c r="G344" s="4" t="s">
        <v>134</v>
      </c>
      <c r="H344" s="4" t="str">
        <f>TRIM(CLEAN(SUBSTITUTE(Table1_1[[#This Row],[Salesperson]],"   "," ")))</f>
        <v>Divya Nair</v>
      </c>
      <c r="I344" s="4" t="s">
        <v>92</v>
      </c>
      <c r="J344" s="4" t="s">
        <v>46</v>
      </c>
      <c r="K344" s="4" t="s">
        <v>100</v>
      </c>
      <c r="L344" s="4" t="s">
        <v>177</v>
      </c>
      <c r="M344" s="4" t="s">
        <v>23</v>
      </c>
      <c r="N344" s="4" t="s">
        <v>94</v>
      </c>
      <c r="O344" s="4">
        <v>57</v>
      </c>
      <c r="P344" s="7">
        <v>2480</v>
      </c>
      <c r="Q344" s="8">
        <v>0.08</v>
      </c>
      <c r="R344" s="7">
        <v>1810</v>
      </c>
      <c r="S344" s="7">
        <f>Table1_1[[#This Row],[Units Sold]]*Table1_1[[#This Row],[Unit Price]]*(1-Table1_1[[#This Row],[Discount %]])</f>
        <v>130051.20000000001</v>
      </c>
      <c r="T344" s="7">
        <f>Table1_1[[#This Row],[Units Sold]]*Table1_1[[#This Row],[Unit Cost]]</f>
        <v>103170</v>
      </c>
      <c r="U344" s="7">
        <f>Table1_1[[#This Row],[Calculated sales]]-Table1_1[[#This Row],[Total cost]]</f>
        <v>26881.200000000012</v>
      </c>
      <c r="V344" s="4">
        <f>IFERROR(Table1_1[[#This Row],[Profit/Loss]]/Table1_1[[#This Row],[Calculated sales]],0)</f>
        <v>0.20669705469845728</v>
      </c>
    </row>
    <row r="345" spans="1:22" x14ac:dyDescent="0.25">
      <c r="A345" s="4" t="s">
        <v>491</v>
      </c>
      <c r="B345" s="5">
        <v>45487</v>
      </c>
      <c r="C345" s="4">
        <f>YEAR(Table1_1[[#This Row],[Order Dates]])</f>
        <v>2024</v>
      </c>
      <c r="D345" s="6">
        <f>MONTH(Table1_1[[#This Row],[Order Dates]])</f>
        <v>7</v>
      </c>
      <c r="E345" s="4" t="s">
        <v>42</v>
      </c>
      <c r="F345" s="4" t="s">
        <v>123</v>
      </c>
      <c r="G345" s="4" t="s">
        <v>64</v>
      </c>
      <c r="H345" s="4" t="str">
        <f>TRIM(CLEAN(SUBSTITUTE(Table1_1[[#This Row],[Salesperson]],"   "," ")))</f>
        <v>Aditya Verma</v>
      </c>
      <c r="I345" s="4" t="s">
        <v>19</v>
      </c>
      <c r="J345" s="4" t="s">
        <v>20</v>
      </c>
      <c r="K345" s="4" t="s">
        <v>33</v>
      </c>
      <c r="L345" s="4" t="s">
        <v>1677</v>
      </c>
      <c r="M345" s="4" t="s">
        <v>23</v>
      </c>
      <c r="N345" s="4" t="s">
        <v>24</v>
      </c>
      <c r="O345" s="4">
        <v>2</v>
      </c>
      <c r="P345" s="7">
        <v>65370</v>
      </c>
      <c r="Q345" s="8">
        <v>0.12</v>
      </c>
      <c r="R345" s="7">
        <v>40810</v>
      </c>
      <c r="S345" s="7">
        <f>Table1_1[[#This Row],[Units Sold]]*Table1_1[[#This Row],[Unit Price]]*(1-Table1_1[[#This Row],[Discount %]])</f>
        <v>115051.2</v>
      </c>
      <c r="T345" s="7">
        <f>Table1_1[[#This Row],[Units Sold]]*Table1_1[[#This Row],[Unit Cost]]</f>
        <v>81620</v>
      </c>
      <c r="U345" s="7">
        <f>Table1_1[[#This Row],[Calculated sales]]-Table1_1[[#This Row],[Total cost]]</f>
        <v>33431.199999999997</v>
      </c>
      <c r="V345" s="4">
        <f>IFERROR(Table1_1[[#This Row],[Profit/Loss]]/Table1_1[[#This Row],[Calculated sales]],0)</f>
        <v>0.29057671714853905</v>
      </c>
    </row>
    <row r="346" spans="1:22" x14ac:dyDescent="0.25">
      <c r="A346" s="4" t="s">
        <v>492</v>
      </c>
      <c r="B346" s="5">
        <v>45487</v>
      </c>
      <c r="C346" s="4">
        <f>YEAR(Table1_1[[#This Row],[Order Dates]])</f>
        <v>2024</v>
      </c>
      <c r="D346" s="6">
        <f>MONTH(Table1_1[[#This Row],[Order Dates]])</f>
        <v>7</v>
      </c>
      <c r="E346" s="4" t="s">
        <v>56</v>
      </c>
      <c r="F346" s="4" t="s">
        <v>133</v>
      </c>
      <c r="G346" s="4" t="s">
        <v>91</v>
      </c>
      <c r="H346" s="4" t="str">
        <f>TRIM(CLEAN(SUBSTITUTE(Table1_1[[#This Row],[Salesperson]],"   "," ")))</f>
        <v>Anjali Menon</v>
      </c>
      <c r="I346" s="4" t="s">
        <v>19</v>
      </c>
      <c r="J346" s="4" t="s">
        <v>27</v>
      </c>
      <c r="K346" s="4" t="s">
        <v>53</v>
      </c>
      <c r="L346" s="4" t="s">
        <v>1676</v>
      </c>
      <c r="M346" s="4" t="s">
        <v>23</v>
      </c>
      <c r="N346" s="4" t="s">
        <v>24</v>
      </c>
      <c r="O346" s="4">
        <v>4</v>
      </c>
      <c r="P346" s="7">
        <v>38620</v>
      </c>
      <c r="Q346" s="8">
        <v>0</v>
      </c>
      <c r="R346" s="7">
        <v>30170</v>
      </c>
      <c r="S346" s="7">
        <f>Table1_1[[#This Row],[Units Sold]]*Table1_1[[#This Row],[Unit Price]]*(1-Table1_1[[#This Row],[Discount %]])</f>
        <v>154480</v>
      </c>
      <c r="T346" s="7">
        <f>Table1_1[[#This Row],[Units Sold]]*Table1_1[[#This Row],[Unit Cost]]</f>
        <v>120680</v>
      </c>
      <c r="U346" s="7">
        <f>Table1_1[[#This Row],[Calculated sales]]-Table1_1[[#This Row],[Total cost]]</f>
        <v>33800</v>
      </c>
      <c r="V346" s="4">
        <f>IFERROR(Table1_1[[#This Row],[Profit/Loss]]/Table1_1[[#This Row],[Calculated sales]],0)</f>
        <v>0.21879854997410669</v>
      </c>
    </row>
    <row r="347" spans="1:22" x14ac:dyDescent="0.25">
      <c r="A347" s="4" t="s">
        <v>493</v>
      </c>
      <c r="B347" s="5">
        <v>45488</v>
      </c>
      <c r="C347" s="4">
        <f>YEAR(Table1_1[[#This Row],[Order Dates]])</f>
        <v>2024</v>
      </c>
      <c r="D347" s="6">
        <f>MONTH(Table1_1[[#This Row],[Order Dates]])</f>
        <v>7</v>
      </c>
      <c r="E347" s="4" t="s">
        <v>16</v>
      </c>
      <c r="F347" s="4" t="s">
        <v>17</v>
      </c>
      <c r="G347" s="4" t="s">
        <v>26</v>
      </c>
      <c r="H347" s="4" t="str">
        <f>TRIM(CLEAN(SUBSTITUTE(Table1_1[[#This Row],[Salesperson]],"   "," ")))</f>
        <v>Prateek Shah</v>
      </c>
      <c r="I347" s="4" t="s">
        <v>45</v>
      </c>
      <c r="J347" s="4" t="s">
        <v>46</v>
      </c>
      <c r="K347" s="4" t="s">
        <v>47</v>
      </c>
      <c r="L347" s="4" t="s">
        <v>48</v>
      </c>
      <c r="M347" s="4" t="s">
        <v>40</v>
      </c>
      <c r="N347" s="4" t="s">
        <v>35</v>
      </c>
      <c r="O347" s="4">
        <v>54</v>
      </c>
      <c r="P347" s="7">
        <v>1920</v>
      </c>
      <c r="Q347" s="8">
        <v>0.05</v>
      </c>
      <c r="R347" s="7">
        <v>1190</v>
      </c>
      <c r="S347" s="7">
        <f>Table1_1[[#This Row],[Units Sold]]*Table1_1[[#This Row],[Unit Price]]*(1-Table1_1[[#This Row],[Discount %]])</f>
        <v>98496</v>
      </c>
      <c r="T347" s="7">
        <f>Table1_1[[#This Row],[Units Sold]]*Table1_1[[#This Row],[Unit Cost]]</f>
        <v>64260</v>
      </c>
      <c r="U347" s="7">
        <f>Table1_1[[#This Row],[Calculated sales]]-Table1_1[[#This Row],[Total cost]]</f>
        <v>34236</v>
      </c>
      <c r="V347" s="4">
        <f>IFERROR(Table1_1[[#This Row],[Profit/Loss]]/Table1_1[[#This Row],[Calculated sales]],0)</f>
        <v>0.34758771929824561</v>
      </c>
    </row>
    <row r="348" spans="1:22" x14ac:dyDescent="0.25">
      <c r="A348" s="4" t="s">
        <v>494</v>
      </c>
      <c r="B348" s="5">
        <v>45489</v>
      </c>
      <c r="C348" s="4">
        <f>YEAR(Table1_1[[#This Row],[Order Dates]])</f>
        <v>2024</v>
      </c>
      <c r="D348" s="6">
        <f>MONTH(Table1_1[[#This Row],[Order Dates]])</f>
        <v>7</v>
      </c>
      <c r="E348" s="4" t="s">
        <v>56</v>
      </c>
      <c r="F348" s="4" t="s">
        <v>133</v>
      </c>
      <c r="G348" s="4" t="s">
        <v>58</v>
      </c>
      <c r="H348" s="4" t="str">
        <f>TRIM(CLEAN(SUBSTITUTE(Table1_1[[#This Row],[Salesperson]],"   "," ")))</f>
        <v>Karthik Raman</v>
      </c>
      <c r="I348" s="4" t="s">
        <v>19</v>
      </c>
      <c r="J348" s="4" t="s">
        <v>20</v>
      </c>
      <c r="K348" s="4" t="s">
        <v>33</v>
      </c>
      <c r="L348" s="4" t="s">
        <v>1678</v>
      </c>
      <c r="M348" s="4" t="s">
        <v>23</v>
      </c>
      <c r="N348" s="4" t="s">
        <v>24</v>
      </c>
      <c r="O348" s="4">
        <v>2</v>
      </c>
      <c r="P348" s="7">
        <v>101670</v>
      </c>
      <c r="Q348" s="8">
        <v>0.05</v>
      </c>
      <c r="R348" s="7">
        <v>79680</v>
      </c>
      <c r="S348" s="7">
        <f>Table1_1[[#This Row],[Units Sold]]*Table1_1[[#This Row],[Unit Price]]*(1-Table1_1[[#This Row],[Discount %]])</f>
        <v>193173</v>
      </c>
      <c r="T348" s="7">
        <f>Table1_1[[#This Row],[Units Sold]]*Table1_1[[#This Row],[Unit Cost]]</f>
        <v>159360</v>
      </c>
      <c r="U348" s="7">
        <f>Table1_1[[#This Row],[Calculated sales]]-Table1_1[[#This Row],[Total cost]]</f>
        <v>33813</v>
      </c>
      <c r="V348" s="4">
        <f>IFERROR(Table1_1[[#This Row],[Profit/Loss]]/Table1_1[[#This Row],[Calculated sales]],0)</f>
        <v>0.17503999006072277</v>
      </c>
    </row>
    <row r="349" spans="1:22" x14ac:dyDescent="0.25">
      <c r="A349" s="4" t="s">
        <v>495</v>
      </c>
      <c r="B349" s="5">
        <v>45489</v>
      </c>
      <c r="C349" s="4">
        <f>YEAR(Table1_1[[#This Row],[Order Dates]])</f>
        <v>2024</v>
      </c>
      <c r="D349" s="6">
        <f>MONTH(Table1_1[[#This Row],[Order Dates]])</f>
        <v>7</v>
      </c>
      <c r="E349" s="4" t="s">
        <v>16</v>
      </c>
      <c r="F349" s="4" t="s">
        <v>82</v>
      </c>
      <c r="G349" s="4" t="s">
        <v>32</v>
      </c>
      <c r="H349" s="4" t="str">
        <f>TRIM(CLEAN(SUBSTITUTE(Table1_1[[#This Row],[Salesperson]],"   "," ")))</f>
        <v>Neha Deshpande</v>
      </c>
      <c r="I349" s="4" t="s">
        <v>92</v>
      </c>
      <c r="J349" s="4" t="s">
        <v>20</v>
      </c>
      <c r="K349" s="4" t="s">
        <v>87</v>
      </c>
      <c r="L349" s="4" t="s">
        <v>1672</v>
      </c>
      <c r="M349" s="4" t="s">
        <v>23</v>
      </c>
      <c r="N349" s="4" t="s">
        <v>119</v>
      </c>
      <c r="O349" s="4">
        <v>3</v>
      </c>
      <c r="P349" s="7">
        <v>34490</v>
      </c>
      <c r="Q349" s="8">
        <v>0.15</v>
      </c>
      <c r="R349" s="7">
        <v>21420</v>
      </c>
      <c r="S349" s="7">
        <f>Table1_1[[#This Row],[Units Sold]]*Table1_1[[#This Row],[Unit Price]]*(1-Table1_1[[#This Row],[Discount %]])</f>
        <v>87949.5</v>
      </c>
      <c r="T349" s="7">
        <f>Table1_1[[#This Row],[Units Sold]]*Table1_1[[#This Row],[Unit Cost]]</f>
        <v>64260</v>
      </c>
      <c r="U349" s="7">
        <f>Table1_1[[#This Row],[Calculated sales]]-Table1_1[[#This Row],[Total cost]]</f>
        <v>23689.5</v>
      </c>
      <c r="V349" s="4">
        <f>IFERROR(Table1_1[[#This Row],[Profit/Loss]]/Table1_1[[#This Row],[Calculated sales]],0)</f>
        <v>0.26935343577848653</v>
      </c>
    </row>
    <row r="350" spans="1:22" x14ac:dyDescent="0.25">
      <c r="A350" s="4" t="s">
        <v>496</v>
      </c>
      <c r="B350" s="5">
        <v>45490</v>
      </c>
      <c r="C350" s="4">
        <f>YEAR(Table1_1[[#This Row],[Order Dates]])</f>
        <v>2024</v>
      </c>
      <c r="D350" s="6">
        <f>MONTH(Table1_1[[#This Row],[Order Dates]])</f>
        <v>7</v>
      </c>
      <c r="E350" s="4" t="s">
        <v>56</v>
      </c>
      <c r="F350" s="4" t="s">
        <v>72</v>
      </c>
      <c r="G350" s="4" t="s">
        <v>58</v>
      </c>
      <c r="H350" s="4" t="str">
        <f>TRIM(CLEAN(SUBSTITUTE(Table1_1[[#This Row],[Salesperson]],"   "," ")))</f>
        <v>Karthik Raman</v>
      </c>
      <c r="I350" s="4" t="s">
        <v>19</v>
      </c>
      <c r="J350" s="4" t="s">
        <v>20</v>
      </c>
      <c r="K350" s="4" t="s">
        <v>21</v>
      </c>
      <c r="L350" s="4" t="s">
        <v>1670</v>
      </c>
      <c r="M350" s="4" t="s">
        <v>23</v>
      </c>
      <c r="N350" s="4" t="s">
        <v>24</v>
      </c>
      <c r="O350" s="4">
        <v>7</v>
      </c>
      <c r="P350" s="7">
        <v>8280</v>
      </c>
      <c r="Q350" s="8">
        <v>0.15</v>
      </c>
      <c r="R350" s="7">
        <v>5660</v>
      </c>
      <c r="S350" s="7">
        <f>Table1_1[[#This Row],[Units Sold]]*Table1_1[[#This Row],[Unit Price]]*(1-Table1_1[[#This Row],[Discount %]])</f>
        <v>49266</v>
      </c>
      <c r="T350" s="7">
        <f>Table1_1[[#This Row],[Units Sold]]*Table1_1[[#This Row],[Unit Cost]]</f>
        <v>39620</v>
      </c>
      <c r="U350" s="7">
        <f>Table1_1[[#This Row],[Calculated sales]]-Table1_1[[#This Row],[Total cost]]</f>
        <v>9646</v>
      </c>
      <c r="V350" s="4">
        <f>IFERROR(Table1_1[[#This Row],[Profit/Loss]]/Table1_1[[#This Row],[Calculated sales]],0)</f>
        <v>0.19579425973287864</v>
      </c>
    </row>
    <row r="351" spans="1:22" x14ac:dyDescent="0.25">
      <c r="A351" s="4" t="s">
        <v>497</v>
      </c>
      <c r="B351" s="5">
        <v>45490</v>
      </c>
      <c r="C351" s="4">
        <f>YEAR(Table1_1[[#This Row],[Order Dates]])</f>
        <v>2024</v>
      </c>
      <c r="D351" s="6">
        <f>MONTH(Table1_1[[#This Row],[Order Dates]])</f>
        <v>7</v>
      </c>
      <c r="E351" s="4" t="s">
        <v>76</v>
      </c>
      <c r="F351" s="4" t="s">
        <v>77</v>
      </c>
      <c r="G351" s="4" t="s">
        <v>78</v>
      </c>
      <c r="H351" s="4" t="str">
        <f>TRIM(CLEAN(SUBSTITUTE(Table1_1[[#This Row],[Salesperson]],"   "," ")))</f>
        <v>Pooja Chouhan</v>
      </c>
      <c r="I351" s="4" t="s">
        <v>45</v>
      </c>
      <c r="J351" s="4" t="s">
        <v>59</v>
      </c>
      <c r="K351" s="4" t="s">
        <v>73</v>
      </c>
      <c r="L351" s="4" t="s">
        <v>74</v>
      </c>
      <c r="M351" s="4" t="s">
        <v>40</v>
      </c>
      <c r="N351" s="4" t="s">
        <v>119</v>
      </c>
      <c r="O351" s="4">
        <v>5</v>
      </c>
      <c r="P351" s="7">
        <v>48430</v>
      </c>
      <c r="Q351" s="8">
        <v>0.08</v>
      </c>
      <c r="R351" s="7">
        <v>35670</v>
      </c>
      <c r="S351" s="7">
        <f>Table1_1[[#This Row],[Units Sold]]*Table1_1[[#This Row],[Unit Price]]*(1-Table1_1[[#This Row],[Discount %]])</f>
        <v>222778</v>
      </c>
      <c r="T351" s="7">
        <f>Table1_1[[#This Row],[Units Sold]]*Table1_1[[#This Row],[Unit Cost]]</f>
        <v>178350</v>
      </c>
      <c r="U351" s="7">
        <f>Table1_1[[#This Row],[Calculated sales]]-Table1_1[[#This Row],[Total cost]]</f>
        <v>44428</v>
      </c>
      <c r="V351" s="4">
        <f>IFERROR(Table1_1[[#This Row],[Profit/Loss]]/Table1_1[[#This Row],[Calculated sales]],0)</f>
        <v>0.19942723249153865</v>
      </c>
    </row>
    <row r="352" spans="1:22" x14ac:dyDescent="0.25">
      <c r="A352" s="4" t="s">
        <v>498</v>
      </c>
      <c r="B352" s="5">
        <v>45490</v>
      </c>
      <c r="C352" s="4">
        <f>YEAR(Table1_1[[#This Row],[Order Dates]])</f>
        <v>2024</v>
      </c>
      <c r="D352" s="6">
        <f>MONTH(Table1_1[[#This Row],[Order Dates]])</f>
        <v>7</v>
      </c>
      <c r="E352" s="4" t="s">
        <v>56</v>
      </c>
      <c r="F352" s="4" t="s">
        <v>103</v>
      </c>
      <c r="G352" s="4" t="s">
        <v>134</v>
      </c>
      <c r="H352" s="4" t="str">
        <f>TRIM(CLEAN(SUBSTITUTE(Table1_1[[#This Row],[Salesperson]],"   "," ")))</f>
        <v>Divya Nair</v>
      </c>
      <c r="I352" s="4" t="s">
        <v>45</v>
      </c>
      <c r="J352" s="4" t="s">
        <v>59</v>
      </c>
      <c r="K352" s="4" t="s">
        <v>154</v>
      </c>
      <c r="L352" s="4" t="s">
        <v>155</v>
      </c>
      <c r="M352" s="4" t="s">
        <v>49</v>
      </c>
      <c r="N352" s="4" t="s">
        <v>24</v>
      </c>
      <c r="O352" s="4">
        <v>4</v>
      </c>
      <c r="P352" s="7">
        <v>12120</v>
      </c>
      <c r="Q352" s="8">
        <v>0</v>
      </c>
      <c r="R352" s="7">
        <v>8240</v>
      </c>
      <c r="S352" s="7">
        <f>Table1_1[[#This Row],[Units Sold]]*Table1_1[[#This Row],[Unit Price]]*(1-Table1_1[[#This Row],[Discount %]])</f>
        <v>48480</v>
      </c>
      <c r="T352" s="7">
        <f>Table1_1[[#This Row],[Units Sold]]*Table1_1[[#This Row],[Unit Cost]]</f>
        <v>32960</v>
      </c>
      <c r="U352" s="7">
        <f>Table1_1[[#This Row],[Calculated sales]]-Table1_1[[#This Row],[Total cost]]</f>
        <v>15520</v>
      </c>
      <c r="V352" s="4">
        <f>IFERROR(Table1_1[[#This Row],[Profit/Loss]]/Table1_1[[#This Row],[Calculated sales]],0)</f>
        <v>0.32013201320132012</v>
      </c>
    </row>
    <row r="353" spans="1:22" x14ac:dyDescent="0.25">
      <c r="A353" s="4" t="s">
        <v>499</v>
      </c>
      <c r="B353" s="5">
        <v>45491</v>
      </c>
      <c r="C353" s="4">
        <f>YEAR(Table1_1[[#This Row],[Order Dates]])</f>
        <v>2024</v>
      </c>
      <c r="D353" s="6">
        <f>MONTH(Table1_1[[#This Row],[Order Dates]])</f>
        <v>7</v>
      </c>
      <c r="E353" s="4" t="s">
        <v>76</v>
      </c>
      <c r="F353" s="4" t="s">
        <v>99</v>
      </c>
      <c r="G353" s="4" t="s">
        <v>170</v>
      </c>
      <c r="H353" s="4" t="str">
        <f>TRIM(CLEAN(SUBSTITUTE(Table1_1[[#This Row],[Salesperson]],"   "," ")))</f>
        <v>Manish Tiwari</v>
      </c>
      <c r="I353" s="4" t="s">
        <v>19</v>
      </c>
      <c r="J353" s="4" t="s">
        <v>20</v>
      </c>
      <c r="K353" s="4" t="s">
        <v>33</v>
      </c>
      <c r="L353" s="4" t="s">
        <v>34</v>
      </c>
      <c r="M353" s="4" t="s">
        <v>40</v>
      </c>
      <c r="N353" s="4" t="s">
        <v>119</v>
      </c>
      <c r="O353" s="4">
        <v>3</v>
      </c>
      <c r="P353" s="7">
        <v>52720</v>
      </c>
      <c r="Q353" s="8">
        <v>0.18</v>
      </c>
      <c r="R353" s="7">
        <v>35460</v>
      </c>
      <c r="S353" s="7">
        <f>Table1_1[[#This Row],[Units Sold]]*Table1_1[[#This Row],[Unit Price]]*(1-Table1_1[[#This Row],[Discount %]])</f>
        <v>129691.20000000001</v>
      </c>
      <c r="T353" s="7">
        <f>Table1_1[[#This Row],[Units Sold]]*Table1_1[[#This Row],[Unit Cost]]</f>
        <v>106380</v>
      </c>
      <c r="U353" s="7">
        <f>Table1_1[[#This Row],[Calculated sales]]-Table1_1[[#This Row],[Total cost]]</f>
        <v>23311.200000000012</v>
      </c>
      <c r="V353" s="4">
        <f>IFERROR(Table1_1[[#This Row],[Profit/Loss]]/Table1_1[[#This Row],[Calculated sales]],0)</f>
        <v>0.17974388393352833</v>
      </c>
    </row>
    <row r="354" spans="1:22" x14ac:dyDescent="0.25">
      <c r="A354" s="4" t="s">
        <v>500</v>
      </c>
      <c r="B354" s="5">
        <v>45493</v>
      </c>
      <c r="C354" s="4">
        <f>YEAR(Table1_1[[#This Row],[Order Dates]])</f>
        <v>2024</v>
      </c>
      <c r="D354" s="6">
        <f>MONTH(Table1_1[[#This Row],[Order Dates]])</f>
        <v>7</v>
      </c>
      <c r="E354" s="4" t="s">
        <v>56</v>
      </c>
      <c r="F354" s="4" t="s">
        <v>127</v>
      </c>
      <c r="G354" s="4" t="s">
        <v>58</v>
      </c>
      <c r="H354" s="4" t="str">
        <f>TRIM(CLEAN(SUBSTITUTE(Table1_1[[#This Row],[Salesperson]],"   "," ")))</f>
        <v>Karthik Raman</v>
      </c>
      <c r="I354" s="4" t="s">
        <v>92</v>
      </c>
      <c r="J354" s="4" t="s">
        <v>20</v>
      </c>
      <c r="K354" s="4" t="s">
        <v>33</v>
      </c>
      <c r="L354" s="4" t="s">
        <v>1677</v>
      </c>
      <c r="M354" s="4" t="s">
        <v>23</v>
      </c>
      <c r="N354" s="4" t="s">
        <v>24</v>
      </c>
      <c r="O354" s="4">
        <v>6</v>
      </c>
      <c r="P354" s="7">
        <v>64250</v>
      </c>
      <c r="Q354" s="8">
        <v>0.08</v>
      </c>
      <c r="R354" s="7">
        <v>38650</v>
      </c>
      <c r="S354" s="7">
        <f>Table1_1[[#This Row],[Units Sold]]*Table1_1[[#This Row],[Unit Price]]*(1-Table1_1[[#This Row],[Discount %]])</f>
        <v>354660</v>
      </c>
      <c r="T354" s="7">
        <f>Table1_1[[#This Row],[Units Sold]]*Table1_1[[#This Row],[Unit Cost]]</f>
        <v>231900</v>
      </c>
      <c r="U354" s="7">
        <f>Table1_1[[#This Row],[Calculated sales]]-Table1_1[[#This Row],[Total cost]]</f>
        <v>122760</v>
      </c>
      <c r="V354" s="4">
        <f>IFERROR(Table1_1[[#This Row],[Profit/Loss]]/Table1_1[[#This Row],[Calculated sales]],0)</f>
        <v>0.34613432583319237</v>
      </c>
    </row>
    <row r="355" spans="1:22" x14ac:dyDescent="0.25">
      <c r="A355" s="4" t="s">
        <v>501</v>
      </c>
      <c r="B355" s="5">
        <v>45493</v>
      </c>
      <c r="C355" s="4">
        <f>YEAR(Table1_1[[#This Row],[Order Dates]])</f>
        <v>2024</v>
      </c>
      <c r="D355" s="6">
        <f>MONTH(Table1_1[[#This Row],[Order Dates]])</f>
        <v>7</v>
      </c>
      <c r="E355" s="4" t="s">
        <v>42</v>
      </c>
      <c r="F355" s="4" t="s">
        <v>96</v>
      </c>
      <c r="G355" s="4" t="s">
        <v>44</v>
      </c>
      <c r="H355" s="4" t="str">
        <f>TRIM(CLEAN(SUBSTITUTE(Table1_1[[#This Row],[Salesperson]],"   "," ")))</f>
        <v>Simran Kaur</v>
      </c>
      <c r="I355" s="4" t="s">
        <v>19</v>
      </c>
      <c r="J355" s="4" t="s">
        <v>20</v>
      </c>
      <c r="K355" s="4" t="s">
        <v>109</v>
      </c>
      <c r="L355" s="4" t="s">
        <v>171</v>
      </c>
      <c r="M355" s="4" t="s">
        <v>23</v>
      </c>
      <c r="N355" s="4" t="s">
        <v>24</v>
      </c>
      <c r="O355" s="4">
        <v>3</v>
      </c>
      <c r="P355" s="7">
        <v>22700</v>
      </c>
      <c r="Q355" s="8">
        <v>0.2</v>
      </c>
      <c r="R355" s="7">
        <v>13680</v>
      </c>
      <c r="S355" s="7">
        <f>Table1_1[[#This Row],[Units Sold]]*Table1_1[[#This Row],[Unit Price]]*(1-Table1_1[[#This Row],[Discount %]])</f>
        <v>54480</v>
      </c>
      <c r="T355" s="7">
        <f>Table1_1[[#This Row],[Units Sold]]*Table1_1[[#This Row],[Unit Cost]]</f>
        <v>41040</v>
      </c>
      <c r="U355" s="7">
        <f>Table1_1[[#This Row],[Calculated sales]]-Table1_1[[#This Row],[Total cost]]</f>
        <v>13440</v>
      </c>
      <c r="V355" s="4">
        <f>IFERROR(Table1_1[[#This Row],[Profit/Loss]]/Table1_1[[#This Row],[Calculated sales]],0)</f>
        <v>0.24669603524229075</v>
      </c>
    </row>
    <row r="356" spans="1:22" x14ac:dyDescent="0.25">
      <c r="A356" s="4" t="s">
        <v>502</v>
      </c>
      <c r="B356" s="5">
        <v>45493</v>
      </c>
      <c r="C356" s="4">
        <f>YEAR(Table1_1[[#This Row],[Order Dates]])</f>
        <v>2024</v>
      </c>
      <c r="D356" s="6">
        <f>MONTH(Table1_1[[#This Row],[Order Dates]])</f>
        <v>7</v>
      </c>
      <c r="E356" s="4" t="s">
        <v>56</v>
      </c>
      <c r="F356" s="4" t="s">
        <v>57</v>
      </c>
      <c r="G356" s="4" t="s">
        <v>58</v>
      </c>
      <c r="H356" s="4" t="str">
        <f>TRIM(CLEAN(SUBSTITUTE(Table1_1[[#This Row],[Salesperson]],"   "," ")))</f>
        <v>Karthik Raman</v>
      </c>
      <c r="I356" s="4" t="s">
        <v>19</v>
      </c>
      <c r="J356" s="4" t="s">
        <v>46</v>
      </c>
      <c r="K356" s="4" t="s">
        <v>100</v>
      </c>
      <c r="L356" s="4" t="s">
        <v>101</v>
      </c>
      <c r="M356" s="4" t="s">
        <v>40</v>
      </c>
      <c r="N356" s="4" t="s">
        <v>24</v>
      </c>
      <c r="O356" s="4">
        <v>10</v>
      </c>
      <c r="P356" s="7">
        <v>2010</v>
      </c>
      <c r="Q356" s="8">
        <v>0</v>
      </c>
      <c r="R356" s="7">
        <v>1180</v>
      </c>
      <c r="S356" s="7">
        <f>Table1_1[[#This Row],[Units Sold]]*Table1_1[[#This Row],[Unit Price]]*(1-Table1_1[[#This Row],[Discount %]])</f>
        <v>20100</v>
      </c>
      <c r="T356" s="7">
        <f>Table1_1[[#This Row],[Units Sold]]*Table1_1[[#This Row],[Unit Cost]]</f>
        <v>11800</v>
      </c>
      <c r="U356" s="7">
        <f>Table1_1[[#This Row],[Calculated sales]]-Table1_1[[#This Row],[Total cost]]</f>
        <v>8300</v>
      </c>
      <c r="V356" s="4">
        <f>IFERROR(Table1_1[[#This Row],[Profit/Loss]]/Table1_1[[#This Row],[Calculated sales]],0)</f>
        <v>0.41293532338308458</v>
      </c>
    </row>
    <row r="357" spans="1:22" x14ac:dyDescent="0.25">
      <c r="A357" s="4" t="s">
        <v>503</v>
      </c>
      <c r="B357" s="5">
        <v>45494</v>
      </c>
      <c r="C357" s="4">
        <f>YEAR(Table1_1[[#This Row],[Order Dates]])</f>
        <v>2024</v>
      </c>
      <c r="D357" s="6">
        <f>MONTH(Table1_1[[#This Row],[Order Dates]])</f>
        <v>7</v>
      </c>
      <c r="E357" s="4" t="s">
        <v>16</v>
      </c>
      <c r="F357" s="4" t="s">
        <v>31</v>
      </c>
      <c r="G357" s="4" t="s">
        <v>26</v>
      </c>
      <c r="H357" s="4" t="str">
        <f>TRIM(CLEAN(SUBSTITUTE(Table1_1[[#This Row],[Salesperson]],"   "," ")))</f>
        <v>Prateek Shah</v>
      </c>
      <c r="I357" s="4" t="s">
        <v>19</v>
      </c>
      <c r="J357" s="4" t="s">
        <v>20</v>
      </c>
      <c r="K357" s="4" t="s">
        <v>109</v>
      </c>
      <c r="L357" s="4" t="s">
        <v>1675</v>
      </c>
      <c r="M357" s="4" t="s">
        <v>23</v>
      </c>
      <c r="N357" s="4" t="s">
        <v>35</v>
      </c>
      <c r="O357" s="4">
        <v>3</v>
      </c>
      <c r="P357" s="7">
        <v>67020</v>
      </c>
      <c r="Q357" s="8">
        <v>0.12</v>
      </c>
      <c r="R357" s="7">
        <v>40940</v>
      </c>
      <c r="S357" s="7">
        <f>Table1_1[[#This Row],[Units Sold]]*Table1_1[[#This Row],[Unit Price]]*(1-Table1_1[[#This Row],[Discount %]])</f>
        <v>176932.8</v>
      </c>
      <c r="T357" s="7">
        <f>Table1_1[[#This Row],[Units Sold]]*Table1_1[[#This Row],[Unit Cost]]</f>
        <v>122820</v>
      </c>
      <c r="U357" s="7">
        <f>Table1_1[[#This Row],[Calculated sales]]-Table1_1[[#This Row],[Total cost]]</f>
        <v>54112.799999999988</v>
      </c>
      <c r="V357" s="4">
        <f>IFERROR(Table1_1[[#This Row],[Profit/Loss]]/Table1_1[[#This Row],[Calculated sales]],0)</f>
        <v>0.30583814872087023</v>
      </c>
    </row>
    <row r="358" spans="1:22" x14ac:dyDescent="0.25">
      <c r="A358" s="4" t="s">
        <v>504</v>
      </c>
      <c r="B358" s="5">
        <v>45495</v>
      </c>
      <c r="C358" s="4">
        <f>YEAR(Table1_1[[#This Row],[Order Dates]])</f>
        <v>2024</v>
      </c>
      <c r="D358" s="6">
        <f>MONTH(Table1_1[[#This Row],[Order Dates]])</f>
        <v>7</v>
      </c>
      <c r="E358" s="4" t="s">
        <v>42</v>
      </c>
      <c r="F358" s="4" t="s">
        <v>96</v>
      </c>
      <c r="G358" s="4" t="s">
        <v>97</v>
      </c>
      <c r="H358" s="4" t="str">
        <f>TRIM(CLEAN(SUBSTITUTE(Table1_1[[#This Row],[Salesperson]],"   "," ")))</f>
        <v>Rohit Malhotra</v>
      </c>
      <c r="I358" s="4" t="s">
        <v>19</v>
      </c>
      <c r="J358" s="4" t="s">
        <v>20</v>
      </c>
      <c r="K358" s="4" t="s">
        <v>33</v>
      </c>
      <c r="L358" s="4" t="s">
        <v>34</v>
      </c>
      <c r="M358" s="4" t="s">
        <v>23</v>
      </c>
      <c r="N358" s="4" t="s">
        <v>94</v>
      </c>
      <c r="O358" s="4">
        <v>4</v>
      </c>
      <c r="P358" s="7">
        <v>58280</v>
      </c>
      <c r="Q358" s="8">
        <v>0.05</v>
      </c>
      <c r="R358" s="7">
        <v>43450</v>
      </c>
      <c r="S358" s="7">
        <f>Table1_1[[#This Row],[Units Sold]]*Table1_1[[#This Row],[Unit Price]]*(1-Table1_1[[#This Row],[Discount %]])</f>
        <v>221464</v>
      </c>
      <c r="T358" s="7">
        <f>Table1_1[[#This Row],[Units Sold]]*Table1_1[[#This Row],[Unit Cost]]</f>
        <v>173800</v>
      </c>
      <c r="U358" s="7">
        <f>Table1_1[[#This Row],[Calculated sales]]-Table1_1[[#This Row],[Total cost]]</f>
        <v>47664</v>
      </c>
      <c r="V358" s="4">
        <f>IFERROR(Table1_1[[#This Row],[Profit/Loss]]/Table1_1[[#This Row],[Calculated sales]],0)</f>
        <v>0.21522233861936929</v>
      </c>
    </row>
    <row r="359" spans="1:22" x14ac:dyDescent="0.25">
      <c r="A359" s="4" t="s">
        <v>505</v>
      </c>
      <c r="B359" s="5">
        <v>45497</v>
      </c>
      <c r="C359" s="4">
        <f>YEAR(Table1_1[[#This Row],[Order Dates]])</f>
        <v>2024</v>
      </c>
      <c r="D359" s="6">
        <f>MONTH(Table1_1[[#This Row],[Order Dates]])</f>
        <v>7</v>
      </c>
      <c r="E359" s="4" t="s">
        <v>56</v>
      </c>
      <c r="F359" s="4" t="s">
        <v>57</v>
      </c>
      <c r="G359" s="4" t="s">
        <v>134</v>
      </c>
      <c r="H359" s="4" t="str">
        <f>TRIM(CLEAN(SUBSTITUTE(Table1_1[[#This Row],[Salesperson]],"   "," ")))</f>
        <v>Divya Nair</v>
      </c>
      <c r="I359" s="4" t="s">
        <v>19</v>
      </c>
      <c r="J359" s="4" t="s">
        <v>27</v>
      </c>
      <c r="K359" s="4" t="s">
        <v>79</v>
      </c>
      <c r="L359" s="4" t="s">
        <v>168</v>
      </c>
      <c r="M359" s="4" t="s">
        <v>23</v>
      </c>
      <c r="N359" s="4" t="s">
        <v>24</v>
      </c>
      <c r="O359" s="4">
        <v>4</v>
      </c>
      <c r="P359" s="7">
        <v>9640</v>
      </c>
      <c r="Q359" s="8">
        <v>0.05</v>
      </c>
      <c r="R359" s="7">
        <v>6570</v>
      </c>
      <c r="S359" s="7">
        <f>Table1_1[[#This Row],[Units Sold]]*Table1_1[[#This Row],[Unit Price]]*(1-Table1_1[[#This Row],[Discount %]])</f>
        <v>36632</v>
      </c>
      <c r="T359" s="7">
        <f>Table1_1[[#This Row],[Units Sold]]*Table1_1[[#This Row],[Unit Cost]]</f>
        <v>26280</v>
      </c>
      <c r="U359" s="7">
        <f>Table1_1[[#This Row],[Calculated sales]]-Table1_1[[#This Row],[Total cost]]</f>
        <v>10352</v>
      </c>
      <c r="V359" s="4">
        <f>IFERROR(Table1_1[[#This Row],[Profit/Loss]]/Table1_1[[#This Row],[Calculated sales]],0)</f>
        <v>0.28259445293732255</v>
      </c>
    </row>
    <row r="360" spans="1:22" x14ac:dyDescent="0.25">
      <c r="A360" s="4" t="s">
        <v>506</v>
      </c>
      <c r="B360" s="5">
        <v>45497</v>
      </c>
      <c r="C360" s="4">
        <f>YEAR(Table1_1[[#This Row],[Order Dates]])</f>
        <v>2024</v>
      </c>
      <c r="D360" s="6">
        <f>MONTH(Table1_1[[#This Row],[Order Dates]])</f>
        <v>7</v>
      </c>
      <c r="E360" s="4" t="s">
        <v>56</v>
      </c>
      <c r="F360" s="4" t="s">
        <v>72</v>
      </c>
      <c r="G360" s="4" t="s">
        <v>58</v>
      </c>
      <c r="H360" s="4" t="str">
        <f>TRIM(CLEAN(SUBSTITUTE(Table1_1[[#This Row],[Salesperson]],"   "," ")))</f>
        <v>Karthik Raman</v>
      </c>
      <c r="I360" s="4" t="s">
        <v>19</v>
      </c>
      <c r="J360" s="4" t="s">
        <v>59</v>
      </c>
      <c r="K360" s="4" t="s">
        <v>69</v>
      </c>
      <c r="L360" s="4" t="s">
        <v>70</v>
      </c>
      <c r="M360" s="4" t="s">
        <v>40</v>
      </c>
      <c r="N360" s="4" t="s">
        <v>24</v>
      </c>
      <c r="O360" s="4">
        <v>3</v>
      </c>
      <c r="P360" s="7">
        <v>28390</v>
      </c>
      <c r="Q360" s="8">
        <v>0.05</v>
      </c>
      <c r="R360" s="7">
        <v>21830</v>
      </c>
      <c r="S360" s="7">
        <f>Table1_1[[#This Row],[Units Sold]]*Table1_1[[#This Row],[Unit Price]]*(1-Table1_1[[#This Row],[Discount %]])</f>
        <v>80911.5</v>
      </c>
      <c r="T360" s="7">
        <f>Table1_1[[#This Row],[Units Sold]]*Table1_1[[#This Row],[Unit Cost]]</f>
        <v>65490</v>
      </c>
      <c r="U360" s="7">
        <f>Table1_1[[#This Row],[Calculated sales]]-Table1_1[[#This Row],[Total cost]]</f>
        <v>15421.5</v>
      </c>
      <c r="V360" s="4">
        <f>IFERROR(Table1_1[[#This Row],[Profit/Loss]]/Table1_1[[#This Row],[Calculated sales]],0)</f>
        <v>0.19059713390556349</v>
      </c>
    </row>
    <row r="361" spans="1:22" x14ac:dyDescent="0.25">
      <c r="A361" s="4" t="s">
        <v>507</v>
      </c>
      <c r="B361" s="5">
        <v>45497</v>
      </c>
      <c r="C361" s="4">
        <f>YEAR(Table1_1[[#This Row],[Order Dates]])</f>
        <v>2024</v>
      </c>
      <c r="D361" s="6">
        <f>MONTH(Table1_1[[#This Row],[Order Dates]])</f>
        <v>7</v>
      </c>
      <c r="E361" s="4" t="s">
        <v>16</v>
      </c>
      <c r="F361" s="4" t="s">
        <v>153</v>
      </c>
      <c r="G361" s="4" t="s">
        <v>18</v>
      </c>
      <c r="H361" s="4" t="str">
        <f>TRIM(CLEAN(SUBSTITUTE(Table1_1[[#This Row],[Salesperson]],"   "," ")))</f>
        <v>Imran Sheikh</v>
      </c>
      <c r="I361" s="4" t="s">
        <v>19</v>
      </c>
      <c r="J361" s="4" t="s">
        <v>20</v>
      </c>
      <c r="K361" s="4" t="s">
        <v>33</v>
      </c>
      <c r="L361" s="4" t="s">
        <v>1677</v>
      </c>
      <c r="M361" s="4" t="s">
        <v>40</v>
      </c>
      <c r="N361" s="4" t="s">
        <v>24</v>
      </c>
      <c r="O361" s="4">
        <v>2</v>
      </c>
      <c r="P361" s="7">
        <v>60040</v>
      </c>
      <c r="Q361" s="8">
        <v>0.05</v>
      </c>
      <c r="R361" s="7">
        <v>40970</v>
      </c>
      <c r="S361" s="7">
        <f>Table1_1[[#This Row],[Units Sold]]*Table1_1[[#This Row],[Unit Price]]*(1-Table1_1[[#This Row],[Discount %]])</f>
        <v>114076</v>
      </c>
      <c r="T361" s="7">
        <f>Table1_1[[#This Row],[Units Sold]]*Table1_1[[#This Row],[Unit Cost]]</f>
        <v>81940</v>
      </c>
      <c r="U361" s="7">
        <f>Table1_1[[#This Row],[Calculated sales]]-Table1_1[[#This Row],[Total cost]]</f>
        <v>32136</v>
      </c>
      <c r="V361" s="4">
        <f>IFERROR(Table1_1[[#This Row],[Profit/Loss]]/Table1_1[[#This Row],[Calculated sales]],0)</f>
        <v>0.28170693222062487</v>
      </c>
    </row>
    <row r="362" spans="1:22" x14ac:dyDescent="0.25">
      <c r="A362" s="4" t="s">
        <v>508</v>
      </c>
      <c r="B362" s="5">
        <v>45498</v>
      </c>
      <c r="C362" s="4">
        <f>YEAR(Table1_1[[#This Row],[Order Dates]])</f>
        <v>2024</v>
      </c>
      <c r="D362" s="6">
        <f>MONTH(Table1_1[[#This Row],[Order Dates]])</f>
        <v>7</v>
      </c>
      <c r="E362" s="4" t="s">
        <v>16</v>
      </c>
      <c r="F362" s="4" t="s">
        <v>153</v>
      </c>
      <c r="G362" s="4" t="s">
        <v>32</v>
      </c>
      <c r="H362" s="4" t="str">
        <f>TRIM(CLEAN(SUBSTITUTE(Table1_1[[#This Row],[Salesperson]],"   "," ")))</f>
        <v>Neha Deshpande</v>
      </c>
      <c r="I362" s="4" t="s">
        <v>19</v>
      </c>
      <c r="J362" s="4" t="s">
        <v>46</v>
      </c>
      <c r="K362" s="4" t="s">
        <v>47</v>
      </c>
      <c r="L362" s="4" t="s">
        <v>48</v>
      </c>
      <c r="M362" s="4" t="s">
        <v>23</v>
      </c>
      <c r="N362" s="4" t="s">
        <v>119</v>
      </c>
      <c r="O362" s="4">
        <v>33</v>
      </c>
      <c r="P362" s="7">
        <v>1940</v>
      </c>
      <c r="Q362" s="8">
        <v>0.2</v>
      </c>
      <c r="R362" s="7">
        <v>1230</v>
      </c>
      <c r="S362" s="7">
        <f>Table1_1[[#This Row],[Units Sold]]*Table1_1[[#This Row],[Unit Price]]*(1-Table1_1[[#This Row],[Discount %]])</f>
        <v>51216</v>
      </c>
      <c r="T362" s="7">
        <f>Table1_1[[#This Row],[Units Sold]]*Table1_1[[#This Row],[Unit Cost]]</f>
        <v>40590</v>
      </c>
      <c r="U362" s="7">
        <f>Table1_1[[#This Row],[Calculated sales]]-Table1_1[[#This Row],[Total cost]]</f>
        <v>10626</v>
      </c>
      <c r="V362" s="4">
        <f>IFERROR(Table1_1[[#This Row],[Profit/Loss]]/Table1_1[[#This Row],[Calculated sales]],0)</f>
        <v>0.20747422680412372</v>
      </c>
    </row>
    <row r="363" spans="1:22" x14ac:dyDescent="0.25">
      <c r="A363" s="4" t="s">
        <v>509</v>
      </c>
      <c r="B363" s="5">
        <v>45498</v>
      </c>
      <c r="C363" s="4">
        <f>YEAR(Table1_1[[#This Row],[Order Dates]])</f>
        <v>2024</v>
      </c>
      <c r="D363" s="6">
        <f>MONTH(Table1_1[[#This Row],[Order Dates]])</f>
        <v>7</v>
      </c>
      <c r="E363" s="4" t="s">
        <v>56</v>
      </c>
      <c r="F363" s="4" t="s">
        <v>72</v>
      </c>
      <c r="G363" s="4" t="s">
        <v>58</v>
      </c>
      <c r="H363" s="4" t="str">
        <f>TRIM(CLEAN(SUBSTITUTE(Table1_1[[#This Row],[Salesperson]],"   "," ")))</f>
        <v>Karthik Raman</v>
      </c>
      <c r="I363" s="4" t="s">
        <v>92</v>
      </c>
      <c r="J363" s="4" t="s">
        <v>46</v>
      </c>
      <c r="K363" s="4" t="s">
        <v>100</v>
      </c>
      <c r="L363" s="4" t="s">
        <v>177</v>
      </c>
      <c r="M363" s="4" t="s">
        <v>23</v>
      </c>
      <c r="N363" s="4" t="s">
        <v>94</v>
      </c>
      <c r="O363" s="4">
        <v>66</v>
      </c>
      <c r="P363" s="7">
        <v>2620</v>
      </c>
      <c r="Q363" s="8">
        <v>0.05</v>
      </c>
      <c r="R363" s="7">
        <v>1500</v>
      </c>
      <c r="S363" s="7">
        <f>Table1_1[[#This Row],[Units Sold]]*Table1_1[[#This Row],[Unit Price]]*(1-Table1_1[[#This Row],[Discount %]])</f>
        <v>164274</v>
      </c>
      <c r="T363" s="7">
        <f>Table1_1[[#This Row],[Units Sold]]*Table1_1[[#This Row],[Unit Cost]]</f>
        <v>99000</v>
      </c>
      <c r="U363" s="7">
        <f>Table1_1[[#This Row],[Calculated sales]]-Table1_1[[#This Row],[Total cost]]</f>
        <v>65274</v>
      </c>
      <c r="V363" s="4">
        <f>IFERROR(Table1_1[[#This Row],[Profit/Loss]]/Table1_1[[#This Row],[Calculated sales]],0)</f>
        <v>0.39734833266372038</v>
      </c>
    </row>
    <row r="364" spans="1:22" x14ac:dyDescent="0.25">
      <c r="A364" s="4" t="s">
        <v>510</v>
      </c>
      <c r="B364" s="5">
        <v>45499</v>
      </c>
      <c r="C364" s="4">
        <f>YEAR(Table1_1[[#This Row],[Order Dates]])</f>
        <v>2024</v>
      </c>
      <c r="D364" s="6">
        <f>MONTH(Table1_1[[#This Row],[Order Dates]])</f>
        <v>7</v>
      </c>
      <c r="E364" s="4" t="s">
        <v>16</v>
      </c>
      <c r="F364" s="4" t="s">
        <v>17</v>
      </c>
      <c r="G364" s="4" t="s">
        <v>32</v>
      </c>
      <c r="H364" s="4" t="str">
        <f>TRIM(CLEAN(SUBSTITUTE(Table1_1[[#This Row],[Salesperson]],"   "," ")))</f>
        <v>Neha Deshpande</v>
      </c>
      <c r="I364" s="4" t="s">
        <v>19</v>
      </c>
      <c r="J364" s="4" t="s">
        <v>83</v>
      </c>
      <c r="K364" s="4" t="s">
        <v>136</v>
      </c>
      <c r="L364" s="4" t="s">
        <v>307</v>
      </c>
      <c r="M364" s="4" t="s">
        <v>40</v>
      </c>
      <c r="N364" s="4" t="s">
        <v>24</v>
      </c>
      <c r="O364" s="4">
        <v>10</v>
      </c>
      <c r="P364" s="7">
        <v>880</v>
      </c>
      <c r="Q364" s="8">
        <v>0.18</v>
      </c>
      <c r="R364" s="7">
        <v>610</v>
      </c>
      <c r="S364" s="7">
        <f>Table1_1[[#This Row],[Units Sold]]*Table1_1[[#This Row],[Unit Price]]*(1-Table1_1[[#This Row],[Discount %]])</f>
        <v>7216.0000000000009</v>
      </c>
      <c r="T364" s="7">
        <f>Table1_1[[#This Row],[Units Sold]]*Table1_1[[#This Row],[Unit Cost]]</f>
        <v>6100</v>
      </c>
      <c r="U364" s="7">
        <f>Table1_1[[#This Row],[Calculated sales]]-Table1_1[[#This Row],[Total cost]]</f>
        <v>1116.0000000000009</v>
      </c>
      <c r="V364" s="4">
        <f>IFERROR(Table1_1[[#This Row],[Profit/Loss]]/Table1_1[[#This Row],[Calculated sales]],0)</f>
        <v>0.15465631929046575</v>
      </c>
    </row>
    <row r="365" spans="1:22" x14ac:dyDescent="0.25">
      <c r="A365" s="4" t="s">
        <v>511</v>
      </c>
      <c r="B365" s="5">
        <v>45499</v>
      </c>
      <c r="C365" s="4">
        <f>YEAR(Table1_1[[#This Row],[Order Dates]])</f>
        <v>2024</v>
      </c>
      <c r="D365" s="6">
        <f>MONTH(Table1_1[[#This Row],[Order Dates]])</f>
        <v>7</v>
      </c>
      <c r="E365" s="4" t="s">
        <v>16</v>
      </c>
      <c r="F365" s="4" t="s">
        <v>31</v>
      </c>
      <c r="G365" s="4" t="s">
        <v>32</v>
      </c>
      <c r="H365" s="4" t="str">
        <f>TRIM(CLEAN(SUBSTITUTE(Table1_1[[#This Row],[Salesperson]],"   "," ")))</f>
        <v>Neha Deshpande</v>
      </c>
      <c r="I365" s="4" t="s">
        <v>52</v>
      </c>
      <c r="J365" s="4" t="s">
        <v>20</v>
      </c>
      <c r="K365" s="4" t="s">
        <v>87</v>
      </c>
      <c r="L365" s="4" t="s">
        <v>1674</v>
      </c>
      <c r="M365" s="4" t="s">
        <v>40</v>
      </c>
      <c r="N365" s="4" t="s">
        <v>24</v>
      </c>
      <c r="O365" s="4">
        <v>2</v>
      </c>
      <c r="P365" s="7">
        <v>55720</v>
      </c>
      <c r="Q365" s="8">
        <v>0.1</v>
      </c>
      <c r="R365" s="7">
        <v>40740</v>
      </c>
      <c r="S365" s="7">
        <f>Table1_1[[#This Row],[Units Sold]]*Table1_1[[#This Row],[Unit Price]]*(1-Table1_1[[#This Row],[Discount %]])</f>
        <v>100296</v>
      </c>
      <c r="T365" s="7">
        <f>Table1_1[[#This Row],[Units Sold]]*Table1_1[[#This Row],[Unit Cost]]</f>
        <v>81480</v>
      </c>
      <c r="U365" s="7">
        <f>Table1_1[[#This Row],[Calculated sales]]-Table1_1[[#This Row],[Total cost]]</f>
        <v>18816</v>
      </c>
      <c r="V365" s="4">
        <f>IFERROR(Table1_1[[#This Row],[Profit/Loss]]/Table1_1[[#This Row],[Calculated sales]],0)</f>
        <v>0.18760469011725292</v>
      </c>
    </row>
    <row r="366" spans="1:22" x14ac:dyDescent="0.25">
      <c r="A366" s="4" t="s">
        <v>512</v>
      </c>
      <c r="B366" s="5">
        <v>45502</v>
      </c>
      <c r="C366" s="4">
        <f>YEAR(Table1_1[[#This Row],[Order Dates]])</f>
        <v>2024</v>
      </c>
      <c r="D366" s="6">
        <f>MONTH(Table1_1[[#This Row],[Order Dates]])</f>
        <v>7</v>
      </c>
      <c r="E366" s="4" t="s">
        <v>56</v>
      </c>
      <c r="F366" s="4" t="s">
        <v>72</v>
      </c>
      <c r="G366" s="4" t="s">
        <v>91</v>
      </c>
      <c r="H366" s="4" t="str">
        <f>TRIM(CLEAN(SUBSTITUTE(Table1_1[[#This Row],[Salesperson]],"   "," ")))</f>
        <v>Anjali Menon</v>
      </c>
      <c r="I366" s="4" t="s">
        <v>92</v>
      </c>
      <c r="J366" s="4" t="s">
        <v>83</v>
      </c>
      <c r="K366" s="4" t="s">
        <v>84</v>
      </c>
      <c r="L366" s="4" t="s">
        <v>1671</v>
      </c>
      <c r="M366" s="4" t="s">
        <v>49</v>
      </c>
      <c r="N366" s="4" t="s">
        <v>24</v>
      </c>
      <c r="O366" s="4">
        <v>34</v>
      </c>
      <c r="P366" s="7">
        <v>2480</v>
      </c>
      <c r="Q366" s="8">
        <v>0.08</v>
      </c>
      <c r="R366" s="7">
        <v>1680</v>
      </c>
      <c r="S366" s="7">
        <f>Table1_1[[#This Row],[Units Sold]]*Table1_1[[#This Row],[Unit Price]]*(1-Table1_1[[#This Row],[Discount %]])</f>
        <v>77574.400000000009</v>
      </c>
      <c r="T366" s="7">
        <f>Table1_1[[#This Row],[Units Sold]]*Table1_1[[#This Row],[Unit Cost]]</f>
        <v>57120</v>
      </c>
      <c r="U366" s="7">
        <f>Table1_1[[#This Row],[Calculated sales]]-Table1_1[[#This Row],[Total cost]]</f>
        <v>20454.400000000009</v>
      </c>
      <c r="V366" s="4">
        <f>IFERROR(Table1_1[[#This Row],[Profit/Loss]]/Table1_1[[#This Row],[Calculated sales]],0)</f>
        <v>0.26367461430575045</v>
      </c>
    </row>
    <row r="367" spans="1:22" x14ac:dyDescent="0.25">
      <c r="A367" s="4" t="s">
        <v>513</v>
      </c>
      <c r="B367" s="5">
        <v>45502</v>
      </c>
      <c r="C367" s="4">
        <f>YEAR(Table1_1[[#This Row],[Order Dates]])</f>
        <v>2024</v>
      </c>
      <c r="D367" s="6">
        <f>MONTH(Table1_1[[#This Row],[Order Dates]])</f>
        <v>7</v>
      </c>
      <c r="E367" s="4" t="s">
        <v>37</v>
      </c>
      <c r="F367" s="4" t="s">
        <v>38</v>
      </c>
      <c r="G367" s="4" t="s">
        <v>68</v>
      </c>
      <c r="H367" s="4" t="str">
        <f>TRIM(CLEAN(SUBSTITUTE(Table1_1[[#This Row],[Salesperson]],"   "," ")))</f>
        <v>Ritika Ghosh</v>
      </c>
      <c r="I367" s="4" t="s">
        <v>19</v>
      </c>
      <c r="J367" s="4" t="s">
        <v>46</v>
      </c>
      <c r="K367" s="4" t="s">
        <v>47</v>
      </c>
      <c r="L367" s="4" t="s">
        <v>259</v>
      </c>
      <c r="M367" s="4" t="s">
        <v>49</v>
      </c>
      <c r="N367" s="4" t="s">
        <v>24</v>
      </c>
      <c r="O367" s="4">
        <v>7</v>
      </c>
      <c r="P367" s="7">
        <v>3020</v>
      </c>
      <c r="Q367" s="8">
        <v>0.08</v>
      </c>
      <c r="R367" s="7">
        <v>1700</v>
      </c>
      <c r="S367" s="7">
        <f>Table1_1[[#This Row],[Units Sold]]*Table1_1[[#This Row],[Unit Price]]*(1-Table1_1[[#This Row],[Discount %]])</f>
        <v>19448.8</v>
      </c>
      <c r="T367" s="7">
        <f>Table1_1[[#This Row],[Units Sold]]*Table1_1[[#This Row],[Unit Cost]]</f>
        <v>11900</v>
      </c>
      <c r="U367" s="7">
        <f>Table1_1[[#This Row],[Calculated sales]]-Table1_1[[#This Row],[Total cost]]</f>
        <v>7548.7999999999993</v>
      </c>
      <c r="V367" s="4">
        <f>IFERROR(Table1_1[[#This Row],[Profit/Loss]]/Table1_1[[#This Row],[Calculated sales]],0)</f>
        <v>0.38813705729916498</v>
      </c>
    </row>
    <row r="368" spans="1:22" x14ac:dyDescent="0.25">
      <c r="A368" s="4" t="s">
        <v>514</v>
      </c>
      <c r="B368" s="5">
        <v>45502</v>
      </c>
      <c r="C368" s="4">
        <f>YEAR(Table1_1[[#This Row],[Order Dates]])</f>
        <v>2024</v>
      </c>
      <c r="D368" s="6">
        <f>MONTH(Table1_1[[#This Row],[Order Dates]])</f>
        <v>7</v>
      </c>
      <c r="E368" s="4" t="s">
        <v>16</v>
      </c>
      <c r="F368" s="4" t="s">
        <v>153</v>
      </c>
      <c r="G368" s="4" t="s">
        <v>26</v>
      </c>
      <c r="H368" s="4" t="str">
        <f>TRIM(CLEAN(SUBSTITUTE(Table1_1[[#This Row],[Salesperson]],"   "," ")))</f>
        <v>Prateek Shah</v>
      </c>
      <c r="I368" s="4" t="s">
        <v>92</v>
      </c>
      <c r="J368" s="4" t="s">
        <v>27</v>
      </c>
      <c r="K368" s="4" t="s">
        <v>214</v>
      </c>
      <c r="L368" s="4" t="s">
        <v>1680</v>
      </c>
      <c r="M368" s="4" t="s">
        <v>23</v>
      </c>
      <c r="N368" s="4" t="s">
        <v>119</v>
      </c>
      <c r="O368" s="4">
        <v>4</v>
      </c>
      <c r="P368" s="7">
        <v>35090</v>
      </c>
      <c r="Q368" s="8">
        <v>0.08</v>
      </c>
      <c r="R368" s="7">
        <v>20180</v>
      </c>
      <c r="S368" s="7">
        <f>Table1_1[[#This Row],[Units Sold]]*Table1_1[[#This Row],[Unit Price]]*(1-Table1_1[[#This Row],[Discount %]])</f>
        <v>129131.20000000001</v>
      </c>
      <c r="T368" s="7">
        <f>Table1_1[[#This Row],[Units Sold]]*Table1_1[[#This Row],[Unit Cost]]</f>
        <v>80720</v>
      </c>
      <c r="U368" s="7">
        <f>Table1_1[[#This Row],[Calculated sales]]-Table1_1[[#This Row],[Total cost]]</f>
        <v>48411.200000000012</v>
      </c>
      <c r="V368" s="4">
        <f>IFERROR(Table1_1[[#This Row],[Profit/Loss]]/Table1_1[[#This Row],[Calculated sales]],0)</f>
        <v>0.37489932719590624</v>
      </c>
    </row>
    <row r="369" spans="1:22" x14ac:dyDescent="0.25">
      <c r="A369" s="4" t="s">
        <v>515</v>
      </c>
      <c r="B369" s="5">
        <v>45503</v>
      </c>
      <c r="C369" s="4">
        <f>YEAR(Table1_1[[#This Row],[Order Dates]])</f>
        <v>2024</v>
      </c>
      <c r="D369" s="6">
        <f>MONTH(Table1_1[[#This Row],[Order Dates]])</f>
        <v>7</v>
      </c>
      <c r="E369" s="4" t="s">
        <v>16</v>
      </c>
      <c r="F369" s="4" t="s">
        <v>82</v>
      </c>
      <c r="G369" s="4" t="s">
        <v>18</v>
      </c>
      <c r="H369" s="4" t="str">
        <f>TRIM(CLEAN(SUBSTITUTE(Table1_1[[#This Row],[Salesperson]],"   "," ")))</f>
        <v>Imran Sheikh</v>
      </c>
      <c r="I369" s="4" t="s">
        <v>52</v>
      </c>
      <c r="J369" s="4" t="s">
        <v>27</v>
      </c>
      <c r="K369" s="4" t="s">
        <v>79</v>
      </c>
      <c r="L369" s="4" t="s">
        <v>262</v>
      </c>
      <c r="M369" s="4" t="s">
        <v>23</v>
      </c>
      <c r="N369" s="4" t="s">
        <v>24</v>
      </c>
      <c r="O369" s="4">
        <v>38</v>
      </c>
      <c r="P369" s="7">
        <v>2470</v>
      </c>
      <c r="Q369" s="8">
        <v>0.08</v>
      </c>
      <c r="R369" s="7">
        <v>1510</v>
      </c>
      <c r="S369" s="7">
        <f>Table1_1[[#This Row],[Units Sold]]*Table1_1[[#This Row],[Unit Price]]*(1-Table1_1[[#This Row],[Discount %]])</f>
        <v>86351.2</v>
      </c>
      <c r="T369" s="7">
        <f>Table1_1[[#This Row],[Units Sold]]*Table1_1[[#This Row],[Unit Cost]]</f>
        <v>57380</v>
      </c>
      <c r="U369" s="7">
        <f>Table1_1[[#This Row],[Calculated sales]]-Table1_1[[#This Row],[Total cost]]</f>
        <v>28971.199999999997</v>
      </c>
      <c r="V369" s="4">
        <f>IFERROR(Table1_1[[#This Row],[Profit/Loss]]/Table1_1[[#This Row],[Calculated sales]],0)</f>
        <v>0.33550431262101743</v>
      </c>
    </row>
    <row r="370" spans="1:22" x14ac:dyDescent="0.25">
      <c r="A370" s="4" t="s">
        <v>516</v>
      </c>
      <c r="B370" s="5">
        <v>45503</v>
      </c>
      <c r="C370" s="4">
        <f>YEAR(Table1_1[[#This Row],[Order Dates]])</f>
        <v>2024</v>
      </c>
      <c r="D370" s="6">
        <f>MONTH(Table1_1[[#This Row],[Order Dates]])</f>
        <v>7</v>
      </c>
      <c r="E370" s="4" t="s">
        <v>42</v>
      </c>
      <c r="F370" s="4" t="s">
        <v>130</v>
      </c>
      <c r="G370" s="4" t="s">
        <v>44</v>
      </c>
      <c r="H370" s="4" t="str">
        <f>TRIM(CLEAN(SUBSTITUTE(Table1_1[[#This Row],[Salesperson]],"   "," ")))</f>
        <v>Simran Kaur</v>
      </c>
      <c r="I370" s="4" t="s">
        <v>19</v>
      </c>
      <c r="J370" s="4" t="s">
        <v>46</v>
      </c>
      <c r="K370" s="4" t="s">
        <v>100</v>
      </c>
      <c r="L370" s="4" t="s">
        <v>177</v>
      </c>
      <c r="M370" s="4" t="s">
        <v>49</v>
      </c>
      <c r="N370" s="4" t="s">
        <v>119</v>
      </c>
      <c r="O370" s="4">
        <v>16</v>
      </c>
      <c r="P370" s="7">
        <v>2630</v>
      </c>
      <c r="Q370" s="8">
        <v>0.12</v>
      </c>
      <c r="R370" s="7">
        <v>1590</v>
      </c>
      <c r="S370" s="7">
        <f>Table1_1[[#This Row],[Units Sold]]*Table1_1[[#This Row],[Unit Price]]*(1-Table1_1[[#This Row],[Discount %]])</f>
        <v>37030.400000000001</v>
      </c>
      <c r="T370" s="7">
        <f>Table1_1[[#This Row],[Units Sold]]*Table1_1[[#This Row],[Unit Cost]]</f>
        <v>25440</v>
      </c>
      <c r="U370" s="7">
        <f>Table1_1[[#This Row],[Calculated sales]]-Table1_1[[#This Row],[Total cost]]</f>
        <v>11590.400000000001</v>
      </c>
      <c r="V370" s="4">
        <f>IFERROR(Table1_1[[#This Row],[Profit/Loss]]/Table1_1[[#This Row],[Calculated sales]],0)</f>
        <v>0.31299688904251644</v>
      </c>
    </row>
    <row r="371" spans="1:22" x14ac:dyDescent="0.25">
      <c r="A371" s="4" t="s">
        <v>517</v>
      </c>
      <c r="B371" s="5">
        <v>45503</v>
      </c>
      <c r="C371" s="4">
        <f>YEAR(Table1_1[[#This Row],[Order Dates]])</f>
        <v>2024</v>
      </c>
      <c r="D371" s="6">
        <f>MONTH(Table1_1[[#This Row],[Order Dates]])</f>
        <v>7</v>
      </c>
      <c r="E371" s="4" t="s">
        <v>56</v>
      </c>
      <c r="F371" s="4" t="s">
        <v>133</v>
      </c>
      <c r="G371" s="4" t="s">
        <v>91</v>
      </c>
      <c r="H371" s="4" t="str">
        <f>TRIM(CLEAN(SUBSTITUTE(Table1_1[[#This Row],[Salesperson]],"   "," ")))</f>
        <v>Anjali Menon</v>
      </c>
      <c r="I371" s="4" t="s">
        <v>19</v>
      </c>
      <c r="J371" s="4" t="s">
        <v>20</v>
      </c>
      <c r="K371" s="4" t="s">
        <v>21</v>
      </c>
      <c r="L371" s="4" t="s">
        <v>1667</v>
      </c>
      <c r="M371" s="4" t="s">
        <v>40</v>
      </c>
      <c r="N371" s="4" t="s">
        <v>24</v>
      </c>
      <c r="O371" s="4">
        <v>33</v>
      </c>
      <c r="P371" s="7">
        <v>1910</v>
      </c>
      <c r="Q371" s="8">
        <v>0.08</v>
      </c>
      <c r="R371" s="7">
        <v>1130</v>
      </c>
      <c r="S371" s="7">
        <f>Table1_1[[#This Row],[Units Sold]]*Table1_1[[#This Row],[Unit Price]]*(1-Table1_1[[#This Row],[Discount %]])</f>
        <v>57987.600000000006</v>
      </c>
      <c r="T371" s="7">
        <f>Table1_1[[#This Row],[Units Sold]]*Table1_1[[#This Row],[Unit Cost]]</f>
        <v>37290</v>
      </c>
      <c r="U371" s="7">
        <f>Table1_1[[#This Row],[Calculated sales]]-Table1_1[[#This Row],[Total cost]]</f>
        <v>20697.600000000006</v>
      </c>
      <c r="V371" s="4">
        <f>IFERROR(Table1_1[[#This Row],[Profit/Loss]]/Table1_1[[#This Row],[Calculated sales]],0)</f>
        <v>0.35693148190302759</v>
      </c>
    </row>
    <row r="372" spans="1:22" x14ac:dyDescent="0.25">
      <c r="A372" s="4" t="s">
        <v>518</v>
      </c>
      <c r="B372" s="5">
        <v>45503</v>
      </c>
      <c r="C372" s="4">
        <f>YEAR(Table1_1[[#This Row],[Order Dates]])</f>
        <v>2024</v>
      </c>
      <c r="D372" s="6">
        <f>MONTH(Table1_1[[#This Row],[Order Dates]])</f>
        <v>7</v>
      </c>
      <c r="E372" s="4" t="s">
        <v>56</v>
      </c>
      <c r="F372" s="4" t="s">
        <v>143</v>
      </c>
      <c r="G372" s="4" t="s">
        <v>58</v>
      </c>
      <c r="H372" s="4" t="str">
        <f>TRIM(CLEAN(SUBSTITUTE(Table1_1[[#This Row],[Salesperson]],"   "," ")))</f>
        <v>Karthik Raman</v>
      </c>
      <c r="I372" s="4" t="s">
        <v>19</v>
      </c>
      <c r="J372" s="4" t="s">
        <v>20</v>
      </c>
      <c r="K372" s="4" t="s">
        <v>109</v>
      </c>
      <c r="L372" s="4" t="s">
        <v>171</v>
      </c>
      <c r="M372" s="4" t="s">
        <v>23</v>
      </c>
      <c r="N372" s="4" t="s">
        <v>24</v>
      </c>
      <c r="O372" s="4">
        <v>8</v>
      </c>
      <c r="P372" s="7">
        <v>23320</v>
      </c>
      <c r="Q372" s="8">
        <v>0.1</v>
      </c>
      <c r="R372" s="7">
        <v>17080</v>
      </c>
      <c r="S372" s="7">
        <f>Table1_1[[#This Row],[Units Sold]]*Table1_1[[#This Row],[Unit Price]]*(1-Table1_1[[#This Row],[Discount %]])</f>
        <v>167904</v>
      </c>
      <c r="T372" s="7">
        <f>Table1_1[[#This Row],[Units Sold]]*Table1_1[[#This Row],[Unit Cost]]</f>
        <v>136640</v>
      </c>
      <c r="U372" s="7">
        <f>Table1_1[[#This Row],[Calculated sales]]-Table1_1[[#This Row],[Total cost]]</f>
        <v>31264</v>
      </c>
      <c r="V372" s="4">
        <f>IFERROR(Table1_1[[#This Row],[Profit/Loss]]/Table1_1[[#This Row],[Calculated sales]],0)</f>
        <v>0.18620163903182771</v>
      </c>
    </row>
    <row r="373" spans="1:22" x14ac:dyDescent="0.25">
      <c r="A373" s="4" t="s">
        <v>519</v>
      </c>
      <c r="B373" s="5">
        <v>45504</v>
      </c>
      <c r="C373" s="4">
        <f>YEAR(Table1_1[[#This Row],[Order Dates]])</f>
        <v>2024</v>
      </c>
      <c r="D373" s="6">
        <f>MONTH(Table1_1[[#This Row],[Order Dates]])</f>
        <v>7</v>
      </c>
      <c r="E373" s="4" t="s">
        <v>56</v>
      </c>
      <c r="F373" s="4" t="s">
        <v>72</v>
      </c>
      <c r="G373" s="4" t="s">
        <v>91</v>
      </c>
      <c r="H373" s="4" t="str">
        <f>TRIM(CLEAN(SUBSTITUTE(Table1_1[[#This Row],[Salesperson]],"   "," ")))</f>
        <v>Anjali Menon</v>
      </c>
      <c r="I373" s="4" t="s">
        <v>52</v>
      </c>
      <c r="J373" s="4" t="s">
        <v>27</v>
      </c>
      <c r="K373" s="4" t="s">
        <v>79</v>
      </c>
      <c r="L373" s="4" t="s">
        <v>80</v>
      </c>
      <c r="M373" s="4" t="s">
        <v>23</v>
      </c>
      <c r="N373" s="4" t="s">
        <v>24</v>
      </c>
      <c r="O373" s="4">
        <v>7</v>
      </c>
      <c r="P373" s="7">
        <v>4450</v>
      </c>
      <c r="Q373" s="8">
        <v>0.18</v>
      </c>
      <c r="R373" s="7">
        <v>3450</v>
      </c>
      <c r="S373" s="7">
        <f>Table1_1[[#This Row],[Units Sold]]*Table1_1[[#This Row],[Unit Price]]*(1-Table1_1[[#This Row],[Discount %]])</f>
        <v>25543.000000000004</v>
      </c>
      <c r="T373" s="7">
        <f>Table1_1[[#This Row],[Units Sold]]*Table1_1[[#This Row],[Unit Cost]]</f>
        <v>24150</v>
      </c>
      <c r="U373" s="7">
        <f>Table1_1[[#This Row],[Calculated sales]]-Table1_1[[#This Row],[Total cost]]</f>
        <v>1393.0000000000036</v>
      </c>
      <c r="V373" s="4">
        <f>IFERROR(Table1_1[[#This Row],[Profit/Loss]]/Table1_1[[#This Row],[Calculated sales]],0)</f>
        <v>5.4535489175116608E-2</v>
      </c>
    </row>
    <row r="374" spans="1:22" x14ac:dyDescent="0.25">
      <c r="A374" s="4" t="s">
        <v>520</v>
      </c>
      <c r="B374" s="5">
        <v>45505</v>
      </c>
      <c r="C374" s="4">
        <f>YEAR(Table1_1[[#This Row],[Order Dates]])</f>
        <v>2024</v>
      </c>
      <c r="D374" s="6">
        <f>MONTH(Table1_1[[#This Row],[Order Dates]])</f>
        <v>8</v>
      </c>
      <c r="E374" s="4" t="s">
        <v>76</v>
      </c>
      <c r="F374" s="4" t="s">
        <v>150</v>
      </c>
      <c r="G374" s="4" t="s">
        <v>78</v>
      </c>
      <c r="H374" s="4" t="str">
        <f>TRIM(CLEAN(SUBSTITUTE(Table1_1[[#This Row],[Salesperson]],"   "," ")))</f>
        <v>Pooja Chouhan</v>
      </c>
      <c r="I374" s="4" t="s">
        <v>52</v>
      </c>
      <c r="J374" s="4" t="s">
        <v>27</v>
      </c>
      <c r="K374" s="4" t="s">
        <v>53</v>
      </c>
      <c r="L374" s="4" t="s">
        <v>1676</v>
      </c>
      <c r="M374" s="4" t="s">
        <v>40</v>
      </c>
      <c r="N374" s="4" t="s">
        <v>24</v>
      </c>
      <c r="O374" s="4">
        <v>3</v>
      </c>
      <c r="P374" s="7">
        <v>38230</v>
      </c>
      <c r="Q374" s="8">
        <v>0</v>
      </c>
      <c r="R374" s="7">
        <v>24740</v>
      </c>
      <c r="S374" s="7">
        <f>Table1_1[[#This Row],[Units Sold]]*Table1_1[[#This Row],[Unit Price]]*(1-Table1_1[[#This Row],[Discount %]])</f>
        <v>114690</v>
      </c>
      <c r="T374" s="7">
        <f>Table1_1[[#This Row],[Units Sold]]*Table1_1[[#This Row],[Unit Cost]]</f>
        <v>74220</v>
      </c>
      <c r="U374" s="7">
        <f>Table1_1[[#This Row],[Calculated sales]]-Table1_1[[#This Row],[Total cost]]</f>
        <v>40470</v>
      </c>
      <c r="V374" s="4">
        <f>IFERROR(Table1_1[[#This Row],[Profit/Loss]]/Table1_1[[#This Row],[Calculated sales]],0)</f>
        <v>0.35286424274130263</v>
      </c>
    </row>
    <row r="375" spans="1:22" x14ac:dyDescent="0.25">
      <c r="A375" s="4" t="s">
        <v>521</v>
      </c>
      <c r="B375" s="5">
        <v>45506</v>
      </c>
      <c r="C375" s="4">
        <f>YEAR(Table1_1[[#This Row],[Order Dates]])</f>
        <v>2024</v>
      </c>
      <c r="D375" s="6">
        <f>MONTH(Table1_1[[#This Row],[Order Dates]])</f>
        <v>8</v>
      </c>
      <c r="E375" s="4" t="s">
        <v>37</v>
      </c>
      <c r="F375" s="4" t="s">
        <v>213</v>
      </c>
      <c r="G375" s="4" t="s">
        <v>39</v>
      </c>
      <c r="H375" s="4" t="str">
        <f>TRIM(CLEAN(SUBSTITUTE(Table1_1[[#This Row],[Salesperson]],"   "," ")))</f>
        <v>Sourav Das</v>
      </c>
      <c r="I375" s="4" t="s">
        <v>52</v>
      </c>
      <c r="J375" s="4" t="s">
        <v>27</v>
      </c>
      <c r="K375" s="4" t="s">
        <v>79</v>
      </c>
      <c r="L375" s="4" t="s">
        <v>80</v>
      </c>
      <c r="M375" s="4" t="s">
        <v>40</v>
      </c>
      <c r="N375" s="4" t="s">
        <v>24</v>
      </c>
      <c r="O375" s="4">
        <v>4</v>
      </c>
      <c r="P375" s="7">
        <v>4670</v>
      </c>
      <c r="Q375" s="8">
        <v>0.08</v>
      </c>
      <c r="R375" s="7">
        <v>2890</v>
      </c>
      <c r="S375" s="7">
        <f>Table1_1[[#This Row],[Units Sold]]*Table1_1[[#This Row],[Unit Price]]*(1-Table1_1[[#This Row],[Discount %]])</f>
        <v>17185.600000000002</v>
      </c>
      <c r="T375" s="7">
        <f>Table1_1[[#This Row],[Units Sold]]*Table1_1[[#This Row],[Unit Cost]]</f>
        <v>11560</v>
      </c>
      <c r="U375" s="7">
        <f>Table1_1[[#This Row],[Calculated sales]]-Table1_1[[#This Row],[Total cost]]</f>
        <v>5625.6000000000022</v>
      </c>
      <c r="V375" s="4">
        <f>IFERROR(Table1_1[[#This Row],[Profit/Loss]]/Table1_1[[#This Row],[Calculated sales]],0)</f>
        <v>0.32734382273531337</v>
      </c>
    </row>
    <row r="376" spans="1:22" x14ac:dyDescent="0.25">
      <c r="A376" s="4" t="s">
        <v>522</v>
      </c>
      <c r="B376" s="5">
        <v>45506</v>
      </c>
      <c r="C376" s="4">
        <f>YEAR(Table1_1[[#This Row],[Order Dates]])</f>
        <v>2024</v>
      </c>
      <c r="D376" s="6">
        <f>MONTH(Table1_1[[#This Row],[Order Dates]])</f>
        <v>8</v>
      </c>
      <c r="E376" s="4" t="s">
        <v>37</v>
      </c>
      <c r="F376" s="4" t="s">
        <v>166</v>
      </c>
      <c r="G376" s="4" t="s">
        <v>39</v>
      </c>
      <c r="H376" s="4" t="str">
        <f>TRIM(CLEAN(SUBSTITUTE(Table1_1[[#This Row],[Salesperson]],"   "," ")))</f>
        <v>Sourav Das</v>
      </c>
      <c r="I376" s="4" t="s">
        <v>92</v>
      </c>
      <c r="J376" s="4" t="s">
        <v>20</v>
      </c>
      <c r="K376" s="4" t="s">
        <v>21</v>
      </c>
      <c r="L376" s="4" t="s">
        <v>1682</v>
      </c>
      <c r="M376" s="4" t="s">
        <v>49</v>
      </c>
      <c r="N376" s="4" t="s">
        <v>24</v>
      </c>
      <c r="O376" s="4">
        <v>4</v>
      </c>
      <c r="P376" s="7">
        <v>9180</v>
      </c>
      <c r="Q376" s="8">
        <v>0.18</v>
      </c>
      <c r="R376" s="7">
        <v>5910</v>
      </c>
      <c r="S376" s="7">
        <f>Table1_1[[#This Row],[Units Sold]]*Table1_1[[#This Row],[Unit Price]]*(1-Table1_1[[#This Row],[Discount %]])</f>
        <v>30110.400000000001</v>
      </c>
      <c r="T376" s="7">
        <f>Table1_1[[#This Row],[Units Sold]]*Table1_1[[#This Row],[Unit Cost]]</f>
        <v>23640</v>
      </c>
      <c r="U376" s="7">
        <f>Table1_1[[#This Row],[Calculated sales]]-Table1_1[[#This Row],[Total cost]]</f>
        <v>6470.4000000000015</v>
      </c>
      <c r="V376" s="4">
        <f>IFERROR(Table1_1[[#This Row],[Profit/Loss]]/Table1_1[[#This Row],[Calculated sales]],0)</f>
        <v>0.2148892077156066</v>
      </c>
    </row>
    <row r="377" spans="1:22" x14ac:dyDescent="0.25">
      <c r="A377" s="4" t="s">
        <v>523</v>
      </c>
      <c r="B377" s="5">
        <v>45506</v>
      </c>
      <c r="C377" s="4">
        <f>YEAR(Table1_1[[#This Row],[Order Dates]])</f>
        <v>2024</v>
      </c>
      <c r="D377" s="6">
        <f>MONTH(Table1_1[[#This Row],[Order Dates]])</f>
        <v>8</v>
      </c>
      <c r="E377" s="4" t="s">
        <v>42</v>
      </c>
      <c r="F377" s="4" t="s">
        <v>43</v>
      </c>
      <c r="G377" s="4" t="s">
        <v>44</v>
      </c>
      <c r="H377" s="4" t="str">
        <f>TRIM(CLEAN(SUBSTITUTE(Table1_1[[#This Row],[Salesperson]],"   "," ")))</f>
        <v>Simran Kaur</v>
      </c>
      <c r="I377" s="4" t="s">
        <v>92</v>
      </c>
      <c r="J377" s="4" t="s">
        <v>20</v>
      </c>
      <c r="K377" s="4" t="s">
        <v>109</v>
      </c>
      <c r="L377" s="4" t="s">
        <v>171</v>
      </c>
      <c r="M377" s="4" t="s">
        <v>40</v>
      </c>
      <c r="N377" s="4" t="s">
        <v>94</v>
      </c>
      <c r="O377" s="4">
        <v>4</v>
      </c>
      <c r="P377" s="7">
        <v>22610</v>
      </c>
      <c r="Q377" s="8">
        <v>0.1</v>
      </c>
      <c r="R377" s="7">
        <v>17390</v>
      </c>
      <c r="S377" s="7">
        <f>Table1_1[[#This Row],[Units Sold]]*Table1_1[[#This Row],[Unit Price]]*(1-Table1_1[[#This Row],[Discount %]])</f>
        <v>81396</v>
      </c>
      <c r="T377" s="7">
        <f>Table1_1[[#This Row],[Units Sold]]*Table1_1[[#This Row],[Unit Cost]]</f>
        <v>69560</v>
      </c>
      <c r="U377" s="7">
        <f>Table1_1[[#This Row],[Calculated sales]]-Table1_1[[#This Row],[Total cost]]</f>
        <v>11836</v>
      </c>
      <c r="V377" s="4">
        <f>IFERROR(Table1_1[[#This Row],[Profit/Loss]]/Table1_1[[#This Row],[Calculated sales]],0)</f>
        <v>0.14541255098530639</v>
      </c>
    </row>
    <row r="378" spans="1:22" x14ac:dyDescent="0.25">
      <c r="A378" s="4" t="s">
        <v>524</v>
      </c>
      <c r="B378" s="5">
        <v>45506</v>
      </c>
      <c r="C378" s="4">
        <f>YEAR(Table1_1[[#This Row],[Order Dates]])</f>
        <v>2024</v>
      </c>
      <c r="D378" s="6">
        <f>MONTH(Table1_1[[#This Row],[Order Dates]])</f>
        <v>8</v>
      </c>
      <c r="E378" s="4" t="s">
        <v>42</v>
      </c>
      <c r="F378" s="4" t="s">
        <v>123</v>
      </c>
      <c r="G378" s="4" t="s">
        <v>97</v>
      </c>
      <c r="H378" s="4" t="str">
        <f>TRIM(CLEAN(SUBSTITUTE(Table1_1[[#This Row],[Salesperson]],"   "," ")))</f>
        <v>Rohit Malhotra</v>
      </c>
      <c r="I378" s="4" t="s">
        <v>19</v>
      </c>
      <c r="J378" s="4" t="s">
        <v>20</v>
      </c>
      <c r="K378" s="4" t="s">
        <v>33</v>
      </c>
      <c r="L378" s="4" t="s">
        <v>34</v>
      </c>
      <c r="M378" s="4" t="s">
        <v>23</v>
      </c>
      <c r="N378" s="4" t="s">
        <v>24</v>
      </c>
      <c r="O378" s="4">
        <v>2</v>
      </c>
      <c r="P378" s="7">
        <v>52450</v>
      </c>
      <c r="Q378" s="8">
        <v>0.25</v>
      </c>
      <c r="R378" s="7">
        <v>40310</v>
      </c>
      <c r="S378" s="7">
        <f>Table1_1[[#This Row],[Units Sold]]*Table1_1[[#This Row],[Unit Price]]*(1-Table1_1[[#This Row],[Discount %]])</f>
        <v>78675</v>
      </c>
      <c r="T378" s="7">
        <f>Table1_1[[#This Row],[Units Sold]]*Table1_1[[#This Row],[Unit Cost]]</f>
        <v>80620</v>
      </c>
      <c r="U378" s="7">
        <f>Table1_1[[#This Row],[Calculated sales]]-Table1_1[[#This Row],[Total cost]]</f>
        <v>-1945</v>
      </c>
      <c r="V378" s="4">
        <f>IFERROR(Table1_1[[#This Row],[Profit/Loss]]/Table1_1[[#This Row],[Calculated sales]],0)</f>
        <v>-2.4721957419764854E-2</v>
      </c>
    </row>
    <row r="379" spans="1:22" x14ac:dyDescent="0.25">
      <c r="A379" s="4" t="s">
        <v>525</v>
      </c>
      <c r="B379" s="5">
        <v>45508</v>
      </c>
      <c r="C379" s="4">
        <f>YEAR(Table1_1[[#This Row],[Order Dates]])</f>
        <v>2024</v>
      </c>
      <c r="D379" s="6">
        <f>MONTH(Table1_1[[#This Row],[Order Dates]])</f>
        <v>8</v>
      </c>
      <c r="E379" s="4" t="s">
        <v>56</v>
      </c>
      <c r="F379" s="4" t="s">
        <v>72</v>
      </c>
      <c r="G379" s="4" t="s">
        <v>134</v>
      </c>
      <c r="H379" s="4" t="str">
        <f>TRIM(CLEAN(SUBSTITUTE(Table1_1[[#This Row],[Salesperson]],"   "," ")))</f>
        <v>Divya Nair</v>
      </c>
      <c r="I379" s="4" t="s">
        <v>19</v>
      </c>
      <c r="J379" s="4" t="s">
        <v>59</v>
      </c>
      <c r="K379" s="4" t="s">
        <v>73</v>
      </c>
      <c r="L379" s="4" t="s">
        <v>113</v>
      </c>
      <c r="M379" s="4" t="s">
        <v>40</v>
      </c>
      <c r="N379" s="4" t="s">
        <v>24</v>
      </c>
      <c r="O379" s="4">
        <v>2</v>
      </c>
      <c r="P379" s="7">
        <v>34500</v>
      </c>
      <c r="Q379" s="8">
        <v>0.05</v>
      </c>
      <c r="R379" s="7">
        <v>26810</v>
      </c>
      <c r="S379" s="7">
        <f>Table1_1[[#This Row],[Units Sold]]*Table1_1[[#This Row],[Unit Price]]*(1-Table1_1[[#This Row],[Discount %]])</f>
        <v>65550</v>
      </c>
      <c r="T379" s="7">
        <f>Table1_1[[#This Row],[Units Sold]]*Table1_1[[#This Row],[Unit Cost]]</f>
        <v>53620</v>
      </c>
      <c r="U379" s="7">
        <f>Table1_1[[#This Row],[Calculated sales]]-Table1_1[[#This Row],[Total cost]]</f>
        <v>11930</v>
      </c>
      <c r="V379" s="4">
        <f>IFERROR(Table1_1[[#This Row],[Profit/Loss]]/Table1_1[[#This Row],[Calculated sales]],0)</f>
        <v>0.18199847444698702</v>
      </c>
    </row>
    <row r="380" spans="1:22" x14ac:dyDescent="0.25">
      <c r="A380" s="4" t="s">
        <v>526</v>
      </c>
      <c r="B380" s="5">
        <v>45508</v>
      </c>
      <c r="C380" s="4">
        <f>YEAR(Table1_1[[#This Row],[Order Dates]])</f>
        <v>2024</v>
      </c>
      <c r="D380" s="6">
        <f>MONTH(Table1_1[[#This Row],[Order Dates]])</f>
        <v>8</v>
      </c>
      <c r="E380" s="4" t="s">
        <v>42</v>
      </c>
      <c r="F380" s="4" t="s">
        <v>146</v>
      </c>
      <c r="G380" s="4" t="s">
        <v>97</v>
      </c>
      <c r="H380" s="4" t="str">
        <f>TRIM(CLEAN(SUBSTITUTE(Table1_1[[#This Row],[Salesperson]],"   "," ")))</f>
        <v>Rohit Malhotra</v>
      </c>
      <c r="I380" s="4" t="s">
        <v>19</v>
      </c>
      <c r="J380" s="4" t="s">
        <v>83</v>
      </c>
      <c r="K380" s="4" t="s">
        <v>84</v>
      </c>
      <c r="L380" s="4" t="s">
        <v>292</v>
      </c>
      <c r="M380" s="4" t="s">
        <v>40</v>
      </c>
      <c r="N380" s="4" t="s">
        <v>24</v>
      </c>
      <c r="O380" s="4">
        <v>4</v>
      </c>
      <c r="P380" s="7">
        <v>41080</v>
      </c>
      <c r="Q380" s="8">
        <v>0.08</v>
      </c>
      <c r="R380" s="7">
        <v>32200</v>
      </c>
      <c r="S380" s="7">
        <f>Table1_1[[#This Row],[Units Sold]]*Table1_1[[#This Row],[Unit Price]]*(1-Table1_1[[#This Row],[Discount %]])</f>
        <v>151174.39999999999</v>
      </c>
      <c r="T380" s="7">
        <f>Table1_1[[#This Row],[Units Sold]]*Table1_1[[#This Row],[Unit Cost]]</f>
        <v>128800</v>
      </c>
      <c r="U380" s="7">
        <f>Table1_1[[#This Row],[Calculated sales]]-Table1_1[[#This Row],[Total cost]]</f>
        <v>22374.399999999994</v>
      </c>
      <c r="V380" s="4">
        <f>IFERROR(Table1_1[[#This Row],[Profit/Loss]]/Table1_1[[#This Row],[Calculated sales]],0)</f>
        <v>0.14800389483933785</v>
      </c>
    </row>
    <row r="381" spans="1:22" x14ac:dyDescent="0.25">
      <c r="A381" s="4" t="s">
        <v>527</v>
      </c>
      <c r="B381" s="5">
        <v>45508</v>
      </c>
      <c r="C381" s="4">
        <f>YEAR(Table1_1[[#This Row],[Order Dates]])</f>
        <v>2024</v>
      </c>
      <c r="D381" s="6">
        <f>MONTH(Table1_1[[#This Row],[Order Dates]])</f>
        <v>8</v>
      </c>
      <c r="E381" s="4" t="s">
        <v>37</v>
      </c>
      <c r="F381" s="4" t="s">
        <v>166</v>
      </c>
      <c r="G381" s="4" t="s">
        <v>68</v>
      </c>
      <c r="H381" s="4" t="str">
        <f>TRIM(CLEAN(SUBSTITUTE(Table1_1[[#This Row],[Salesperson]],"   "," ")))</f>
        <v>Ritika Ghosh</v>
      </c>
      <c r="I381" s="4" t="s">
        <v>19</v>
      </c>
      <c r="J381" s="4" t="s">
        <v>20</v>
      </c>
      <c r="K381" s="4" t="s">
        <v>87</v>
      </c>
      <c r="L381" s="4" t="s">
        <v>1672</v>
      </c>
      <c r="M381" s="4" t="s">
        <v>40</v>
      </c>
      <c r="N381" s="4" t="s">
        <v>119</v>
      </c>
      <c r="O381" s="4">
        <v>4</v>
      </c>
      <c r="P381" s="7">
        <v>33400</v>
      </c>
      <c r="Q381" s="8">
        <v>0.1</v>
      </c>
      <c r="R381" s="7">
        <v>24430</v>
      </c>
      <c r="S381" s="7">
        <f>Table1_1[[#This Row],[Units Sold]]*Table1_1[[#This Row],[Unit Price]]*(1-Table1_1[[#This Row],[Discount %]])</f>
        <v>120240</v>
      </c>
      <c r="T381" s="7">
        <f>Table1_1[[#This Row],[Units Sold]]*Table1_1[[#This Row],[Unit Cost]]</f>
        <v>97720</v>
      </c>
      <c r="U381" s="7">
        <f>Table1_1[[#This Row],[Calculated sales]]-Table1_1[[#This Row],[Total cost]]</f>
        <v>22520</v>
      </c>
      <c r="V381" s="4">
        <f>IFERROR(Table1_1[[#This Row],[Profit/Loss]]/Table1_1[[#This Row],[Calculated sales]],0)</f>
        <v>0.18729208250166335</v>
      </c>
    </row>
    <row r="382" spans="1:22" x14ac:dyDescent="0.25">
      <c r="A382" s="4" t="s">
        <v>528</v>
      </c>
      <c r="B382" s="5">
        <v>45509</v>
      </c>
      <c r="C382" s="4">
        <f>YEAR(Table1_1[[#This Row],[Order Dates]])</f>
        <v>2024</v>
      </c>
      <c r="D382" s="6">
        <f>MONTH(Table1_1[[#This Row],[Order Dates]])</f>
        <v>8</v>
      </c>
      <c r="E382" s="4" t="s">
        <v>56</v>
      </c>
      <c r="F382" s="4" t="s">
        <v>143</v>
      </c>
      <c r="G382" s="4" t="s">
        <v>58</v>
      </c>
      <c r="H382" s="4" t="str">
        <f>TRIM(CLEAN(SUBSTITUTE(Table1_1[[#This Row],[Salesperson]],"   "," ")))</f>
        <v>Karthik Raman</v>
      </c>
      <c r="I382" s="4" t="s">
        <v>19</v>
      </c>
      <c r="J382" s="4" t="s">
        <v>46</v>
      </c>
      <c r="K382" s="4" t="s">
        <v>100</v>
      </c>
      <c r="L382" s="4" t="s">
        <v>101</v>
      </c>
      <c r="M382" s="4" t="s">
        <v>23</v>
      </c>
      <c r="N382" s="4" t="s">
        <v>24</v>
      </c>
      <c r="O382" s="4">
        <v>21</v>
      </c>
      <c r="P382" s="7">
        <v>1980</v>
      </c>
      <c r="Q382" s="8">
        <v>0.25</v>
      </c>
      <c r="R382" s="7">
        <v>1480</v>
      </c>
      <c r="S382" s="7">
        <f>Table1_1[[#This Row],[Units Sold]]*Table1_1[[#This Row],[Unit Price]]*(1-Table1_1[[#This Row],[Discount %]])</f>
        <v>31185</v>
      </c>
      <c r="T382" s="7">
        <f>Table1_1[[#This Row],[Units Sold]]*Table1_1[[#This Row],[Unit Cost]]</f>
        <v>31080</v>
      </c>
      <c r="U382" s="7">
        <f>Table1_1[[#This Row],[Calculated sales]]-Table1_1[[#This Row],[Total cost]]</f>
        <v>105</v>
      </c>
      <c r="V382" s="4">
        <f>IFERROR(Table1_1[[#This Row],[Profit/Loss]]/Table1_1[[#This Row],[Calculated sales]],0)</f>
        <v>3.3670033670033669E-3</v>
      </c>
    </row>
    <row r="383" spans="1:22" x14ac:dyDescent="0.25">
      <c r="A383" s="4" t="s">
        <v>529</v>
      </c>
      <c r="B383" s="5">
        <v>45511</v>
      </c>
      <c r="C383" s="4">
        <f>YEAR(Table1_1[[#This Row],[Order Dates]])</f>
        <v>2024</v>
      </c>
      <c r="D383" s="6">
        <f>MONTH(Table1_1[[#This Row],[Order Dates]])</f>
        <v>8</v>
      </c>
      <c r="E383" s="4" t="s">
        <v>56</v>
      </c>
      <c r="F383" s="4" t="s">
        <v>133</v>
      </c>
      <c r="G383" s="4" t="s">
        <v>58</v>
      </c>
      <c r="H383" s="4" t="str">
        <f>TRIM(CLEAN(SUBSTITUTE(Table1_1[[#This Row],[Salesperson]],"   "," ")))</f>
        <v>Karthik Raman</v>
      </c>
      <c r="I383" s="4" t="s">
        <v>19</v>
      </c>
      <c r="J383" s="4" t="s">
        <v>59</v>
      </c>
      <c r="K383" s="4" t="s">
        <v>73</v>
      </c>
      <c r="L383" s="4" t="s">
        <v>74</v>
      </c>
      <c r="M383" s="4" t="s">
        <v>40</v>
      </c>
      <c r="N383" s="4" t="s">
        <v>94</v>
      </c>
      <c r="O383" s="4">
        <v>3</v>
      </c>
      <c r="P383" s="7">
        <v>47810</v>
      </c>
      <c r="Q383" s="8">
        <v>0.2</v>
      </c>
      <c r="R383" s="7">
        <v>31850</v>
      </c>
      <c r="S383" s="7">
        <f>Table1_1[[#This Row],[Units Sold]]*Table1_1[[#This Row],[Unit Price]]*(1-Table1_1[[#This Row],[Discount %]])</f>
        <v>114744</v>
      </c>
      <c r="T383" s="7">
        <f>Table1_1[[#This Row],[Units Sold]]*Table1_1[[#This Row],[Unit Cost]]</f>
        <v>95550</v>
      </c>
      <c r="U383" s="7">
        <f>Table1_1[[#This Row],[Calculated sales]]-Table1_1[[#This Row],[Total cost]]</f>
        <v>19194</v>
      </c>
      <c r="V383" s="4">
        <f>IFERROR(Table1_1[[#This Row],[Profit/Loss]]/Table1_1[[#This Row],[Calculated sales]],0)</f>
        <v>0.16727672035139093</v>
      </c>
    </row>
    <row r="384" spans="1:22" x14ac:dyDescent="0.25">
      <c r="A384" s="4" t="s">
        <v>530</v>
      </c>
      <c r="B384" s="5">
        <v>45511</v>
      </c>
      <c r="C384" s="4">
        <f>YEAR(Table1_1[[#This Row],[Order Dates]])</f>
        <v>2024</v>
      </c>
      <c r="D384" s="6">
        <f>MONTH(Table1_1[[#This Row],[Order Dates]])</f>
        <v>8</v>
      </c>
      <c r="E384" s="4" t="s">
        <v>16</v>
      </c>
      <c r="F384" s="4" t="s">
        <v>82</v>
      </c>
      <c r="G384" s="4" t="s">
        <v>32</v>
      </c>
      <c r="H384" s="4" t="str">
        <f>TRIM(CLEAN(SUBSTITUTE(Table1_1[[#This Row],[Salesperson]],"   "," ")))</f>
        <v>Neha Deshpande</v>
      </c>
      <c r="I384" s="4" t="s">
        <v>19</v>
      </c>
      <c r="J384" s="4" t="s">
        <v>59</v>
      </c>
      <c r="K384" s="4" t="s">
        <v>69</v>
      </c>
      <c r="L384" s="4" t="s">
        <v>121</v>
      </c>
      <c r="M384" s="4" t="s">
        <v>23</v>
      </c>
      <c r="N384" s="4" t="s">
        <v>24</v>
      </c>
      <c r="O384" s="4">
        <v>6</v>
      </c>
      <c r="P384" s="7">
        <v>3680</v>
      </c>
      <c r="Q384" s="8">
        <v>0.12</v>
      </c>
      <c r="R384" s="7">
        <v>2770</v>
      </c>
      <c r="S384" s="7">
        <f>Table1_1[[#This Row],[Units Sold]]*Table1_1[[#This Row],[Unit Price]]*(1-Table1_1[[#This Row],[Discount %]])</f>
        <v>19430.400000000001</v>
      </c>
      <c r="T384" s="7">
        <f>Table1_1[[#This Row],[Units Sold]]*Table1_1[[#This Row],[Unit Cost]]</f>
        <v>16620</v>
      </c>
      <c r="U384" s="7">
        <f>Table1_1[[#This Row],[Calculated sales]]-Table1_1[[#This Row],[Total cost]]</f>
        <v>2810.4000000000015</v>
      </c>
      <c r="V384" s="4">
        <f>IFERROR(Table1_1[[#This Row],[Profit/Loss]]/Table1_1[[#This Row],[Calculated sales]],0)</f>
        <v>0.14463932806324117</v>
      </c>
    </row>
    <row r="385" spans="1:22" x14ac:dyDescent="0.25">
      <c r="A385" s="4" t="s">
        <v>531</v>
      </c>
      <c r="B385" s="5">
        <v>45512</v>
      </c>
      <c r="C385" s="4">
        <f>YEAR(Table1_1[[#This Row],[Order Dates]])</f>
        <v>2024</v>
      </c>
      <c r="D385" s="6">
        <f>MONTH(Table1_1[[#This Row],[Order Dates]])</f>
        <v>8</v>
      </c>
      <c r="E385" s="4" t="s">
        <v>37</v>
      </c>
      <c r="F385" s="4" t="s">
        <v>38</v>
      </c>
      <c r="G385" s="4" t="s">
        <v>39</v>
      </c>
      <c r="H385" s="4" t="str">
        <f>TRIM(CLEAN(SUBSTITUTE(Table1_1[[#This Row],[Salesperson]],"   "," ")))</f>
        <v>Sourav Das</v>
      </c>
      <c r="I385" s="4" t="s">
        <v>92</v>
      </c>
      <c r="J385" s="4" t="s">
        <v>46</v>
      </c>
      <c r="K385" s="4" t="s">
        <v>47</v>
      </c>
      <c r="L385" s="4" t="s">
        <v>48</v>
      </c>
      <c r="M385" s="4" t="s">
        <v>23</v>
      </c>
      <c r="N385" s="4" t="s">
        <v>24</v>
      </c>
      <c r="O385" s="4">
        <v>63</v>
      </c>
      <c r="P385" s="7">
        <v>1770</v>
      </c>
      <c r="Q385" s="8">
        <v>0</v>
      </c>
      <c r="R385" s="7">
        <v>1250</v>
      </c>
      <c r="S385" s="7">
        <f>Table1_1[[#This Row],[Units Sold]]*Table1_1[[#This Row],[Unit Price]]*(1-Table1_1[[#This Row],[Discount %]])</f>
        <v>111510</v>
      </c>
      <c r="T385" s="7">
        <f>Table1_1[[#This Row],[Units Sold]]*Table1_1[[#This Row],[Unit Cost]]</f>
        <v>78750</v>
      </c>
      <c r="U385" s="7">
        <f>Table1_1[[#This Row],[Calculated sales]]-Table1_1[[#This Row],[Total cost]]</f>
        <v>32760</v>
      </c>
      <c r="V385" s="4">
        <f>IFERROR(Table1_1[[#This Row],[Profit/Loss]]/Table1_1[[#This Row],[Calculated sales]],0)</f>
        <v>0.29378531073446329</v>
      </c>
    </row>
    <row r="386" spans="1:22" x14ac:dyDescent="0.25">
      <c r="A386" s="4" t="s">
        <v>532</v>
      </c>
      <c r="B386" s="5">
        <v>45513</v>
      </c>
      <c r="C386" s="4">
        <f>YEAR(Table1_1[[#This Row],[Order Dates]])</f>
        <v>2024</v>
      </c>
      <c r="D386" s="6">
        <f>MONTH(Table1_1[[#This Row],[Order Dates]])</f>
        <v>8</v>
      </c>
      <c r="E386" s="4" t="s">
        <v>16</v>
      </c>
      <c r="F386" s="4" t="s">
        <v>153</v>
      </c>
      <c r="G386" s="4" t="s">
        <v>26</v>
      </c>
      <c r="H386" s="4" t="str">
        <f>TRIM(CLEAN(SUBSTITUTE(Table1_1[[#This Row],[Salesperson]],"   "," ")))</f>
        <v>Prateek Shah</v>
      </c>
      <c r="I386" s="4" t="s">
        <v>92</v>
      </c>
      <c r="J386" s="4" t="s">
        <v>27</v>
      </c>
      <c r="K386" s="4" t="s">
        <v>79</v>
      </c>
      <c r="L386" s="4" t="s">
        <v>168</v>
      </c>
      <c r="M386" s="4" t="s">
        <v>49</v>
      </c>
      <c r="N386" s="4" t="s">
        <v>24</v>
      </c>
      <c r="O386" s="4">
        <v>26</v>
      </c>
      <c r="P386" s="7">
        <v>9610</v>
      </c>
      <c r="Q386" s="8">
        <v>0</v>
      </c>
      <c r="R386" s="7">
        <v>6900</v>
      </c>
      <c r="S386" s="7">
        <f>Table1_1[[#This Row],[Units Sold]]*Table1_1[[#This Row],[Unit Price]]*(1-Table1_1[[#This Row],[Discount %]])</f>
        <v>249860</v>
      </c>
      <c r="T386" s="7">
        <f>Table1_1[[#This Row],[Units Sold]]*Table1_1[[#This Row],[Unit Cost]]</f>
        <v>179400</v>
      </c>
      <c r="U386" s="7">
        <f>Table1_1[[#This Row],[Calculated sales]]-Table1_1[[#This Row],[Total cost]]</f>
        <v>70460</v>
      </c>
      <c r="V386" s="4">
        <f>IFERROR(Table1_1[[#This Row],[Profit/Loss]]/Table1_1[[#This Row],[Calculated sales]],0)</f>
        <v>0.28199791883454733</v>
      </c>
    </row>
    <row r="387" spans="1:22" x14ac:dyDescent="0.25">
      <c r="A387" s="4" t="s">
        <v>533</v>
      </c>
      <c r="B387" s="5">
        <v>45513</v>
      </c>
      <c r="C387" s="4">
        <f>YEAR(Table1_1[[#This Row],[Order Dates]])</f>
        <v>2024</v>
      </c>
      <c r="D387" s="6">
        <f>MONTH(Table1_1[[#This Row],[Order Dates]])</f>
        <v>8</v>
      </c>
      <c r="E387" s="4" t="s">
        <v>42</v>
      </c>
      <c r="F387" s="4" t="s">
        <v>43</v>
      </c>
      <c r="G387" s="4" t="s">
        <v>97</v>
      </c>
      <c r="H387" s="4" t="str">
        <f>TRIM(CLEAN(SUBSTITUTE(Table1_1[[#This Row],[Salesperson]],"   "," ")))</f>
        <v>Rohit Malhotra</v>
      </c>
      <c r="I387" s="4" t="s">
        <v>92</v>
      </c>
      <c r="J387" s="4" t="s">
        <v>46</v>
      </c>
      <c r="K387" s="4" t="s">
        <v>179</v>
      </c>
      <c r="L387" s="4" t="s">
        <v>180</v>
      </c>
      <c r="M387" s="4" t="s">
        <v>40</v>
      </c>
      <c r="N387" s="4" t="s">
        <v>94</v>
      </c>
      <c r="O387" s="4">
        <v>18</v>
      </c>
      <c r="P387" s="7">
        <v>3690</v>
      </c>
      <c r="Q387" s="8">
        <v>0.12</v>
      </c>
      <c r="R387" s="7">
        <v>2600</v>
      </c>
      <c r="S387" s="7">
        <f>Table1_1[[#This Row],[Units Sold]]*Table1_1[[#This Row],[Unit Price]]*(1-Table1_1[[#This Row],[Discount %]])</f>
        <v>58449.599999999999</v>
      </c>
      <c r="T387" s="7">
        <f>Table1_1[[#This Row],[Units Sold]]*Table1_1[[#This Row],[Unit Cost]]</f>
        <v>46800</v>
      </c>
      <c r="U387" s="7">
        <f>Table1_1[[#This Row],[Calculated sales]]-Table1_1[[#This Row],[Total cost]]</f>
        <v>11649.599999999999</v>
      </c>
      <c r="V387" s="4">
        <f>IFERROR(Table1_1[[#This Row],[Profit/Loss]]/Table1_1[[#This Row],[Calculated sales]],0)</f>
        <v>0.199310174919931</v>
      </c>
    </row>
    <row r="388" spans="1:22" x14ac:dyDescent="0.25">
      <c r="A388" s="4" t="s">
        <v>534</v>
      </c>
      <c r="B388" s="5">
        <v>45514</v>
      </c>
      <c r="C388" s="4">
        <f>YEAR(Table1_1[[#This Row],[Order Dates]])</f>
        <v>2024</v>
      </c>
      <c r="D388" s="6">
        <f>MONTH(Table1_1[[#This Row],[Order Dates]])</f>
        <v>8</v>
      </c>
      <c r="E388" s="4" t="s">
        <v>42</v>
      </c>
      <c r="F388" s="4" t="s">
        <v>123</v>
      </c>
      <c r="G388" s="4" t="s">
        <v>44</v>
      </c>
      <c r="H388" s="4" t="str">
        <f>TRIM(CLEAN(SUBSTITUTE(Table1_1[[#This Row],[Salesperson]],"   "," ")))</f>
        <v>Simran Kaur</v>
      </c>
      <c r="I388" s="4" t="s">
        <v>52</v>
      </c>
      <c r="J388" s="4" t="s">
        <v>20</v>
      </c>
      <c r="K388" s="4" t="s">
        <v>109</v>
      </c>
      <c r="L388" s="4" t="s">
        <v>171</v>
      </c>
      <c r="M388" s="4" t="s">
        <v>40</v>
      </c>
      <c r="N388" s="4" t="s">
        <v>24</v>
      </c>
      <c r="O388" s="4">
        <v>1</v>
      </c>
      <c r="P388" s="7">
        <v>22950</v>
      </c>
      <c r="Q388" s="8">
        <v>0.05</v>
      </c>
      <c r="R388" s="7">
        <v>15940</v>
      </c>
      <c r="S388" s="7">
        <f>Table1_1[[#This Row],[Units Sold]]*Table1_1[[#This Row],[Unit Price]]*(1-Table1_1[[#This Row],[Discount %]])</f>
        <v>21802.5</v>
      </c>
      <c r="T388" s="7">
        <f>Table1_1[[#This Row],[Units Sold]]*Table1_1[[#This Row],[Unit Cost]]</f>
        <v>15940</v>
      </c>
      <c r="U388" s="7">
        <f>Table1_1[[#This Row],[Calculated sales]]-Table1_1[[#This Row],[Total cost]]</f>
        <v>5862.5</v>
      </c>
      <c r="V388" s="4">
        <f>IFERROR(Table1_1[[#This Row],[Profit/Loss]]/Table1_1[[#This Row],[Calculated sales]],0)</f>
        <v>0.2688911822038757</v>
      </c>
    </row>
    <row r="389" spans="1:22" x14ac:dyDescent="0.25">
      <c r="A389" s="4" t="s">
        <v>535</v>
      </c>
      <c r="B389" s="5">
        <v>45514</v>
      </c>
      <c r="C389" s="4">
        <f>YEAR(Table1_1[[#This Row],[Order Dates]])</f>
        <v>2024</v>
      </c>
      <c r="D389" s="6">
        <f>MONTH(Table1_1[[#This Row],[Order Dates]])</f>
        <v>8</v>
      </c>
      <c r="E389" s="4" t="s">
        <v>42</v>
      </c>
      <c r="F389" s="4" t="s">
        <v>123</v>
      </c>
      <c r="G389" s="4" t="s">
        <v>44</v>
      </c>
      <c r="H389" s="4" t="str">
        <f>TRIM(CLEAN(SUBSTITUTE(Table1_1[[#This Row],[Salesperson]],"   "," ")))</f>
        <v>Simran Kaur</v>
      </c>
      <c r="I389" s="4" t="s">
        <v>45</v>
      </c>
      <c r="J389" s="4" t="s">
        <v>83</v>
      </c>
      <c r="K389" s="4" t="s">
        <v>184</v>
      </c>
      <c r="L389" s="4" t="s">
        <v>1679</v>
      </c>
      <c r="M389" s="4" t="s">
        <v>23</v>
      </c>
      <c r="N389" s="4" t="s">
        <v>24</v>
      </c>
      <c r="O389" s="4">
        <v>15</v>
      </c>
      <c r="P389" s="7">
        <v>4520</v>
      </c>
      <c r="Q389" s="8">
        <v>0.05</v>
      </c>
      <c r="R389" s="7">
        <v>2830</v>
      </c>
      <c r="S389" s="7">
        <f>Table1_1[[#This Row],[Units Sold]]*Table1_1[[#This Row],[Unit Price]]*(1-Table1_1[[#This Row],[Discount %]])</f>
        <v>64410</v>
      </c>
      <c r="T389" s="7">
        <f>Table1_1[[#This Row],[Units Sold]]*Table1_1[[#This Row],[Unit Cost]]</f>
        <v>42450</v>
      </c>
      <c r="U389" s="7">
        <f>Table1_1[[#This Row],[Calculated sales]]-Table1_1[[#This Row],[Total cost]]</f>
        <v>21960</v>
      </c>
      <c r="V389" s="4">
        <f>IFERROR(Table1_1[[#This Row],[Profit/Loss]]/Table1_1[[#This Row],[Calculated sales]],0)</f>
        <v>0.34094084769445737</v>
      </c>
    </row>
    <row r="390" spans="1:22" x14ac:dyDescent="0.25">
      <c r="A390" s="4" t="s">
        <v>536</v>
      </c>
      <c r="B390" s="5">
        <v>45515</v>
      </c>
      <c r="C390" s="4">
        <f>YEAR(Table1_1[[#This Row],[Order Dates]])</f>
        <v>2024</v>
      </c>
      <c r="D390" s="6">
        <f>MONTH(Table1_1[[#This Row],[Order Dates]])</f>
        <v>8</v>
      </c>
      <c r="E390" s="4" t="s">
        <v>56</v>
      </c>
      <c r="F390" s="4" t="s">
        <v>143</v>
      </c>
      <c r="G390" s="4" t="s">
        <v>58</v>
      </c>
      <c r="H390" s="4" t="str">
        <f>TRIM(CLEAN(SUBSTITUTE(Table1_1[[#This Row],[Salesperson]],"   "," ")))</f>
        <v>Karthik Raman</v>
      </c>
      <c r="I390" s="4" t="s">
        <v>19</v>
      </c>
      <c r="J390" s="4" t="s">
        <v>20</v>
      </c>
      <c r="K390" s="4" t="s">
        <v>109</v>
      </c>
      <c r="L390" s="4" t="s">
        <v>159</v>
      </c>
      <c r="M390" s="4" t="s">
        <v>49</v>
      </c>
      <c r="N390" s="4" t="s">
        <v>24</v>
      </c>
      <c r="O390" s="4">
        <v>5</v>
      </c>
      <c r="P390" s="7">
        <v>19100</v>
      </c>
      <c r="Q390" s="8">
        <v>0.25</v>
      </c>
      <c r="R390" s="7">
        <v>12730</v>
      </c>
      <c r="S390" s="7">
        <f>Table1_1[[#This Row],[Units Sold]]*Table1_1[[#This Row],[Unit Price]]*(1-Table1_1[[#This Row],[Discount %]])</f>
        <v>71625</v>
      </c>
      <c r="T390" s="7">
        <f>Table1_1[[#This Row],[Units Sold]]*Table1_1[[#This Row],[Unit Cost]]</f>
        <v>63650</v>
      </c>
      <c r="U390" s="7">
        <f>Table1_1[[#This Row],[Calculated sales]]-Table1_1[[#This Row],[Total cost]]</f>
        <v>7975</v>
      </c>
      <c r="V390" s="4">
        <f>IFERROR(Table1_1[[#This Row],[Profit/Loss]]/Table1_1[[#This Row],[Calculated sales]],0)</f>
        <v>0.11134380453752181</v>
      </c>
    </row>
    <row r="391" spans="1:22" x14ac:dyDescent="0.25">
      <c r="A391" s="4" t="s">
        <v>537</v>
      </c>
      <c r="B391" s="5">
        <v>45515</v>
      </c>
      <c r="C391" s="4">
        <f>YEAR(Table1_1[[#This Row],[Order Dates]])</f>
        <v>2024</v>
      </c>
      <c r="D391" s="6">
        <f>MONTH(Table1_1[[#This Row],[Order Dates]])</f>
        <v>8</v>
      </c>
      <c r="E391" s="4" t="s">
        <v>56</v>
      </c>
      <c r="F391" s="4" t="s">
        <v>57</v>
      </c>
      <c r="G391" s="4" t="s">
        <v>134</v>
      </c>
      <c r="H391" s="4" t="str">
        <f>TRIM(CLEAN(SUBSTITUTE(Table1_1[[#This Row],[Salesperson]],"   "," ")))</f>
        <v>Divya Nair</v>
      </c>
      <c r="I391" s="4" t="s">
        <v>92</v>
      </c>
      <c r="J391" s="4" t="s">
        <v>59</v>
      </c>
      <c r="K391" s="4" t="s">
        <v>60</v>
      </c>
      <c r="L391" s="4" t="s">
        <v>200</v>
      </c>
      <c r="M391" s="4" t="s">
        <v>40</v>
      </c>
      <c r="N391" s="4" t="s">
        <v>24</v>
      </c>
      <c r="O391" s="4">
        <v>9</v>
      </c>
      <c r="P391" s="7">
        <v>8810</v>
      </c>
      <c r="Q391" s="8">
        <v>0.18</v>
      </c>
      <c r="R391" s="7">
        <v>6050</v>
      </c>
      <c r="S391" s="7">
        <f>Table1_1[[#This Row],[Units Sold]]*Table1_1[[#This Row],[Unit Price]]*(1-Table1_1[[#This Row],[Discount %]])</f>
        <v>65017.8</v>
      </c>
      <c r="T391" s="7">
        <f>Table1_1[[#This Row],[Units Sold]]*Table1_1[[#This Row],[Unit Cost]]</f>
        <v>54450</v>
      </c>
      <c r="U391" s="7">
        <f>Table1_1[[#This Row],[Calculated sales]]-Table1_1[[#This Row],[Total cost]]</f>
        <v>10567.800000000003</v>
      </c>
      <c r="V391" s="4">
        <f>IFERROR(Table1_1[[#This Row],[Profit/Loss]]/Table1_1[[#This Row],[Calculated sales]],0)</f>
        <v>0.16253702832147507</v>
      </c>
    </row>
    <row r="392" spans="1:22" x14ac:dyDescent="0.25">
      <c r="A392" s="4" t="s">
        <v>538</v>
      </c>
      <c r="B392" s="5">
        <v>45516</v>
      </c>
      <c r="C392" s="4">
        <f>YEAR(Table1_1[[#This Row],[Order Dates]])</f>
        <v>2024</v>
      </c>
      <c r="D392" s="6">
        <f>MONTH(Table1_1[[#This Row],[Order Dates]])</f>
        <v>8</v>
      </c>
      <c r="E392" s="4" t="s">
        <v>56</v>
      </c>
      <c r="F392" s="4" t="s">
        <v>57</v>
      </c>
      <c r="G392" s="4" t="s">
        <v>134</v>
      </c>
      <c r="H392" s="4" t="str">
        <f>TRIM(CLEAN(SUBSTITUTE(Table1_1[[#This Row],[Salesperson]],"   "," ")))</f>
        <v>Divya Nair</v>
      </c>
      <c r="I392" s="4" t="s">
        <v>19</v>
      </c>
      <c r="J392" s="4" t="s">
        <v>20</v>
      </c>
      <c r="K392" s="4" t="s">
        <v>33</v>
      </c>
      <c r="L392" s="4" t="s">
        <v>1677</v>
      </c>
      <c r="M392" s="4" t="s">
        <v>40</v>
      </c>
      <c r="N392" s="4" t="s">
        <v>24</v>
      </c>
      <c r="O392" s="4">
        <v>4</v>
      </c>
      <c r="P392" s="7">
        <v>59750</v>
      </c>
      <c r="Q392" s="8">
        <v>0</v>
      </c>
      <c r="R392" s="7">
        <v>41570</v>
      </c>
      <c r="S392" s="7">
        <f>Table1_1[[#This Row],[Units Sold]]*Table1_1[[#This Row],[Unit Price]]*(1-Table1_1[[#This Row],[Discount %]])</f>
        <v>239000</v>
      </c>
      <c r="T392" s="7">
        <f>Table1_1[[#This Row],[Units Sold]]*Table1_1[[#This Row],[Unit Cost]]</f>
        <v>166280</v>
      </c>
      <c r="U392" s="7">
        <f>Table1_1[[#This Row],[Calculated sales]]-Table1_1[[#This Row],[Total cost]]</f>
        <v>72720</v>
      </c>
      <c r="V392" s="4">
        <f>IFERROR(Table1_1[[#This Row],[Profit/Loss]]/Table1_1[[#This Row],[Calculated sales]],0)</f>
        <v>0.30426778242677827</v>
      </c>
    </row>
    <row r="393" spans="1:22" x14ac:dyDescent="0.25">
      <c r="A393" s="4" t="s">
        <v>539</v>
      </c>
      <c r="B393" s="5">
        <v>45516</v>
      </c>
      <c r="C393" s="4">
        <f>YEAR(Table1_1[[#This Row],[Order Dates]])</f>
        <v>2024</v>
      </c>
      <c r="D393" s="6">
        <f>MONTH(Table1_1[[#This Row],[Order Dates]])</f>
        <v>8</v>
      </c>
      <c r="E393" s="4" t="s">
        <v>37</v>
      </c>
      <c r="F393" s="4" t="s">
        <v>115</v>
      </c>
      <c r="G393" s="4" t="s">
        <v>39</v>
      </c>
      <c r="H393" s="4" t="str">
        <f>TRIM(CLEAN(SUBSTITUTE(Table1_1[[#This Row],[Salesperson]],"   "," ")))</f>
        <v>Sourav Das</v>
      </c>
      <c r="I393" s="4" t="s">
        <v>19</v>
      </c>
      <c r="J393" s="4" t="s">
        <v>59</v>
      </c>
      <c r="K393" s="4" t="s">
        <v>60</v>
      </c>
      <c r="L393" s="4" t="s">
        <v>61</v>
      </c>
      <c r="M393" s="4" t="s">
        <v>23</v>
      </c>
      <c r="N393" s="4" t="s">
        <v>94</v>
      </c>
      <c r="O393" s="4">
        <v>7</v>
      </c>
      <c r="P393" s="7">
        <v>25140</v>
      </c>
      <c r="Q393" s="8">
        <v>0.08</v>
      </c>
      <c r="R393" s="7">
        <v>18680</v>
      </c>
      <c r="S393" s="7">
        <f>Table1_1[[#This Row],[Units Sold]]*Table1_1[[#This Row],[Unit Price]]*(1-Table1_1[[#This Row],[Discount %]])</f>
        <v>161901.6</v>
      </c>
      <c r="T393" s="7">
        <f>Table1_1[[#This Row],[Units Sold]]*Table1_1[[#This Row],[Unit Cost]]</f>
        <v>130760</v>
      </c>
      <c r="U393" s="7">
        <f>Table1_1[[#This Row],[Calculated sales]]-Table1_1[[#This Row],[Total cost]]</f>
        <v>31141.600000000006</v>
      </c>
      <c r="V393" s="4">
        <f>IFERROR(Table1_1[[#This Row],[Profit/Loss]]/Table1_1[[#This Row],[Calculated sales]],0)</f>
        <v>0.19234893293210201</v>
      </c>
    </row>
    <row r="394" spans="1:22" x14ac:dyDescent="0.25">
      <c r="A394" s="4" t="s">
        <v>540</v>
      </c>
      <c r="B394" s="5">
        <v>45517</v>
      </c>
      <c r="C394" s="4">
        <f>YEAR(Table1_1[[#This Row],[Order Dates]])</f>
        <v>2024</v>
      </c>
      <c r="D394" s="6">
        <f>MONTH(Table1_1[[#This Row],[Order Dates]])</f>
        <v>8</v>
      </c>
      <c r="E394" s="4" t="s">
        <v>16</v>
      </c>
      <c r="F394" s="4" t="s">
        <v>191</v>
      </c>
      <c r="G394" s="4" t="s">
        <v>26</v>
      </c>
      <c r="H394" s="4" t="str">
        <f>TRIM(CLEAN(SUBSTITUTE(Table1_1[[#This Row],[Salesperson]],"   "," ")))</f>
        <v>Prateek Shah</v>
      </c>
      <c r="I394" s="4" t="s">
        <v>52</v>
      </c>
      <c r="J394" s="4" t="s">
        <v>20</v>
      </c>
      <c r="K394" s="4" t="s">
        <v>21</v>
      </c>
      <c r="L394" s="4" t="s">
        <v>1682</v>
      </c>
      <c r="M394" s="4" t="s">
        <v>23</v>
      </c>
      <c r="N394" s="4" t="s">
        <v>24</v>
      </c>
      <c r="O394" s="4">
        <v>12</v>
      </c>
      <c r="P394" s="7">
        <v>9780</v>
      </c>
      <c r="Q394" s="8">
        <v>0.18</v>
      </c>
      <c r="R394" s="7">
        <v>5960</v>
      </c>
      <c r="S394" s="7">
        <f>Table1_1[[#This Row],[Units Sold]]*Table1_1[[#This Row],[Unit Price]]*(1-Table1_1[[#This Row],[Discount %]])</f>
        <v>96235.200000000012</v>
      </c>
      <c r="T394" s="7">
        <f>Table1_1[[#This Row],[Units Sold]]*Table1_1[[#This Row],[Unit Cost]]</f>
        <v>71520</v>
      </c>
      <c r="U394" s="7">
        <f>Table1_1[[#This Row],[Calculated sales]]-Table1_1[[#This Row],[Total cost]]</f>
        <v>24715.200000000012</v>
      </c>
      <c r="V394" s="4">
        <f>IFERROR(Table1_1[[#This Row],[Profit/Loss]]/Table1_1[[#This Row],[Calculated sales]],0)</f>
        <v>0.25682078906678646</v>
      </c>
    </row>
    <row r="395" spans="1:22" x14ac:dyDescent="0.25">
      <c r="A395" s="4" t="s">
        <v>541</v>
      </c>
      <c r="B395" s="5">
        <v>45518</v>
      </c>
      <c r="C395" s="4">
        <f>YEAR(Table1_1[[#This Row],[Order Dates]])</f>
        <v>2024</v>
      </c>
      <c r="D395" s="6">
        <f>MONTH(Table1_1[[#This Row],[Order Dates]])</f>
        <v>8</v>
      </c>
      <c r="E395" s="4" t="s">
        <v>56</v>
      </c>
      <c r="F395" s="4" t="s">
        <v>103</v>
      </c>
      <c r="G395" s="4" t="s">
        <v>58</v>
      </c>
      <c r="H395" s="4" t="str">
        <f>TRIM(CLEAN(SUBSTITUTE(Table1_1[[#This Row],[Salesperson]],"   "," ")))</f>
        <v>Karthik Raman</v>
      </c>
      <c r="I395" s="4" t="s">
        <v>19</v>
      </c>
      <c r="J395" s="4" t="s">
        <v>59</v>
      </c>
      <c r="K395" s="4" t="s">
        <v>60</v>
      </c>
      <c r="L395" s="4" t="s">
        <v>200</v>
      </c>
      <c r="M395" s="4" t="s">
        <v>40</v>
      </c>
      <c r="N395" s="4" t="s">
        <v>24</v>
      </c>
      <c r="O395" s="4">
        <v>3</v>
      </c>
      <c r="P395" s="7">
        <v>8340</v>
      </c>
      <c r="Q395" s="8">
        <v>0.1</v>
      </c>
      <c r="R395" s="7">
        <v>4920</v>
      </c>
      <c r="S395" s="7">
        <f>Table1_1[[#This Row],[Units Sold]]*Table1_1[[#This Row],[Unit Price]]*(1-Table1_1[[#This Row],[Discount %]])</f>
        <v>22518</v>
      </c>
      <c r="T395" s="7">
        <f>Table1_1[[#This Row],[Units Sold]]*Table1_1[[#This Row],[Unit Cost]]</f>
        <v>14760</v>
      </c>
      <c r="U395" s="7">
        <f>Table1_1[[#This Row],[Calculated sales]]-Table1_1[[#This Row],[Total cost]]</f>
        <v>7758</v>
      </c>
      <c r="V395" s="4">
        <f>IFERROR(Table1_1[[#This Row],[Profit/Loss]]/Table1_1[[#This Row],[Calculated sales]],0)</f>
        <v>0.34452438049560352</v>
      </c>
    </row>
    <row r="396" spans="1:22" x14ac:dyDescent="0.25">
      <c r="A396" s="4" t="s">
        <v>542</v>
      </c>
      <c r="B396" s="5">
        <v>45519</v>
      </c>
      <c r="C396" s="4">
        <f>YEAR(Table1_1[[#This Row],[Order Dates]])</f>
        <v>2024</v>
      </c>
      <c r="D396" s="6">
        <f>MONTH(Table1_1[[#This Row],[Order Dates]])</f>
        <v>8</v>
      </c>
      <c r="E396" s="4" t="s">
        <v>76</v>
      </c>
      <c r="F396" s="4" t="s">
        <v>150</v>
      </c>
      <c r="G396" s="4" t="s">
        <v>170</v>
      </c>
      <c r="H396" s="4" t="str">
        <f>TRIM(CLEAN(SUBSTITUTE(Table1_1[[#This Row],[Salesperson]],"   "," ")))</f>
        <v>Manish Tiwari</v>
      </c>
      <c r="I396" s="4" t="s">
        <v>19</v>
      </c>
      <c r="J396" s="4" t="s">
        <v>83</v>
      </c>
      <c r="K396" s="4" t="s">
        <v>84</v>
      </c>
      <c r="L396" s="4" t="s">
        <v>292</v>
      </c>
      <c r="M396" s="4" t="s">
        <v>40</v>
      </c>
      <c r="N396" s="4" t="s">
        <v>119</v>
      </c>
      <c r="O396" s="4">
        <v>4</v>
      </c>
      <c r="P396" s="7">
        <v>44560</v>
      </c>
      <c r="Q396" s="8">
        <v>0.08</v>
      </c>
      <c r="R396" s="7">
        <v>32270</v>
      </c>
      <c r="S396" s="7">
        <f>Table1_1[[#This Row],[Units Sold]]*Table1_1[[#This Row],[Unit Price]]*(1-Table1_1[[#This Row],[Discount %]])</f>
        <v>163980.80000000002</v>
      </c>
      <c r="T396" s="7">
        <f>Table1_1[[#This Row],[Units Sold]]*Table1_1[[#This Row],[Unit Cost]]</f>
        <v>129080</v>
      </c>
      <c r="U396" s="7">
        <f>Table1_1[[#This Row],[Calculated sales]]-Table1_1[[#This Row],[Total cost]]</f>
        <v>34900.800000000017</v>
      </c>
      <c r="V396" s="4">
        <f>IFERROR(Table1_1[[#This Row],[Profit/Loss]]/Table1_1[[#This Row],[Calculated sales]],0)</f>
        <v>0.21283467332760916</v>
      </c>
    </row>
    <row r="397" spans="1:22" x14ac:dyDescent="0.25">
      <c r="A397" s="4" t="s">
        <v>543</v>
      </c>
      <c r="B397" s="5">
        <v>45519</v>
      </c>
      <c r="C397" s="4">
        <f>YEAR(Table1_1[[#This Row],[Order Dates]])</f>
        <v>2024</v>
      </c>
      <c r="D397" s="6">
        <f>MONTH(Table1_1[[#This Row],[Order Dates]])</f>
        <v>8</v>
      </c>
      <c r="E397" s="4" t="s">
        <v>16</v>
      </c>
      <c r="F397" s="4" t="s">
        <v>153</v>
      </c>
      <c r="G397" s="4" t="s">
        <v>32</v>
      </c>
      <c r="H397" s="4" t="str">
        <f>TRIM(CLEAN(SUBSTITUTE(Table1_1[[#This Row],[Salesperson]],"   "," ")))</f>
        <v>Neha Deshpande</v>
      </c>
      <c r="I397" s="4" t="s">
        <v>52</v>
      </c>
      <c r="J397" s="4" t="s">
        <v>27</v>
      </c>
      <c r="K397" s="4" t="s">
        <v>53</v>
      </c>
      <c r="L397" s="4" t="s">
        <v>1676</v>
      </c>
      <c r="M397" s="4" t="s">
        <v>40</v>
      </c>
      <c r="N397" s="4" t="s">
        <v>24</v>
      </c>
      <c r="O397" s="4">
        <v>3</v>
      </c>
      <c r="P397" s="7">
        <v>36110</v>
      </c>
      <c r="Q397" s="8">
        <v>0.05</v>
      </c>
      <c r="R397" s="7">
        <v>26300</v>
      </c>
      <c r="S397" s="7">
        <f>Table1_1[[#This Row],[Units Sold]]*Table1_1[[#This Row],[Unit Price]]*(1-Table1_1[[#This Row],[Discount %]])</f>
        <v>102913.5</v>
      </c>
      <c r="T397" s="7">
        <f>Table1_1[[#This Row],[Units Sold]]*Table1_1[[#This Row],[Unit Cost]]</f>
        <v>78900</v>
      </c>
      <c r="U397" s="7">
        <f>Table1_1[[#This Row],[Calculated sales]]-Table1_1[[#This Row],[Total cost]]</f>
        <v>24013.5</v>
      </c>
      <c r="V397" s="4">
        <f>IFERROR(Table1_1[[#This Row],[Profit/Loss]]/Table1_1[[#This Row],[Calculated sales]],0)</f>
        <v>0.23333673424769344</v>
      </c>
    </row>
    <row r="398" spans="1:22" x14ac:dyDescent="0.25">
      <c r="A398" s="4" t="s">
        <v>544</v>
      </c>
      <c r="B398" s="5">
        <v>45520</v>
      </c>
      <c r="C398" s="4">
        <f>YEAR(Table1_1[[#This Row],[Order Dates]])</f>
        <v>2024</v>
      </c>
      <c r="D398" s="6">
        <f>MONTH(Table1_1[[#This Row],[Order Dates]])</f>
        <v>8</v>
      </c>
      <c r="E398" s="4" t="s">
        <v>76</v>
      </c>
      <c r="F398" s="4" t="s">
        <v>125</v>
      </c>
      <c r="G398" s="4" t="s">
        <v>78</v>
      </c>
      <c r="H398" s="4" t="str">
        <f>TRIM(CLEAN(SUBSTITUTE(Table1_1[[#This Row],[Salesperson]],"   "," ")))</f>
        <v>Pooja Chouhan</v>
      </c>
      <c r="I398" s="4" t="s">
        <v>19</v>
      </c>
      <c r="J398" s="4" t="s">
        <v>83</v>
      </c>
      <c r="K398" s="4" t="s">
        <v>84</v>
      </c>
      <c r="L398" s="4" t="s">
        <v>292</v>
      </c>
      <c r="M398" s="4" t="s">
        <v>40</v>
      </c>
      <c r="N398" s="4" t="s">
        <v>35</v>
      </c>
      <c r="O398" s="4">
        <v>3</v>
      </c>
      <c r="P398" s="7">
        <v>40600</v>
      </c>
      <c r="Q398" s="8">
        <v>0.25</v>
      </c>
      <c r="R398" s="7">
        <v>25400</v>
      </c>
      <c r="S398" s="7">
        <f>Table1_1[[#This Row],[Units Sold]]*Table1_1[[#This Row],[Unit Price]]*(1-Table1_1[[#This Row],[Discount %]])</f>
        <v>91350</v>
      </c>
      <c r="T398" s="7">
        <f>Table1_1[[#This Row],[Units Sold]]*Table1_1[[#This Row],[Unit Cost]]</f>
        <v>76200</v>
      </c>
      <c r="U398" s="7">
        <f>Table1_1[[#This Row],[Calculated sales]]-Table1_1[[#This Row],[Total cost]]</f>
        <v>15150</v>
      </c>
      <c r="V398" s="4">
        <f>IFERROR(Table1_1[[#This Row],[Profit/Loss]]/Table1_1[[#This Row],[Calculated sales]],0)</f>
        <v>0.16584564860426929</v>
      </c>
    </row>
    <row r="399" spans="1:22" x14ac:dyDescent="0.25">
      <c r="A399" s="4" t="s">
        <v>545</v>
      </c>
      <c r="B399" s="5">
        <v>45520</v>
      </c>
      <c r="C399" s="4">
        <f>YEAR(Table1_1[[#This Row],[Order Dates]])</f>
        <v>2024</v>
      </c>
      <c r="D399" s="6">
        <f>MONTH(Table1_1[[#This Row],[Order Dates]])</f>
        <v>8</v>
      </c>
      <c r="E399" s="4" t="s">
        <v>56</v>
      </c>
      <c r="F399" s="4" t="s">
        <v>127</v>
      </c>
      <c r="G399" s="4" t="s">
        <v>91</v>
      </c>
      <c r="H399" s="4" t="str">
        <f>TRIM(CLEAN(SUBSTITUTE(Table1_1[[#This Row],[Salesperson]],"   "," ")))</f>
        <v>Anjali Menon</v>
      </c>
      <c r="I399" s="4" t="s">
        <v>19</v>
      </c>
      <c r="J399" s="4" t="s">
        <v>46</v>
      </c>
      <c r="K399" s="4" t="s">
        <v>179</v>
      </c>
      <c r="L399" s="4" t="s">
        <v>221</v>
      </c>
      <c r="M399" s="4" t="s">
        <v>40</v>
      </c>
      <c r="N399" s="4" t="s">
        <v>24</v>
      </c>
      <c r="O399" s="4">
        <v>39</v>
      </c>
      <c r="P399" s="7">
        <v>1630</v>
      </c>
      <c r="Q399" s="8">
        <v>0.08</v>
      </c>
      <c r="R399" s="7">
        <v>1140</v>
      </c>
      <c r="S399" s="7">
        <f>Table1_1[[#This Row],[Units Sold]]*Table1_1[[#This Row],[Unit Price]]*(1-Table1_1[[#This Row],[Discount %]])</f>
        <v>58484.4</v>
      </c>
      <c r="T399" s="7">
        <f>Table1_1[[#This Row],[Units Sold]]*Table1_1[[#This Row],[Unit Cost]]</f>
        <v>44460</v>
      </c>
      <c r="U399" s="7">
        <f>Table1_1[[#This Row],[Calculated sales]]-Table1_1[[#This Row],[Total cost]]</f>
        <v>14024.400000000001</v>
      </c>
      <c r="V399" s="4">
        <f>IFERROR(Table1_1[[#This Row],[Profit/Loss]]/Table1_1[[#This Row],[Calculated sales]],0)</f>
        <v>0.23979727927447322</v>
      </c>
    </row>
    <row r="400" spans="1:22" x14ac:dyDescent="0.25">
      <c r="A400" s="4" t="s">
        <v>546</v>
      </c>
      <c r="B400" s="5">
        <v>45520</v>
      </c>
      <c r="C400" s="4">
        <f>YEAR(Table1_1[[#This Row],[Order Dates]])</f>
        <v>2024</v>
      </c>
      <c r="D400" s="6">
        <f>MONTH(Table1_1[[#This Row],[Order Dates]])</f>
        <v>8</v>
      </c>
      <c r="E400" s="4" t="s">
        <v>16</v>
      </c>
      <c r="F400" s="4" t="s">
        <v>31</v>
      </c>
      <c r="G400" s="4" t="s">
        <v>18</v>
      </c>
      <c r="H400" s="4" t="str">
        <f>TRIM(CLEAN(SUBSTITUTE(Table1_1[[#This Row],[Salesperson]],"   "," ")))</f>
        <v>Imran Sheikh</v>
      </c>
      <c r="I400" s="4" t="s">
        <v>92</v>
      </c>
      <c r="J400" s="4" t="s">
        <v>46</v>
      </c>
      <c r="K400" s="4" t="s">
        <v>179</v>
      </c>
      <c r="L400" s="4" t="s">
        <v>180</v>
      </c>
      <c r="M400" s="4" t="s">
        <v>23</v>
      </c>
      <c r="N400" s="4" t="s">
        <v>24</v>
      </c>
      <c r="O400" s="4">
        <v>16</v>
      </c>
      <c r="P400" s="7">
        <v>3880</v>
      </c>
      <c r="Q400" s="8">
        <v>0.12</v>
      </c>
      <c r="R400" s="7">
        <v>2730</v>
      </c>
      <c r="S400" s="7">
        <f>Table1_1[[#This Row],[Units Sold]]*Table1_1[[#This Row],[Unit Price]]*(1-Table1_1[[#This Row],[Discount %]])</f>
        <v>54630.400000000001</v>
      </c>
      <c r="T400" s="7">
        <f>Table1_1[[#This Row],[Units Sold]]*Table1_1[[#This Row],[Unit Cost]]</f>
        <v>43680</v>
      </c>
      <c r="U400" s="7">
        <f>Table1_1[[#This Row],[Calculated sales]]-Table1_1[[#This Row],[Total cost]]</f>
        <v>10950.400000000001</v>
      </c>
      <c r="V400" s="4">
        <f>IFERROR(Table1_1[[#This Row],[Profit/Loss]]/Table1_1[[#This Row],[Calculated sales]],0)</f>
        <v>0.20044517338331774</v>
      </c>
    </row>
    <row r="401" spans="1:22" x14ac:dyDescent="0.25">
      <c r="A401" s="4" t="s">
        <v>547</v>
      </c>
      <c r="B401" s="5">
        <v>45520</v>
      </c>
      <c r="C401" s="4">
        <f>YEAR(Table1_1[[#This Row],[Order Dates]])</f>
        <v>2024</v>
      </c>
      <c r="D401" s="6">
        <f>MONTH(Table1_1[[#This Row],[Order Dates]])</f>
        <v>8</v>
      </c>
      <c r="E401" s="4" t="s">
        <v>42</v>
      </c>
      <c r="F401" s="4" t="s">
        <v>43</v>
      </c>
      <c r="G401" s="4" t="s">
        <v>97</v>
      </c>
      <c r="H401" s="4" t="str">
        <f>TRIM(CLEAN(SUBSTITUTE(Table1_1[[#This Row],[Salesperson]],"   "," ")))</f>
        <v>Rohit Malhotra</v>
      </c>
      <c r="I401" s="4" t="s">
        <v>45</v>
      </c>
      <c r="J401" s="4" t="s">
        <v>20</v>
      </c>
      <c r="K401" s="4" t="s">
        <v>21</v>
      </c>
      <c r="L401" s="4" t="s">
        <v>1667</v>
      </c>
      <c r="M401" s="4" t="s">
        <v>40</v>
      </c>
      <c r="N401" s="4" t="s">
        <v>24</v>
      </c>
      <c r="O401" s="4">
        <v>74</v>
      </c>
      <c r="P401" s="7">
        <v>1810</v>
      </c>
      <c r="Q401" s="8">
        <v>0.05</v>
      </c>
      <c r="R401" s="7">
        <v>1340</v>
      </c>
      <c r="S401" s="7">
        <f>Table1_1[[#This Row],[Units Sold]]*Table1_1[[#This Row],[Unit Price]]*(1-Table1_1[[#This Row],[Discount %]])</f>
        <v>127243</v>
      </c>
      <c r="T401" s="7">
        <f>Table1_1[[#This Row],[Units Sold]]*Table1_1[[#This Row],[Unit Cost]]</f>
        <v>99160</v>
      </c>
      <c r="U401" s="7">
        <f>Table1_1[[#This Row],[Calculated sales]]-Table1_1[[#This Row],[Total cost]]</f>
        <v>28083</v>
      </c>
      <c r="V401" s="4">
        <f>IFERROR(Table1_1[[#This Row],[Profit/Loss]]/Table1_1[[#This Row],[Calculated sales]],0)</f>
        <v>0.22070369293399245</v>
      </c>
    </row>
    <row r="402" spans="1:22" x14ac:dyDescent="0.25">
      <c r="A402" s="4" t="s">
        <v>548</v>
      </c>
      <c r="B402" s="5">
        <v>45520</v>
      </c>
      <c r="C402" s="4">
        <f>YEAR(Table1_1[[#This Row],[Order Dates]])</f>
        <v>2024</v>
      </c>
      <c r="D402" s="6">
        <f>MONTH(Table1_1[[#This Row],[Order Dates]])</f>
        <v>8</v>
      </c>
      <c r="E402" s="4" t="s">
        <v>76</v>
      </c>
      <c r="F402" s="4" t="s">
        <v>77</v>
      </c>
      <c r="G402" s="4" t="s">
        <v>170</v>
      </c>
      <c r="H402" s="4" t="str">
        <f>TRIM(CLEAN(SUBSTITUTE(Table1_1[[#This Row],[Salesperson]],"   "," ")))</f>
        <v>Manish Tiwari</v>
      </c>
      <c r="I402" s="4" t="s">
        <v>19</v>
      </c>
      <c r="J402" s="4" t="s">
        <v>59</v>
      </c>
      <c r="K402" s="4" t="s">
        <v>69</v>
      </c>
      <c r="L402" s="4" t="s">
        <v>70</v>
      </c>
      <c r="M402" s="4" t="s">
        <v>40</v>
      </c>
      <c r="N402" s="4" t="s">
        <v>24</v>
      </c>
      <c r="O402" s="4">
        <v>7</v>
      </c>
      <c r="P402" s="7">
        <v>27620</v>
      </c>
      <c r="Q402" s="8">
        <v>0.25</v>
      </c>
      <c r="R402" s="7">
        <v>16330</v>
      </c>
      <c r="S402" s="7">
        <f>Table1_1[[#This Row],[Units Sold]]*Table1_1[[#This Row],[Unit Price]]*(1-Table1_1[[#This Row],[Discount %]])</f>
        <v>145005</v>
      </c>
      <c r="T402" s="7">
        <f>Table1_1[[#This Row],[Units Sold]]*Table1_1[[#This Row],[Unit Cost]]</f>
        <v>114310</v>
      </c>
      <c r="U402" s="7">
        <f>Table1_1[[#This Row],[Calculated sales]]-Table1_1[[#This Row],[Total cost]]</f>
        <v>30695</v>
      </c>
      <c r="V402" s="4">
        <f>IFERROR(Table1_1[[#This Row],[Profit/Loss]]/Table1_1[[#This Row],[Calculated sales]],0)</f>
        <v>0.21168235578083514</v>
      </c>
    </row>
    <row r="403" spans="1:22" x14ac:dyDescent="0.25">
      <c r="A403" s="4" t="s">
        <v>549</v>
      </c>
      <c r="B403" s="5">
        <v>45521</v>
      </c>
      <c r="C403" s="4">
        <f>YEAR(Table1_1[[#This Row],[Order Dates]])</f>
        <v>2024</v>
      </c>
      <c r="D403" s="6">
        <f>MONTH(Table1_1[[#This Row],[Order Dates]])</f>
        <v>8</v>
      </c>
      <c r="E403" s="4" t="s">
        <v>42</v>
      </c>
      <c r="F403" s="4" t="s">
        <v>43</v>
      </c>
      <c r="G403" s="4" t="s">
        <v>44</v>
      </c>
      <c r="H403" s="4" t="str">
        <f>TRIM(CLEAN(SUBSTITUTE(Table1_1[[#This Row],[Salesperson]],"   "," ")))</f>
        <v>Simran Kaur</v>
      </c>
      <c r="I403" s="4" t="s">
        <v>52</v>
      </c>
      <c r="J403" s="4" t="s">
        <v>46</v>
      </c>
      <c r="K403" s="4" t="s">
        <v>47</v>
      </c>
      <c r="L403" s="4" t="s">
        <v>259</v>
      </c>
      <c r="M403" s="4" t="s">
        <v>23</v>
      </c>
      <c r="N403" s="4" t="s">
        <v>24</v>
      </c>
      <c r="O403" s="4">
        <v>12</v>
      </c>
      <c r="P403" s="7">
        <v>2830</v>
      </c>
      <c r="Q403" s="8">
        <v>0</v>
      </c>
      <c r="R403" s="7">
        <v>1700</v>
      </c>
      <c r="S403" s="7">
        <f>Table1_1[[#This Row],[Units Sold]]*Table1_1[[#This Row],[Unit Price]]*(1-Table1_1[[#This Row],[Discount %]])</f>
        <v>33960</v>
      </c>
      <c r="T403" s="7">
        <f>Table1_1[[#This Row],[Units Sold]]*Table1_1[[#This Row],[Unit Cost]]</f>
        <v>20400</v>
      </c>
      <c r="U403" s="7">
        <f>Table1_1[[#This Row],[Calculated sales]]-Table1_1[[#This Row],[Total cost]]</f>
        <v>13560</v>
      </c>
      <c r="V403" s="4">
        <f>IFERROR(Table1_1[[#This Row],[Profit/Loss]]/Table1_1[[#This Row],[Calculated sales]],0)</f>
        <v>0.39929328621908128</v>
      </c>
    </row>
    <row r="404" spans="1:22" x14ac:dyDescent="0.25">
      <c r="A404" s="4" t="s">
        <v>550</v>
      </c>
      <c r="B404" s="5">
        <v>45521</v>
      </c>
      <c r="C404" s="4">
        <f>YEAR(Table1_1[[#This Row],[Order Dates]])</f>
        <v>2024</v>
      </c>
      <c r="D404" s="6">
        <f>MONTH(Table1_1[[#This Row],[Order Dates]])</f>
        <v>8</v>
      </c>
      <c r="E404" s="4" t="s">
        <v>56</v>
      </c>
      <c r="F404" s="4" t="s">
        <v>133</v>
      </c>
      <c r="G404" s="4" t="s">
        <v>58</v>
      </c>
      <c r="H404" s="4" t="str">
        <f>TRIM(CLEAN(SUBSTITUTE(Table1_1[[#This Row],[Salesperson]],"   "," ")))</f>
        <v>Karthik Raman</v>
      </c>
      <c r="I404" s="4" t="s">
        <v>19</v>
      </c>
      <c r="J404" s="4" t="s">
        <v>59</v>
      </c>
      <c r="K404" s="4" t="s">
        <v>154</v>
      </c>
      <c r="L404" s="4" t="s">
        <v>249</v>
      </c>
      <c r="M404" s="4" t="s">
        <v>49</v>
      </c>
      <c r="N404" s="4" t="s">
        <v>24</v>
      </c>
      <c r="O404" s="4">
        <v>3</v>
      </c>
      <c r="P404" s="7">
        <v>7010</v>
      </c>
      <c r="Q404" s="8">
        <v>0.12</v>
      </c>
      <c r="R404" s="7">
        <v>4790</v>
      </c>
      <c r="S404" s="7">
        <f>Table1_1[[#This Row],[Units Sold]]*Table1_1[[#This Row],[Unit Price]]*(1-Table1_1[[#This Row],[Discount %]])</f>
        <v>18506.400000000001</v>
      </c>
      <c r="T404" s="7">
        <f>Table1_1[[#This Row],[Units Sold]]*Table1_1[[#This Row],[Unit Cost]]</f>
        <v>14370</v>
      </c>
      <c r="U404" s="7">
        <f>Table1_1[[#This Row],[Calculated sales]]-Table1_1[[#This Row],[Total cost]]</f>
        <v>4136.4000000000015</v>
      </c>
      <c r="V404" s="4">
        <f>IFERROR(Table1_1[[#This Row],[Profit/Loss]]/Table1_1[[#This Row],[Calculated sales]],0)</f>
        <v>0.22351186616521859</v>
      </c>
    </row>
    <row r="405" spans="1:22" x14ac:dyDescent="0.25">
      <c r="A405" s="4" t="s">
        <v>551</v>
      </c>
      <c r="B405" s="5">
        <v>45522</v>
      </c>
      <c r="C405" s="4">
        <f>YEAR(Table1_1[[#This Row],[Order Dates]])</f>
        <v>2024</v>
      </c>
      <c r="D405" s="6">
        <f>MONTH(Table1_1[[#This Row],[Order Dates]])</f>
        <v>8</v>
      </c>
      <c r="E405" s="4" t="s">
        <v>37</v>
      </c>
      <c r="F405" s="4" t="s">
        <v>213</v>
      </c>
      <c r="G405" s="4" t="s">
        <v>39</v>
      </c>
      <c r="H405" s="4" t="str">
        <f>TRIM(CLEAN(SUBSTITUTE(Table1_1[[#This Row],[Salesperson]],"   "," ")))</f>
        <v>Sourav Das</v>
      </c>
      <c r="I405" s="4" t="s">
        <v>19</v>
      </c>
      <c r="J405" s="4" t="s">
        <v>27</v>
      </c>
      <c r="K405" s="4" t="s">
        <v>79</v>
      </c>
      <c r="L405" s="4" t="s">
        <v>262</v>
      </c>
      <c r="M405" s="4" t="s">
        <v>23</v>
      </c>
      <c r="N405" s="4" t="s">
        <v>24</v>
      </c>
      <c r="O405" s="4">
        <v>33</v>
      </c>
      <c r="P405" s="7">
        <v>2510</v>
      </c>
      <c r="Q405" s="8">
        <v>0.18</v>
      </c>
      <c r="R405" s="7">
        <v>1840</v>
      </c>
      <c r="S405" s="7">
        <f>Table1_1[[#This Row],[Units Sold]]*Table1_1[[#This Row],[Unit Price]]*(1-Table1_1[[#This Row],[Discount %]])</f>
        <v>67920.600000000006</v>
      </c>
      <c r="T405" s="7">
        <f>Table1_1[[#This Row],[Units Sold]]*Table1_1[[#This Row],[Unit Cost]]</f>
        <v>60720</v>
      </c>
      <c r="U405" s="7">
        <f>Table1_1[[#This Row],[Calculated sales]]-Table1_1[[#This Row],[Total cost]]</f>
        <v>7200.6000000000058</v>
      </c>
      <c r="V405" s="4">
        <f>IFERROR(Table1_1[[#This Row],[Profit/Loss]]/Table1_1[[#This Row],[Calculated sales]],0)</f>
        <v>0.10601496453211552</v>
      </c>
    </row>
    <row r="406" spans="1:22" x14ac:dyDescent="0.25">
      <c r="A406" s="4" t="s">
        <v>552</v>
      </c>
      <c r="B406" s="5">
        <v>45523</v>
      </c>
      <c r="C406" s="4">
        <f>YEAR(Table1_1[[#This Row],[Order Dates]])</f>
        <v>2024</v>
      </c>
      <c r="D406" s="6">
        <f>MONTH(Table1_1[[#This Row],[Order Dates]])</f>
        <v>8</v>
      </c>
      <c r="E406" s="4" t="s">
        <v>16</v>
      </c>
      <c r="F406" s="4" t="s">
        <v>51</v>
      </c>
      <c r="G406" s="4" t="s">
        <v>18</v>
      </c>
      <c r="H406" s="4" t="str">
        <f>TRIM(CLEAN(SUBSTITUTE(Table1_1[[#This Row],[Salesperson]],"   "," ")))</f>
        <v>Imran Sheikh</v>
      </c>
      <c r="I406" s="4" t="s">
        <v>19</v>
      </c>
      <c r="J406" s="4" t="s">
        <v>20</v>
      </c>
      <c r="K406" s="4" t="s">
        <v>21</v>
      </c>
      <c r="L406" s="4" t="s">
        <v>1670</v>
      </c>
      <c r="M406" s="4" t="s">
        <v>23</v>
      </c>
      <c r="N406" s="4" t="s">
        <v>24</v>
      </c>
      <c r="O406" s="4">
        <v>4</v>
      </c>
      <c r="P406" s="7">
        <v>8480</v>
      </c>
      <c r="Q406" s="8">
        <v>0</v>
      </c>
      <c r="R406" s="7">
        <v>5630</v>
      </c>
      <c r="S406" s="7">
        <f>Table1_1[[#This Row],[Units Sold]]*Table1_1[[#This Row],[Unit Price]]*(1-Table1_1[[#This Row],[Discount %]])</f>
        <v>33920</v>
      </c>
      <c r="T406" s="7">
        <f>Table1_1[[#This Row],[Units Sold]]*Table1_1[[#This Row],[Unit Cost]]</f>
        <v>22520</v>
      </c>
      <c r="U406" s="7">
        <f>Table1_1[[#This Row],[Calculated sales]]-Table1_1[[#This Row],[Total cost]]</f>
        <v>11400</v>
      </c>
      <c r="V406" s="4">
        <f>IFERROR(Table1_1[[#This Row],[Profit/Loss]]/Table1_1[[#This Row],[Calculated sales]],0)</f>
        <v>0.33608490566037735</v>
      </c>
    </row>
    <row r="407" spans="1:22" x14ac:dyDescent="0.25">
      <c r="A407" s="4" t="s">
        <v>553</v>
      </c>
      <c r="B407" s="5">
        <v>45523</v>
      </c>
      <c r="C407" s="4">
        <f>YEAR(Table1_1[[#This Row],[Order Dates]])</f>
        <v>2024</v>
      </c>
      <c r="D407" s="6">
        <f>MONTH(Table1_1[[#This Row],[Order Dates]])</f>
        <v>8</v>
      </c>
      <c r="E407" s="4" t="s">
        <v>16</v>
      </c>
      <c r="F407" s="4" t="s">
        <v>153</v>
      </c>
      <c r="G407" s="4" t="s">
        <v>18</v>
      </c>
      <c r="H407" s="4" t="str">
        <f>TRIM(CLEAN(SUBSTITUTE(Table1_1[[#This Row],[Salesperson]],"   "," ")))</f>
        <v>Imran Sheikh</v>
      </c>
      <c r="I407" s="4" t="s">
        <v>52</v>
      </c>
      <c r="J407" s="4" t="s">
        <v>20</v>
      </c>
      <c r="K407" s="4" t="s">
        <v>21</v>
      </c>
      <c r="L407" s="4" t="s">
        <v>1682</v>
      </c>
      <c r="M407" s="4" t="s">
        <v>40</v>
      </c>
      <c r="N407" s="4" t="s">
        <v>24</v>
      </c>
      <c r="O407" s="4">
        <v>10</v>
      </c>
      <c r="P407" s="7">
        <v>8950</v>
      </c>
      <c r="Q407" s="8">
        <v>0.1</v>
      </c>
      <c r="R407" s="7">
        <v>6480</v>
      </c>
      <c r="S407" s="7">
        <f>Table1_1[[#This Row],[Units Sold]]*Table1_1[[#This Row],[Unit Price]]*(1-Table1_1[[#This Row],[Discount %]])</f>
        <v>80550</v>
      </c>
      <c r="T407" s="7">
        <f>Table1_1[[#This Row],[Units Sold]]*Table1_1[[#This Row],[Unit Cost]]</f>
        <v>64800</v>
      </c>
      <c r="U407" s="7">
        <f>Table1_1[[#This Row],[Calculated sales]]-Table1_1[[#This Row],[Total cost]]</f>
        <v>15750</v>
      </c>
      <c r="V407" s="4">
        <f>IFERROR(Table1_1[[#This Row],[Profit/Loss]]/Table1_1[[#This Row],[Calculated sales]],0)</f>
        <v>0.19553072625698323</v>
      </c>
    </row>
    <row r="408" spans="1:22" x14ac:dyDescent="0.25">
      <c r="A408" s="4" t="s">
        <v>554</v>
      </c>
      <c r="B408" s="5">
        <v>45524</v>
      </c>
      <c r="C408" s="4">
        <f>YEAR(Table1_1[[#This Row],[Order Dates]])</f>
        <v>2024</v>
      </c>
      <c r="D408" s="6">
        <f>MONTH(Table1_1[[#This Row],[Order Dates]])</f>
        <v>8</v>
      </c>
      <c r="E408" s="4" t="s">
        <v>42</v>
      </c>
      <c r="F408" s="4" t="s">
        <v>130</v>
      </c>
      <c r="G408" s="4" t="s">
        <v>97</v>
      </c>
      <c r="H408" s="4" t="str">
        <f>TRIM(CLEAN(SUBSTITUTE(Table1_1[[#This Row],[Salesperson]],"   "," ")))</f>
        <v>Rohit Malhotra</v>
      </c>
      <c r="I408" s="4" t="s">
        <v>19</v>
      </c>
      <c r="J408" s="4" t="s">
        <v>27</v>
      </c>
      <c r="K408" s="4" t="s">
        <v>79</v>
      </c>
      <c r="L408" s="4" t="s">
        <v>80</v>
      </c>
      <c r="M408" s="4" t="s">
        <v>40</v>
      </c>
      <c r="N408" s="4" t="s">
        <v>24</v>
      </c>
      <c r="O408" s="4">
        <v>3</v>
      </c>
      <c r="P408" s="7">
        <v>4530</v>
      </c>
      <c r="Q408" s="8">
        <v>0</v>
      </c>
      <c r="R408" s="7">
        <v>3160</v>
      </c>
      <c r="S408" s="7">
        <f>Table1_1[[#This Row],[Units Sold]]*Table1_1[[#This Row],[Unit Price]]*(1-Table1_1[[#This Row],[Discount %]])</f>
        <v>13590</v>
      </c>
      <c r="T408" s="7">
        <f>Table1_1[[#This Row],[Units Sold]]*Table1_1[[#This Row],[Unit Cost]]</f>
        <v>9480</v>
      </c>
      <c r="U408" s="7">
        <f>Table1_1[[#This Row],[Calculated sales]]-Table1_1[[#This Row],[Total cost]]</f>
        <v>4110</v>
      </c>
      <c r="V408" s="4">
        <f>IFERROR(Table1_1[[#This Row],[Profit/Loss]]/Table1_1[[#This Row],[Calculated sales]],0)</f>
        <v>0.30242825607064017</v>
      </c>
    </row>
    <row r="409" spans="1:22" x14ac:dyDescent="0.25">
      <c r="A409" s="4" t="s">
        <v>555</v>
      </c>
      <c r="B409" s="5">
        <v>45524</v>
      </c>
      <c r="C409" s="4">
        <f>YEAR(Table1_1[[#This Row],[Order Dates]])</f>
        <v>2024</v>
      </c>
      <c r="D409" s="6">
        <f>MONTH(Table1_1[[#This Row],[Order Dates]])</f>
        <v>8</v>
      </c>
      <c r="E409" s="4" t="s">
        <v>16</v>
      </c>
      <c r="F409" s="4" t="s">
        <v>31</v>
      </c>
      <c r="G409" s="4" t="s">
        <v>18</v>
      </c>
      <c r="H409" s="4" t="str">
        <f>TRIM(CLEAN(SUBSTITUTE(Table1_1[[#This Row],[Salesperson]],"   "," ")))</f>
        <v>Imran Sheikh</v>
      </c>
      <c r="I409" s="4" t="s">
        <v>92</v>
      </c>
      <c r="J409" s="4" t="s">
        <v>20</v>
      </c>
      <c r="K409" s="4" t="s">
        <v>109</v>
      </c>
      <c r="L409" s="4" t="s">
        <v>1675</v>
      </c>
      <c r="M409" s="4" t="s">
        <v>49</v>
      </c>
      <c r="N409" s="4" t="s">
        <v>24</v>
      </c>
      <c r="O409" s="4">
        <v>6</v>
      </c>
      <c r="P409" s="7">
        <v>69070</v>
      </c>
      <c r="Q409" s="8">
        <v>0.08</v>
      </c>
      <c r="R409" s="7">
        <v>46570</v>
      </c>
      <c r="S409" s="7">
        <f>Table1_1[[#This Row],[Units Sold]]*Table1_1[[#This Row],[Unit Price]]*(1-Table1_1[[#This Row],[Discount %]])</f>
        <v>381266.4</v>
      </c>
      <c r="T409" s="7">
        <f>Table1_1[[#This Row],[Units Sold]]*Table1_1[[#This Row],[Unit Cost]]</f>
        <v>279420</v>
      </c>
      <c r="U409" s="7">
        <f>Table1_1[[#This Row],[Calculated sales]]-Table1_1[[#This Row],[Total cost]]</f>
        <v>101846.40000000002</v>
      </c>
      <c r="V409" s="4">
        <f>IFERROR(Table1_1[[#This Row],[Profit/Loss]]/Table1_1[[#This Row],[Calculated sales]],0)</f>
        <v>0.26712660753740697</v>
      </c>
    </row>
    <row r="410" spans="1:22" x14ac:dyDescent="0.25">
      <c r="A410" s="4" t="s">
        <v>556</v>
      </c>
      <c r="B410" s="5">
        <v>45525</v>
      </c>
      <c r="C410" s="4">
        <f>YEAR(Table1_1[[#This Row],[Order Dates]])</f>
        <v>2024</v>
      </c>
      <c r="D410" s="6">
        <f>MONTH(Table1_1[[#This Row],[Order Dates]])</f>
        <v>8</v>
      </c>
      <c r="E410" s="4" t="s">
        <v>16</v>
      </c>
      <c r="F410" s="4" t="s">
        <v>51</v>
      </c>
      <c r="G410" s="4" t="s">
        <v>18</v>
      </c>
      <c r="H410" s="4" t="str">
        <f>TRIM(CLEAN(SUBSTITUTE(Table1_1[[#This Row],[Salesperson]],"   "," ")))</f>
        <v>Imran Sheikh</v>
      </c>
      <c r="I410" s="4" t="s">
        <v>19</v>
      </c>
      <c r="J410" s="4" t="s">
        <v>46</v>
      </c>
      <c r="K410" s="4" t="s">
        <v>179</v>
      </c>
      <c r="L410" s="4" t="s">
        <v>236</v>
      </c>
      <c r="M410" s="4" t="s">
        <v>23</v>
      </c>
      <c r="N410" s="4" t="s">
        <v>24</v>
      </c>
      <c r="O410" s="4">
        <v>40</v>
      </c>
      <c r="P410" s="7">
        <v>2110</v>
      </c>
      <c r="Q410" s="8">
        <v>0</v>
      </c>
      <c r="R410" s="7">
        <v>1250</v>
      </c>
      <c r="S410" s="7">
        <f>Table1_1[[#This Row],[Units Sold]]*Table1_1[[#This Row],[Unit Price]]*(1-Table1_1[[#This Row],[Discount %]])</f>
        <v>84400</v>
      </c>
      <c r="T410" s="7">
        <f>Table1_1[[#This Row],[Units Sold]]*Table1_1[[#This Row],[Unit Cost]]</f>
        <v>50000</v>
      </c>
      <c r="U410" s="7">
        <f>Table1_1[[#This Row],[Calculated sales]]-Table1_1[[#This Row],[Total cost]]</f>
        <v>34400</v>
      </c>
      <c r="V410" s="4">
        <f>IFERROR(Table1_1[[#This Row],[Profit/Loss]]/Table1_1[[#This Row],[Calculated sales]],0)</f>
        <v>0.40758293838862558</v>
      </c>
    </row>
    <row r="411" spans="1:22" x14ac:dyDescent="0.25">
      <c r="A411" s="4" t="s">
        <v>557</v>
      </c>
      <c r="B411" s="5">
        <v>45525</v>
      </c>
      <c r="C411" s="4">
        <f>YEAR(Table1_1[[#This Row],[Order Dates]])</f>
        <v>2024</v>
      </c>
      <c r="D411" s="6">
        <f>MONTH(Table1_1[[#This Row],[Order Dates]])</f>
        <v>8</v>
      </c>
      <c r="E411" s="4" t="s">
        <v>37</v>
      </c>
      <c r="F411" s="4" t="s">
        <v>166</v>
      </c>
      <c r="G411" s="4" t="s">
        <v>68</v>
      </c>
      <c r="H411" s="4" t="str">
        <f>TRIM(CLEAN(SUBSTITUTE(Table1_1[[#This Row],[Salesperson]],"   "," ")))</f>
        <v>Ritika Ghosh</v>
      </c>
      <c r="I411" s="4" t="s">
        <v>92</v>
      </c>
      <c r="J411" s="4" t="s">
        <v>83</v>
      </c>
      <c r="K411" s="4" t="s">
        <v>84</v>
      </c>
      <c r="L411" s="4" t="s">
        <v>292</v>
      </c>
      <c r="M411" s="4" t="s">
        <v>23</v>
      </c>
      <c r="N411" s="4" t="s">
        <v>24</v>
      </c>
      <c r="O411" s="4">
        <v>2</v>
      </c>
      <c r="P411" s="7">
        <v>43590</v>
      </c>
      <c r="Q411" s="8">
        <v>0</v>
      </c>
      <c r="R411" s="7">
        <v>25640</v>
      </c>
      <c r="S411" s="7">
        <f>Table1_1[[#This Row],[Units Sold]]*Table1_1[[#This Row],[Unit Price]]*(1-Table1_1[[#This Row],[Discount %]])</f>
        <v>87180</v>
      </c>
      <c r="T411" s="7">
        <f>Table1_1[[#This Row],[Units Sold]]*Table1_1[[#This Row],[Unit Cost]]</f>
        <v>51280</v>
      </c>
      <c r="U411" s="7">
        <f>Table1_1[[#This Row],[Calculated sales]]-Table1_1[[#This Row],[Total cost]]</f>
        <v>35900</v>
      </c>
      <c r="V411" s="4">
        <f>IFERROR(Table1_1[[#This Row],[Profit/Loss]]/Table1_1[[#This Row],[Calculated sales]],0)</f>
        <v>0.41179169534296856</v>
      </c>
    </row>
    <row r="412" spans="1:22" x14ac:dyDescent="0.25">
      <c r="A412" s="4" t="s">
        <v>558</v>
      </c>
      <c r="B412" s="5">
        <v>45525</v>
      </c>
      <c r="C412" s="4">
        <f>YEAR(Table1_1[[#This Row],[Order Dates]])</f>
        <v>2024</v>
      </c>
      <c r="D412" s="6">
        <f>MONTH(Table1_1[[#This Row],[Order Dates]])</f>
        <v>8</v>
      </c>
      <c r="E412" s="4" t="s">
        <v>56</v>
      </c>
      <c r="F412" s="4" t="s">
        <v>57</v>
      </c>
      <c r="G412" s="4" t="s">
        <v>58</v>
      </c>
      <c r="H412" s="4" t="str">
        <f>TRIM(CLEAN(SUBSTITUTE(Table1_1[[#This Row],[Salesperson]],"   "," ")))</f>
        <v>Karthik Raman</v>
      </c>
      <c r="I412" s="4" t="s">
        <v>52</v>
      </c>
      <c r="J412" s="4" t="s">
        <v>59</v>
      </c>
      <c r="K412" s="4" t="s">
        <v>73</v>
      </c>
      <c r="L412" s="4" t="s">
        <v>113</v>
      </c>
      <c r="M412" s="4" t="s">
        <v>49</v>
      </c>
      <c r="N412" s="4" t="s">
        <v>24</v>
      </c>
      <c r="O412" s="4">
        <v>3</v>
      </c>
      <c r="P412" s="7">
        <v>34000</v>
      </c>
      <c r="Q412" s="8">
        <v>0.1</v>
      </c>
      <c r="R412" s="7">
        <v>20980</v>
      </c>
      <c r="S412" s="7">
        <f>Table1_1[[#This Row],[Units Sold]]*Table1_1[[#This Row],[Unit Price]]*(1-Table1_1[[#This Row],[Discount %]])</f>
        <v>91800</v>
      </c>
      <c r="T412" s="7">
        <f>Table1_1[[#This Row],[Units Sold]]*Table1_1[[#This Row],[Unit Cost]]</f>
        <v>62940</v>
      </c>
      <c r="U412" s="7">
        <f>Table1_1[[#This Row],[Calculated sales]]-Table1_1[[#This Row],[Total cost]]</f>
        <v>28860</v>
      </c>
      <c r="V412" s="4">
        <f>IFERROR(Table1_1[[#This Row],[Profit/Loss]]/Table1_1[[#This Row],[Calculated sales]],0)</f>
        <v>0.31437908496732025</v>
      </c>
    </row>
    <row r="413" spans="1:22" x14ac:dyDescent="0.25">
      <c r="A413" s="4" t="s">
        <v>559</v>
      </c>
      <c r="B413" s="5">
        <v>45525</v>
      </c>
      <c r="C413" s="4">
        <f>YEAR(Table1_1[[#This Row],[Order Dates]])</f>
        <v>2024</v>
      </c>
      <c r="D413" s="6">
        <f>MONTH(Table1_1[[#This Row],[Order Dates]])</f>
        <v>8</v>
      </c>
      <c r="E413" s="4" t="s">
        <v>56</v>
      </c>
      <c r="F413" s="4" t="s">
        <v>127</v>
      </c>
      <c r="G413" s="4" t="s">
        <v>134</v>
      </c>
      <c r="H413" s="4" t="str">
        <f>TRIM(CLEAN(SUBSTITUTE(Table1_1[[#This Row],[Salesperson]],"   "," ")))</f>
        <v>Divya Nair</v>
      </c>
      <c r="I413" s="4" t="s">
        <v>45</v>
      </c>
      <c r="J413" s="4" t="s">
        <v>27</v>
      </c>
      <c r="K413" s="4" t="s">
        <v>53</v>
      </c>
      <c r="L413" s="4" t="s">
        <v>1676</v>
      </c>
      <c r="M413" s="4" t="s">
        <v>23</v>
      </c>
      <c r="N413" s="4" t="s">
        <v>94</v>
      </c>
      <c r="O413" s="4">
        <v>2</v>
      </c>
      <c r="P413" s="7">
        <v>38780</v>
      </c>
      <c r="Q413" s="8">
        <v>0.05</v>
      </c>
      <c r="R413" s="7">
        <v>25420</v>
      </c>
      <c r="S413" s="7">
        <f>Table1_1[[#This Row],[Units Sold]]*Table1_1[[#This Row],[Unit Price]]*(1-Table1_1[[#This Row],[Discount %]])</f>
        <v>73682</v>
      </c>
      <c r="T413" s="7">
        <f>Table1_1[[#This Row],[Units Sold]]*Table1_1[[#This Row],[Unit Cost]]</f>
        <v>50840</v>
      </c>
      <c r="U413" s="7">
        <f>Table1_1[[#This Row],[Calculated sales]]-Table1_1[[#This Row],[Total cost]]</f>
        <v>22842</v>
      </c>
      <c r="V413" s="4">
        <f>IFERROR(Table1_1[[#This Row],[Profit/Loss]]/Table1_1[[#This Row],[Calculated sales]],0)</f>
        <v>0.31000787166472138</v>
      </c>
    </row>
    <row r="414" spans="1:22" x14ac:dyDescent="0.25">
      <c r="A414" s="4" t="s">
        <v>560</v>
      </c>
      <c r="B414" s="5">
        <v>45526</v>
      </c>
      <c r="C414" s="4">
        <f>YEAR(Table1_1[[#This Row],[Order Dates]])</f>
        <v>2024</v>
      </c>
      <c r="D414" s="6">
        <f>MONTH(Table1_1[[#This Row],[Order Dates]])</f>
        <v>8</v>
      </c>
      <c r="E414" s="4" t="s">
        <v>37</v>
      </c>
      <c r="F414" s="4" t="s">
        <v>38</v>
      </c>
      <c r="G414" s="4" t="s">
        <v>39</v>
      </c>
      <c r="H414" s="4" t="str">
        <f>TRIM(CLEAN(SUBSTITUTE(Table1_1[[#This Row],[Salesperson]],"   "," ")))</f>
        <v>Sourav Das</v>
      </c>
      <c r="I414" s="4" t="s">
        <v>19</v>
      </c>
      <c r="J414" s="4" t="s">
        <v>27</v>
      </c>
      <c r="K414" s="4" t="s">
        <v>28</v>
      </c>
      <c r="L414" s="4" t="s">
        <v>1668</v>
      </c>
      <c r="M414" s="4" t="s">
        <v>40</v>
      </c>
      <c r="N414" s="4" t="s">
        <v>24</v>
      </c>
      <c r="O414" s="4">
        <v>5</v>
      </c>
      <c r="P414" s="7">
        <v>29470</v>
      </c>
      <c r="Q414" s="8">
        <v>0.15</v>
      </c>
      <c r="R414" s="7">
        <v>18440</v>
      </c>
      <c r="S414" s="7">
        <f>Table1_1[[#This Row],[Units Sold]]*Table1_1[[#This Row],[Unit Price]]*(1-Table1_1[[#This Row],[Discount %]])</f>
        <v>125247.5</v>
      </c>
      <c r="T414" s="7">
        <f>Table1_1[[#This Row],[Units Sold]]*Table1_1[[#This Row],[Unit Cost]]</f>
        <v>92200</v>
      </c>
      <c r="U414" s="7">
        <f>Table1_1[[#This Row],[Calculated sales]]-Table1_1[[#This Row],[Total cost]]</f>
        <v>33047.5</v>
      </c>
      <c r="V414" s="4">
        <f>IFERROR(Table1_1[[#This Row],[Profit/Loss]]/Table1_1[[#This Row],[Calculated sales]],0)</f>
        <v>0.26385756202718619</v>
      </c>
    </row>
    <row r="415" spans="1:22" x14ac:dyDescent="0.25">
      <c r="A415" s="4" t="s">
        <v>561</v>
      </c>
      <c r="B415" s="5">
        <v>45527</v>
      </c>
      <c r="C415" s="4">
        <f>YEAR(Table1_1[[#This Row],[Order Dates]])</f>
        <v>2024</v>
      </c>
      <c r="D415" s="6">
        <f>MONTH(Table1_1[[#This Row],[Order Dates]])</f>
        <v>8</v>
      </c>
      <c r="E415" s="4" t="s">
        <v>16</v>
      </c>
      <c r="F415" s="4" t="s">
        <v>31</v>
      </c>
      <c r="G415" s="4" t="s">
        <v>26</v>
      </c>
      <c r="H415" s="4" t="str">
        <f>TRIM(CLEAN(SUBSTITUTE(Table1_1[[#This Row],[Salesperson]],"   "," ")))</f>
        <v>Prateek Shah</v>
      </c>
      <c r="I415" s="4" t="s">
        <v>19</v>
      </c>
      <c r="J415" s="4" t="s">
        <v>59</v>
      </c>
      <c r="K415" s="4" t="s">
        <v>60</v>
      </c>
      <c r="L415" s="4" t="s">
        <v>200</v>
      </c>
      <c r="M415" s="4" t="s">
        <v>40</v>
      </c>
      <c r="N415" s="4" t="s">
        <v>24</v>
      </c>
      <c r="O415" s="4">
        <v>7</v>
      </c>
      <c r="P415" s="7">
        <v>8460</v>
      </c>
      <c r="Q415" s="8">
        <v>0.15</v>
      </c>
      <c r="R415" s="7">
        <v>6630</v>
      </c>
      <c r="S415" s="7">
        <f>Table1_1[[#This Row],[Units Sold]]*Table1_1[[#This Row],[Unit Price]]*(1-Table1_1[[#This Row],[Discount %]])</f>
        <v>50337</v>
      </c>
      <c r="T415" s="7">
        <f>Table1_1[[#This Row],[Units Sold]]*Table1_1[[#This Row],[Unit Cost]]</f>
        <v>46410</v>
      </c>
      <c r="U415" s="7">
        <f>Table1_1[[#This Row],[Calculated sales]]-Table1_1[[#This Row],[Total cost]]</f>
        <v>3927</v>
      </c>
      <c r="V415" s="4">
        <f>IFERROR(Table1_1[[#This Row],[Profit/Loss]]/Table1_1[[#This Row],[Calculated sales]],0)</f>
        <v>7.8014184397163122E-2</v>
      </c>
    </row>
    <row r="416" spans="1:22" x14ac:dyDescent="0.25">
      <c r="A416" s="4" t="s">
        <v>562</v>
      </c>
      <c r="B416" s="5">
        <v>45527</v>
      </c>
      <c r="C416" s="4">
        <f>YEAR(Table1_1[[#This Row],[Order Dates]])</f>
        <v>2024</v>
      </c>
      <c r="D416" s="6">
        <f>MONTH(Table1_1[[#This Row],[Order Dates]])</f>
        <v>8</v>
      </c>
      <c r="E416" s="4" t="s">
        <v>42</v>
      </c>
      <c r="F416" s="4" t="s">
        <v>130</v>
      </c>
      <c r="G416" s="4" t="s">
        <v>97</v>
      </c>
      <c r="H416" s="4" t="str">
        <f>TRIM(CLEAN(SUBSTITUTE(Table1_1[[#This Row],[Salesperson]],"   "," ")))</f>
        <v>Rohit Malhotra</v>
      </c>
      <c r="I416" s="4" t="s">
        <v>52</v>
      </c>
      <c r="J416" s="4" t="s">
        <v>59</v>
      </c>
      <c r="K416" s="4" t="s">
        <v>154</v>
      </c>
      <c r="L416" s="4" t="s">
        <v>249</v>
      </c>
      <c r="M416" s="4" t="s">
        <v>23</v>
      </c>
      <c r="N416" s="4" t="s">
        <v>119</v>
      </c>
      <c r="O416" s="4">
        <v>2</v>
      </c>
      <c r="P416" s="7">
        <v>7010</v>
      </c>
      <c r="Q416" s="8">
        <v>0.1</v>
      </c>
      <c r="R416" s="7">
        <v>4510</v>
      </c>
      <c r="S416" s="7">
        <f>Table1_1[[#This Row],[Units Sold]]*Table1_1[[#This Row],[Unit Price]]*(1-Table1_1[[#This Row],[Discount %]])</f>
        <v>12618</v>
      </c>
      <c r="T416" s="7">
        <f>Table1_1[[#This Row],[Units Sold]]*Table1_1[[#This Row],[Unit Cost]]</f>
        <v>9020</v>
      </c>
      <c r="U416" s="7">
        <f>Table1_1[[#This Row],[Calculated sales]]-Table1_1[[#This Row],[Total cost]]</f>
        <v>3598</v>
      </c>
      <c r="V416" s="4">
        <f>IFERROR(Table1_1[[#This Row],[Profit/Loss]]/Table1_1[[#This Row],[Calculated sales]],0)</f>
        <v>0.28514820098272309</v>
      </c>
    </row>
    <row r="417" spans="1:22" x14ac:dyDescent="0.25">
      <c r="A417" s="4" t="s">
        <v>563</v>
      </c>
      <c r="B417" s="5">
        <v>45528</v>
      </c>
      <c r="C417" s="4">
        <f>YEAR(Table1_1[[#This Row],[Order Dates]])</f>
        <v>2024</v>
      </c>
      <c r="D417" s="6">
        <f>MONTH(Table1_1[[#This Row],[Order Dates]])</f>
        <v>8</v>
      </c>
      <c r="E417" s="4" t="s">
        <v>76</v>
      </c>
      <c r="F417" s="4" t="s">
        <v>77</v>
      </c>
      <c r="G417" s="4" t="s">
        <v>170</v>
      </c>
      <c r="H417" s="4" t="str">
        <f>TRIM(CLEAN(SUBSTITUTE(Table1_1[[#This Row],[Salesperson]],"   "," ")))</f>
        <v>Manish Tiwari</v>
      </c>
      <c r="I417" s="4" t="s">
        <v>52</v>
      </c>
      <c r="J417" s="4" t="s">
        <v>46</v>
      </c>
      <c r="K417" s="4" t="s">
        <v>179</v>
      </c>
      <c r="L417" s="4" t="s">
        <v>236</v>
      </c>
      <c r="M417" s="4" t="s">
        <v>23</v>
      </c>
      <c r="N417" s="4" t="s">
        <v>24</v>
      </c>
      <c r="O417" s="4">
        <v>16</v>
      </c>
      <c r="P417" s="7">
        <v>2150</v>
      </c>
      <c r="Q417" s="8">
        <v>0.05</v>
      </c>
      <c r="R417" s="7">
        <v>1390</v>
      </c>
      <c r="S417" s="7">
        <f>Table1_1[[#This Row],[Units Sold]]*Table1_1[[#This Row],[Unit Price]]*(1-Table1_1[[#This Row],[Discount %]])</f>
        <v>32680</v>
      </c>
      <c r="T417" s="7">
        <f>Table1_1[[#This Row],[Units Sold]]*Table1_1[[#This Row],[Unit Cost]]</f>
        <v>22240</v>
      </c>
      <c r="U417" s="7">
        <f>Table1_1[[#This Row],[Calculated sales]]-Table1_1[[#This Row],[Total cost]]</f>
        <v>10440</v>
      </c>
      <c r="V417" s="4">
        <f>IFERROR(Table1_1[[#This Row],[Profit/Loss]]/Table1_1[[#This Row],[Calculated sales]],0)</f>
        <v>0.31946144430844553</v>
      </c>
    </row>
    <row r="418" spans="1:22" x14ac:dyDescent="0.25">
      <c r="A418" s="4" t="s">
        <v>564</v>
      </c>
      <c r="B418" s="5">
        <v>45528</v>
      </c>
      <c r="C418" s="4">
        <f>YEAR(Table1_1[[#This Row],[Order Dates]])</f>
        <v>2024</v>
      </c>
      <c r="D418" s="6">
        <f>MONTH(Table1_1[[#This Row],[Order Dates]])</f>
        <v>8</v>
      </c>
      <c r="E418" s="4" t="s">
        <v>16</v>
      </c>
      <c r="F418" s="4" t="s">
        <v>51</v>
      </c>
      <c r="G418" s="4" t="s">
        <v>32</v>
      </c>
      <c r="H418" s="4" t="str">
        <f>TRIM(CLEAN(SUBSTITUTE(Table1_1[[#This Row],[Salesperson]],"   "," ")))</f>
        <v>Neha Deshpande</v>
      </c>
      <c r="I418" s="4" t="s">
        <v>52</v>
      </c>
      <c r="J418" s="4" t="s">
        <v>59</v>
      </c>
      <c r="K418" s="4" t="s">
        <v>73</v>
      </c>
      <c r="L418" s="4" t="s">
        <v>74</v>
      </c>
      <c r="M418" s="4" t="s">
        <v>49</v>
      </c>
      <c r="N418" s="4" t="s">
        <v>24</v>
      </c>
      <c r="O418" s="4">
        <v>2</v>
      </c>
      <c r="P418" s="7">
        <v>44000</v>
      </c>
      <c r="Q418" s="8">
        <v>0</v>
      </c>
      <c r="R418" s="7">
        <v>25720</v>
      </c>
      <c r="S418" s="7">
        <f>Table1_1[[#This Row],[Units Sold]]*Table1_1[[#This Row],[Unit Price]]*(1-Table1_1[[#This Row],[Discount %]])</f>
        <v>88000</v>
      </c>
      <c r="T418" s="7">
        <f>Table1_1[[#This Row],[Units Sold]]*Table1_1[[#This Row],[Unit Cost]]</f>
        <v>51440</v>
      </c>
      <c r="U418" s="7">
        <f>Table1_1[[#This Row],[Calculated sales]]-Table1_1[[#This Row],[Total cost]]</f>
        <v>36560</v>
      </c>
      <c r="V418" s="4">
        <f>IFERROR(Table1_1[[#This Row],[Profit/Loss]]/Table1_1[[#This Row],[Calculated sales]],0)</f>
        <v>0.41545454545454547</v>
      </c>
    </row>
    <row r="419" spans="1:22" x14ac:dyDescent="0.25">
      <c r="A419" s="4" t="s">
        <v>565</v>
      </c>
      <c r="B419" s="5">
        <v>45528</v>
      </c>
      <c r="C419" s="4">
        <f>YEAR(Table1_1[[#This Row],[Order Dates]])</f>
        <v>2024</v>
      </c>
      <c r="D419" s="6">
        <f>MONTH(Table1_1[[#This Row],[Order Dates]])</f>
        <v>8</v>
      </c>
      <c r="E419" s="4" t="s">
        <v>37</v>
      </c>
      <c r="F419" s="4" t="s">
        <v>67</v>
      </c>
      <c r="G419" s="4" t="s">
        <v>68</v>
      </c>
      <c r="H419" s="4" t="str">
        <f>TRIM(CLEAN(SUBSTITUTE(Table1_1[[#This Row],[Salesperson]],"   "," ")))</f>
        <v>Ritika Ghosh</v>
      </c>
      <c r="I419" s="4" t="s">
        <v>52</v>
      </c>
      <c r="J419" s="4" t="s">
        <v>20</v>
      </c>
      <c r="K419" s="4" t="s">
        <v>33</v>
      </c>
      <c r="L419" s="4" t="s">
        <v>1677</v>
      </c>
      <c r="M419" s="4" t="s">
        <v>23</v>
      </c>
      <c r="N419" s="4" t="s">
        <v>24</v>
      </c>
      <c r="O419" s="4">
        <v>3</v>
      </c>
      <c r="P419" s="7">
        <v>63430</v>
      </c>
      <c r="Q419" s="8">
        <v>0.15</v>
      </c>
      <c r="R419" s="7">
        <v>44370</v>
      </c>
      <c r="S419" s="7">
        <f>Table1_1[[#This Row],[Units Sold]]*Table1_1[[#This Row],[Unit Price]]*(1-Table1_1[[#This Row],[Discount %]])</f>
        <v>161746.5</v>
      </c>
      <c r="T419" s="7">
        <f>Table1_1[[#This Row],[Units Sold]]*Table1_1[[#This Row],[Unit Cost]]</f>
        <v>133110</v>
      </c>
      <c r="U419" s="7">
        <f>Table1_1[[#This Row],[Calculated sales]]-Table1_1[[#This Row],[Total cost]]</f>
        <v>28636.5</v>
      </c>
      <c r="V419" s="4">
        <f>IFERROR(Table1_1[[#This Row],[Profit/Loss]]/Table1_1[[#This Row],[Calculated sales]],0)</f>
        <v>0.17704556203689106</v>
      </c>
    </row>
    <row r="420" spans="1:22" x14ac:dyDescent="0.25">
      <c r="A420" s="4" t="s">
        <v>566</v>
      </c>
      <c r="B420" s="5">
        <v>45528</v>
      </c>
      <c r="C420" s="4">
        <f>YEAR(Table1_1[[#This Row],[Order Dates]])</f>
        <v>2024</v>
      </c>
      <c r="D420" s="6">
        <f>MONTH(Table1_1[[#This Row],[Order Dates]])</f>
        <v>8</v>
      </c>
      <c r="E420" s="4" t="s">
        <v>42</v>
      </c>
      <c r="F420" s="4" t="s">
        <v>43</v>
      </c>
      <c r="G420" s="4" t="s">
        <v>44</v>
      </c>
      <c r="H420" s="4" t="str">
        <f>TRIM(CLEAN(SUBSTITUTE(Table1_1[[#This Row],[Salesperson]],"   "," ")))</f>
        <v>Simran Kaur</v>
      </c>
      <c r="I420" s="4" t="s">
        <v>45</v>
      </c>
      <c r="J420" s="4" t="s">
        <v>20</v>
      </c>
      <c r="K420" s="4" t="s">
        <v>109</v>
      </c>
      <c r="L420" s="4" t="s">
        <v>1675</v>
      </c>
      <c r="M420" s="4" t="s">
        <v>49</v>
      </c>
      <c r="N420" s="4" t="s">
        <v>24</v>
      </c>
      <c r="O420" s="4">
        <v>4</v>
      </c>
      <c r="P420" s="7">
        <v>69570</v>
      </c>
      <c r="Q420" s="8">
        <v>0</v>
      </c>
      <c r="R420" s="7">
        <v>44630</v>
      </c>
      <c r="S420" s="7">
        <f>Table1_1[[#This Row],[Units Sold]]*Table1_1[[#This Row],[Unit Price]]*(1-Table1_1[[#This Row],[Discount %]])</f>
        <v>278280</v>
      </c>
      <c r="T420" s="7">
        <f>Table1_1[[#This Row],[Units Sold]]*Table1_1[[#This Row],[Unit Cost]]</f>
        <v>178520</v>
      </c>
      <c r="U420" s="7">
        <f>Table1_1[[#This Row],[Calculated sales]]-Table1_1[[#This Row],[Total cost]]</f>
        <v>99760</v>
      </c>
      <c r="V420" s="4">
        <f>IFERROR(Table1_1[[#This Row],[Profit/Loss]]/Table1_1[[#This Row],[Calculated sales]],0)</f>
        <v>0.35848785396004024</v>
      </c>
    </row>
    <row r="421" spans="1:22" x14ac:dyDescent="0.25">
      <c r="A421" s="4" t="s">
        <v>567</v>
      </c>
      <c r="B421" s="5">
        <v>45528</v>
      </c>
      <c r="C421" s="4">
        <f>YEAR(Table1_1[[#This Row],[Order Dates]])</f>
        <v>2024</v>
      </c>
      <c r="D421" s="6">
        <f>MONTH(Table1_1[[#This Row],[Order Dates]])</f>
        <v>8</v>
      </c>
      <c r="E421" s="4" t="s">
        <v>16</v>
      </c>
      <c r="F421" s="4" t="s">
        <v>153</v>
      </c>
      <c r="G421" s="4" t="s">
        <v>32</v>
      </c>
      <c r="H421" s="4" t="str">
        <f>TRIM(CLEAN(SUBSTITUTE(Table1_1[[#This Row],[Salesperson]],"   "," ")))</f>
        <v>Neha Deshpande</v>
      </c>
      <c r="I421" s="4" t="s">
        <v>19</v>
      </c>
      <c r="J421" s="4" t="s">
        <v>59</v>
      </c>
      <c r="K421" s="4" t="s">
        <v>69</v>
      </c>
      <c r="L421" s="4" t="s">
        <v>70</v>
      </c>
      <c r="M421" s="4" t="s">
        <v>23</v>
      </c>
      <c r="N421" s="4" t="s">
        <v>24</v>
      </c>
      <c r="O421" s="4">
        <v>3</v>
      </c>
      <c r="P421" s="7">
        <v>28010</v>
      </c>
      <c r="Q421" s="8">
        <v>0.15</v>
      </c>
      <c r="R421" s="7">
        <v>16230</v>
      </c>
      <c r="S421" s="7">
        <f>Table1_1[[#This Row],[Units Sold]]*Table1_1[[#This Row],[Unit Price]]*(1-Table1_1[[#This Row],[Discount %]])</f>
        <v>71425.5</v>
      </c>
      <c r="T421" s="7">
        <f>Table1_1[[#This Row],[Units Sold]]*Table1_1[[#This Row],[Unit Cost]]</f>
        <v>48690</v>
      </c>
      <c r="U421" s="7">
        <f>Table1_1[[#This Row],[Calculated sales]]-Table1_1[[#This Row],[Total cost]]</f>
        <v>22735.5</v>
      </c>
      <c r="V421" s="4">
        <f>IFERROR(Table1_1[[#This Row],[Profit/Loss]]/Table1_1[[#This Row],[Calculated sales]],0)</f>
        <v>0.31831068735955648</v>
      </c>
    </row>
    <row r="422" spans="1:22" x14ac:dyDescent="0.25">
      <c r="A422" s="4" t="s">
        <v>568</v>
      </c>
      <c r="B422" s="5">
        <v>45531</v>
      </c>
      <c r="C422" s="4">
        <f>YEAR(Table1_1[[#This Row],[Order Dates]])</f>
        <v>2024</v>
      </c>
      <c r="D422" s="6">
        <f>MONTH(Table1_1[[#This Row],[Order Dates]])</f>
        <v>8</v>
      </c>
      <c r="E422" s="4" t="s">
        <v>37</v>
      </c>
      <c r="F422" s="4" t="s">
        <v>213</v>
      </c>
      <c r="G422" s="4" t="s">
        <v>68</v>
      </c>
      <c r="H422" s="4" t="str">
        <f>TRIM(CLEAN(SUBSTITUTE(Table1_1[[#This Row],[Salesperson]],"   "," ")))</f>
        <v>Ritika Ghosh</v>
      </c>
      <c r="I422" s="4" t="s">
        <v>52</v>
      </c>
      <c r="J422" s="4" t="s">
        <v>59</v>
      </c>
      <c r="K422" s="4" t="s">
        <v>69</v>
      </c>
      <c r="L422" s="4" t="s">
        <v>121</v>
      </c>
      <c r="M422" s="4" t="s">
        <v>23</v>
      </c>
      <c r="N422" s="4" t="s">
        <v>94</v>
      </c>
      <c r="O422" s="4">
        <v>7</v>
      </c>
      <c r="P422" s="7">
        <v>3590</v>
      </c>
      <c r="Q422" s="8">
        <v>0.1</v>
      </c>
      <c r="R422" s="7">
        <v>2550</v>
      </c>
      <c r="S422" s="7">
        <f>Table1_1[[#This Row],[Units Sold]]*Table1_1[[#This Row],[Unit Price]]*(1-Table1_1[[#This Row],[Discount %]])</f>
        <v>22617</v>
      </c>
      <c r="T422" s="7">
        <f>Table1_1[[#This Row],[Units Sold]]*Table1_1[[#This Row],[Unit Cost]]</f>
        <v>17850</v>
      </c>
      <c r="U422" s="7">
        <f>Table1_1[[#This Row],[Calculated sales]]-Table1_1[[#This Row],[Total cost]]</f>
        <v>4767</v>
      </c>
      <c r="V422" s="4">
        <f>IFERROR(Table1_1[[#This Row],[Profit/Loss]]/Table1_1[[#This Row],[Calculated sales]],0)</f>
        <v>0.21077065923862581</v>
      </c>
    </row>
    <row r="423" spans="1:22" x14ac:dyDescent="0.25">
      <c r="A423" s="4" t="s">
        <v>569</v>
      </c>
      <c r="B423" s="5">
        <v>45531</v>
      </c>
      <c r="C423" s="4">
        <f>YEAR(Table1_1[[#This Row],[Order Dates]])</f>
        <v>2024</v>
      </c>
      <c r="D423" s="6">
        <f>MONTH(Table1_1[[#This Row],[Order Dates]])</f>
        <v>8</v>
      </c>
      <c r="E423" s="4" t="s">
        <v>42</v>
      </c>
      <c r="F423" s="4" t="s">
        <v>130</v>
      </c>
      <c r="G423" s="4" t="s">
        <v>44</v>
      </c>
      <c r="H423" s="4" t="str">
        <f>TRIM(CLEAN(SUBSTITUTE(Table1_1[[#This Row],[Salesperson]],"   "," ")))</f>
        <v>Simran Kaur</v>
      </c>
      <c r="I423" s="4" t="s">
        <v>19</v>
      </c>
      <c r="J423" s="4" t="s">
        <v>20</v>
      </c>
      <c r="K423" s="4" t="s">
        <v>87</v>
      </c>
      <c r="L423" s="4" t="s">
        <v>1674</v>
      </c>
      <c r="M423" s="4" t="s">
        <v>49</v>
      </c>
      <c r="N423" s="4" t="s">
        <v>24</v>
      </c>
      <c r="O423" s="4">
        <v>4</v>
      </c>
      <c r="P423" s="7">
        <v>55930</v>
      </c>
      <c r="Q423" s="8">
        <v>0.05</v>
      </c>
      <c r="R423" s="7">
        <v>36900</v>
      </c>
      <c r="S423" s="7">
        <f>Table1_1[[#This Row],[Units Sold]]*Table1_1[[#This Row],[Unit Price]]*(1-Table1_1[[#This Row],[Discount %]])</f>
        <v>212534</v>
      </c>
      <c r="T423" s="7">
        <f>Table1_1[[#This Row],[Units Sold]]*Table1_1[[#This Row],[Unit Cost]]</f>
        <v>147600</v>
      </c>
      <c r="U423" s="7">
        <f>Table1_1[[#This Row],[Calculated sales]]-Table1_1[[#This Row],[Total cost]]</f>
        <v>64934</v>
      </c>
      <c r="V423" s="4">
        <f>IFERROR(Table1_1[[#This Row],[Profit/Loss]]/Table1_1[[#This Row],[Calculated sales]],0)</f>
        <v>0.30552288104491515</v>
      </c>
    </row>
    <row r="424" spans="1:22" x14ac:dyDescent="0.25">
      <c r="A424" s="4" t="s">
        <v>570</v>
      </c>
      <c r="B424" s="5">
        <v>45533</v>
      </c>
      <c r="C424" s="4">
        <f>YEAR(Table1_1[[#This Row],[Order Dates]])</f>
        <v>2024</v>
      </c>
      <c r="D424" s="6">
        <f>MONTH(Table1_1[[#This Row],[Order Dates]])</f>
        <v>8</v>
      </c>
      <c r="E424" s="4" t="s">
        <v>37</v>
      </c>
      <c r="F424" s="4" t="s">
        <v>38</v>
      </c>
      <c r="G424" s="4" t="s">
        <v>68</v>
      </c>
      <c r="H424" s="4" t="str">
        <f>TRIM(CLEAN(SUBSTITUTE(Table1_1[[#This Row],[Salesperson]],"   "," ")))</f>
        <v>Ritika Ghosh</v>
      </c>
      <c r="I424" s="4" t="s">
        <v>19</v>
      </c>
      <c r="J424" s="4" t="s">
        <v>20</v>
      </c>
      <c r="K424" s="4" t="s">
        <v>109</v>
      </c>
      <c r="L424" s="4" t="s">
        <v>1675</v>
      </c>
      <c r="M424" s="4" t="s">
        <v>40</v>
      </c>
      <c r="N424" s="4" t="s">
        <v>24</v>
      </c>
      <c r="O424" s="4">
        <v>3</v>
      </c>
      <c r="P424" s="7">
        <v>71940</v>
      </c>
      <c r="Q424" s="8">
        <v>0.1</v>
      </c>
      <c r="R424" s="7">
        <v>55830</v>
      </c>
      <c r="S424" s="7">
        <f>Table1_1[[#This Row],[Units Sold]]*Table1_1[[#This Row],[Unit Price]]*(1-Table1_1[[#This Row],[Discount %]])</f>
        <v>194238</v>
      </c>
      <c r="T424" s="7">
        <f>Table1_1[[#This Row],[Units Sold]]*Table1_1[[#This Row],[Unit Cost]]</f>
        <v>167490</v>
      </c>
      <c r="U424" s="7">
        <f>Table1_1[[#This Row],[Calculated sales]]-Table1_1[[#This Row],[Total cost]]</f>
        <v>26748</v>
      </c>
      <c r="V424" s="4">
        <f>IFERROR(Table1_1[[#This Row],[Profit/Loss]]/Table1_1[[#This Row],[Calculated sales]],0)</f>
        <v>0.13770734871652301</v>
      </c>
    </row>
    <row r="425" spans="1:22" x14ac:dyDescent="0.25">
      <c r="A425" s="4" t="s">
        <v>571</v>
      </c>
      <c r="B425" s="5">
        <v>45534</v>
      </c>
      <c r="C425" s="4">
        <f>YEAR(Table1_1[[#This Row],[Order Dates]])</f>
        <v>2024</v>
      </c>
      <c r="D425" s="6">
        <f>MONTH(Table1_1[[#This Row],[Order Dates]])</f>
        <v>8</v>
      </c>
      <c r="E425" s="4" t="s">
        <v>56</v>
      </c>
      <c r="F425" s="4" t="s">
        <v>57</v>
      </c>
      <c r="G425" s="4" t="s">
        <v>134</v>
      </c>
      <c r="H425" s="4" t="str">
        <f>TRIM(CLEAN(SUBSTITUTE(Table1_1[[#This Row],[Salesperson]],"   "," ")))</f>
        <v>Divya Nair</v>
      </c>
      <c r="I425" s="4" t="s">
        <v>19</v>
      </c>
      <c r="J425" s="4" t="s">
        <v>59</v>
      </c>
      <c r="K425" s="4" t="s">
        <v>154</v>
      </c>
      <c r="L425" s="4" t="s">
        <v>155</v>
      </c>
      <c r="M425" s="4" t="s">
        <v>23</v>
      </c>
      <c r="N425" s="4" t="s">
        <v>24</v>
      </c>
      <c r="O425" s="4">
        <v>5</v>
      </c>
      <c r="P425" s="7">
        <v>12430</v>
      </c>
      <c r="Q425" s="8">
        <v>0</v>
      </c>
      <c r="R425" s="7">
        <v>9200</v>
      </c>
      <c r="S425" s="7">
        <f>Table1_1[[#This Row],[Units Sold]]*Table1_1[[#This Row],[Unit Price]]*(1-Table1_1[[#This Row],[Discount %]])</f>
        <v>62150</v>
      </c>
      <c r="T425" s="7">
        <f>Table1_1[[#This Row],[Units Sold]]*Table1_1[[#This Row],[Unit Cost]]</f>
        <v>46000</v>
      </c>
      <c r="U425" s="7">
        <f>Table1_1[[#This Row],[Calculated sales]]-Table1_1[[#This Row],[Total cost]]</f>
        <v>16150</v>
      </c>
      <c r="V425" s="4">
        <f>IFERROR(Table1_1[[#This Row],[Profit/Loss]]/Table1_1[[#This Row],[Calculated sales]],0)</f>
        <v>0.2598551890587289</v>
      </c>
    </row>
    <row r="426" spans="1:22" x14ac:dyDescent="0.25">
      <c r="A426" s="4" t="s">
        <v>572</v>
      </c>
      <c r="B426" s="5">
        <v>45534</v>
      </c>
      <c r="C426" s="4">
        <f>YEAR(Table1_1[[#This Row],[Order Dates]])</f>
        <v>2024</v>
      </c>
      <c r="D426" s="6">
        <f>MONTH(Table1_1[[#This Row],[Order Dates]])</f>
        <v>8</v>
      </c>
      <c r="E426" s="4" t="s">
        <v>56</v>
      </c>
      <c r="F426" s="4" t="s">
        <v>143</v>
      </c>
      <c r="G426" s="4" t="s">
        <v>91</v>
      </c>
      <c r="H426" s="4" t="str">
        <f>TRIM(CLEAN(SUBSTITUTE(Table1_1[[#This Row],[Salesperson]],"   "," ")))</f>
        <v>Anjali Menon</v>
      </c>
      <c r="I426" s="4" t="s">
        <v>45</v>
      </c>
      <c r="J426" s="4" t="s">
        <v>59</v>
      </c>
      <c r="K426" s="4" t="s">
        <v>73</v>
      </c>
      <c r="L426" s="4" t="s">
        <v>74</v>
      </c>
      <c r="M426" s="4" t="s">
        <v>23</v>
      </c>
      <c r="N426" s="4" t="s">
        <v>24</v>
      </c>
      <c r="O426" s="4">
        <v>2</v>
      </c>
      <c r="P426" s="7">
        <v>46260</v>
      </c>
      <c r="Q426" s="8">
        <v>0.08</v>
      </c>
      <c r="R426" s="7">
        <v>36480</v>
      </c>
      <c r="S426" s="7">
        <f>Table1_1[[#This Row],[Units Sold]]*Table1_1[[#This Row],[Unit Price]]*(1-Table1_1[[#This Row],[Discount %]])</f>
        <v>85118.400000000009</v>
      </c>
      <c r="T426" s="7">
        <f>Table1_1[[#This Row],[Units Sold]]*Table1_1[[#This Row],[Unit Cost]]</f>
        <v>72960</v>
      </c>
      <c r="U426" s="7">
        <f>Table1_1[[#This Row],[Calculated sales]]-Table1_1[[#This Row],[Total cost]]</f>
        <v>12158.400000000009</v>
      </c>
      <c r="V426" s="4">
        <f>IFERROR(Table1_1[[#This Row],[Profit/Loss]]/Table1_1[[#This Row],[Calculated sales]],0)</f>
        <v>0.14284103084644456</v>
      </c>
    </row>
    <row r="427" spans="1:22" x14ac:dyDescent="0.25">
      <c r="A427" s="4" t="s">
        <v>573</v>
      </c>
      <c r="B427" s="5">
        <v>45534</v>
      </c>
      <c r="C427" s="4">
        <f>YEAR(Table1_1[[#This Row],[Order Dates]])</f>
        <v>2024</v>
      </c>
      <c r="D427" s="6">
        <f>MONTH(Table1_1[[#This Row],[Order Dates]])</f>
        <v>8</v>
      </c>
      <c r="E427" s="4" t="s">
        <v>37</v>
      </c>
      <c r="F427" s="4" t="s">
        <v>161</v>
      </c>
      <c r="G427" s="4" t="s">
        <v>39</v>
      </c>
      <c r="H427" s="4" t="str">
        <f>TRIM(CLEAN(SUBSTITUTE(Table1_1[[#This Row],[Salesperson]],"   "," ")))</f>
        <v>Sourav Das</v>
      </c>
      <c r="I427" s="4" t="s">
        <v>92</v>
      </c>
      <c r="J427" s="4" t="s">
        <v>59</v>
      </c>
      <c r="K427" s="4" t="s">
        <v>69</v>
      </c>
      <c r="L427" s="4" t="s">
        <v>121</v>
      </c>
      <c r="M427" s="4" t="s">
        <v>40</v>
      </c>
      <c r="N427" s="4" t="s">
        <v>24</v>
      </c>
      <c r="O427" s="4">
        <v>25</v>
      </c>
      <c r="P427" s="7">
        <v>3710</v>
      </c>
      <c r="Q427" s="8">
        <v>0.15</v>
      </c>
      <c r="R427" s="7">
        <v>2750</v>
      </c>
      <c r="S427" s="7">
        <f>Table1_1[[#This Row],[Units Sold]]*Table1_1[[#This Row],[Unit Price]]*(1-Table1_1[[#This Row],[Discount %]])</f>
        <v>78837.5</v>
      </c>
      <c r="T427" s="7">
        <f>Table1_1[[#This Row],[Units Sold]]*Table1_1[[#This Row],[Unit Cost]]</f>
        <v>68750</v>
      </c>
      <c r="U427" s="7">
        <f>Table1_1[[#This Row],[Calculated sales]]-Table1_1[[#This Row],[Total cost]]</f>
        <v>10087.5</v>
      </c>
      <c r="V427" s="4">
        <f>IFERROR(Table1_1[[#This Row],[Profit/Loss]]/Table1_1[[#This Row],[Calculated sales]],0)</f>
        <v>0.12795306801966069</v>
      </c>
    </row>
    <row r="428" spans="1:22" x14ac:dyDescent="0.25">
      <c r="A428" s="4" t="s">
        <v>574</v>
      </c>
      <c r="B428" s="5">
        <v>45534</v>
      </c>
      <c r="C428" s="4">
        <f>YEAR(Table1_1[[#This Row],[Order Dates]])</f>
        <v>2024</v>
      </c>
      <c r="D428" s="6">
        <f>MONTH(Table1_1[[#This Row],[Order Dates]])</f>
        <v>8</v>
      </c>
      <c r="E428" s="4" t="s">
        <v>56</v>
      </c>
      <c r="F428" s="4" t="s">
        <v>72</v>
      </c>
      <c r="G428" s="4" t="s">
        <v>134</v>
      </c>
      <c r="H428" s="4" t="str">
        <f>TRIM(CLEAN(SUBSTITUTE(Table1_1[[#This Row],[Salesperson]],"   "," ")))</f>
        <v>Divya Nair</v>
      </c>
      <c r="I428" s="4" t="s">
        <v>52</v>
      </c>
      <c r="J428" s="4" t="s">
        <v>20</v>
      </c>
      <c r="K428" s="4" t="s">
        <v>109</v>
      </c>
      <c r="L428" s="4" t="s">
        <v>171</v>
      </c>
      <c r="M428" s="4" t="s">
        <v>23</v>
      </c>
      <c r="N428" s="4" t="s">
        <v>24</v>
      </c>
      <c r="O428" s="4">
        <v>2</v>
      </c>
      <c r="P428" s="7">
        <v>23560</v>
      </c>
      <c r="Q428" s="8">
        <v>0.15</v>
      </c>
      <c r="R428" s="7">
        <v>13710</v>
      </c>
      <c r="S428" s="7">
        <f>Table1_1[[#This Row],[Units Sold]]*Table1_1[[#This Row],[Unit Price]]*(1-Table1_1[[#This Row],[Discount %]])</f>
        <v>40052</v>
      </c>
      <c r="T428" s="7">
        <f>Table1_1[[#This Row],[Units Sold]]*Table1_1[[#This Row],[Unit Cost]]</f>
        <v>27420</v>
      </c>
      <c r="U428" s="7">
        <f>Table1_1[[#This Row],[Calculated sales]]-Table1_1[[#This Row],[Total cost]]</f>
        <v>12632</v>
      </c>
      <c r="V428" s="4">
        <f>IFERROR(Table1_1[[#This Row],[Profit/Loss]]/Table1_1[[#This Row],[Calculated sales]],0)</f>
        <v>0.31538999300908821</v>
      </c>
    </row>
    <row r="429" spans="1:22" x14ac:dyDescent="0.25">
      <c r="A429" s="4" t="s">
        <v>575</v>
      </c>
      <c r="B429" s="5">
        <v>45534</v>
      </c>
      <c r="C429" s="4">
        <f>YEAR(Table1_1[[#This Row],[Order Dates]])</f>
        <v>2024</v>
      </c>
      <c r="D429" s="6">
        <f>MONTH(Table1_1[[#This Row],[Order Dates]])</f>
        <v>8</v>
      </c>
      <c r="E429" s="4" t="s">
        <v>42</v>
      </c>
      <c r="F429" s="4" t="s">
        <v>146</v>
      </c>
      <c r="G429" s="4" t="s">
        <v>64</v>
      </c>
      <c r="H429" s="4" t="str">
        <f>TRIM(CLEAN(SUBSTITUTE(Table1_1[[#This Row],[Salesperson]],"   "," ")))</f>
        <v>Aditya Verma</v>
      </c>
      <c r="I429" s="4" t="s">
        <v>19</v>
      </c>
      <c r="J429" s="4" t="s">
        <v>59</v>
      </c>
      <c r="K429" s="4" t="s">
        <v>73</v>
      </c>
      <c r="L429" s="4" t="s">
        <v>74</v>
      </c>
      <c r="M429" s="4" t="s">
        <v>49</v>
      </c>
      <c r="N429" s="4" t="s">
        <v>24</v>
      </c>
      <c r="O429" s="4">
        <v>1</v>
      </c>
      <c r="P429" s="7">
        <v>43550</v>
      </c>
      <c r="Q429" s="8">
        <v>0.12</v>
      </c>
      <c r="R429" s="7">
        <v>29910</v>
      </c>
      <c r="S429" s="7">
        <f>Table1_1[[#This Row],[Units Sold]]*Table1_1[[#This Row],[Unit Price]]*(1-Table1_1[[#This Row],[Discount %]])</f>
        <v>38324</v>
      </c>
      <c r="T429" s="7">
        <f>Table1_1[[#This Row],[Units Sold]]*Table1_1[[#This Row],[Unit Cost]]</f>
        <v>29910</v>
      </c>
      <c r="U429" s="7">
        <f>Table1_1[[#This Row],[Calculated sales]]-Table1_1[[#This Row],[Total cost]]</f>
        <v>8414</v>
      </c>
      <c r="V429" s="4">
        <f>IFERROR(Table1_1[[#This Row],[Profit/Loss]]/Table1_1[[#This Row],[Calculated sales]],0)</f>
        <v>0.21954910760880911</v>
      </c>
    </row>
    <row r="430" spans="1:22" x14ac:dyDescent="0.25">
      <c r="A430" s="4" t="s">
        <v>576</v>
      </c>
      <c r="B430" s="5">
        <v>45535</v>
      </c>
      <c r="C430" s="4">
        <f>YEAR(Table1_1[[#This Row],[Order Dates]])</f>
        <v>2024</v>
      </c>
      <c r="D430" s="6">
        <f>MONTH(Table1_1[[#This Row],[Order Dates]])</f>
        <v>8</v>
      </c>
      <c r="E430" s="4" t="s">
        <v>37</v>
      </c>
      <c r="F430" s="4" t="s">
        <v>67</v>
      </c>
      <c r="G430" s="4" t="s">
        <v>68</v>
      </c>
      <c r="H430" s="4" t="str">
        <f>TRIM(CLEAN(SUBSTITUTE(Table1_1[[#This Row],[Salesperson]],"   "," ")))</f>
        <v>Ritika Ghosh</v>
      </c>
      <c r="I430" s="4" t="s">
        <v>52</v>
      </c>
      <c r="J430" s="4" t="s">
        <v>20</v>
      </c>
      <c r="K430" s="4" t="s">
        <v>21</v>
      </c>
      <c r="L430" s="4" t="s">
        <v>1667</v>
      </c>
      <c r="M430" s="4" t="s">
        <v>23</v>
      </c>
      <c r="N430" s="4" t="s">
        <v>24</v>
      </c>
      <c r="O430" s="4">
        <v>7</v>
      </c>
      <c r="P430" s="7">
        <v>1840</v>
      </c>
      <c r="Q430" s="8">
        <v>0.05</v>
      </c>
      <c r="R430" s="7">
        <v>1190</v>
      </c>
      <c r="S430" s="7">
        <f>Table1_1[[#This Row],[Units Sold]]*Table1_1[[#This Row],[Unit Price]]*(1-Table1_1[[#This Row],[Discount %]])</f>
        <v>12236</v>
      </c>
      <c r="T430" s="7">
        <f>Table1_1[[#This Row],[Units Sold]]*Table1_1[[#This Row],[Unit Cost]]</f>
        <v>8330</v>
      </c>
      <c r="U430" s="7">
        <f>Table1_1[[#This Row],[Calculated sales]]-Table1_1[[#This Row],[Total cost]]</f>
        <v>3906</v>
      </c>
      <c r="V430" s="4">
        <f>IFERROR(Table1_1[[#This Row],[Profit/Loss]]/Table1_1[[#This Row],[Calculated sales]],0)</f>
        <v>0.31922196796338675</v>
      </c>
    </row>
    <row r="431" spans="1:22" x14ac:dyDescent="0.25">
      <c r="A431" s="4" t="s">
        <v>577</v>
      </c>
      <c r="B431" s="5">
        <v>45536</v>
      </c>
      <c r="C431" s="4">
        <f>YEAR(Table1_1[[#This Row],[Order Dates]])</f>
        <v>2024</v>
      </c>
      <c r="D431" s="6">
        <f>MONTH(Table1_1[[#This Row],[Order Dates]])</f>
        <v>9</v>
      </c>
      <c r="E431" s="4" t="s">
        <v>76</v>
      </c>
      <c r="F431" s="4" t="s">
        <v>217</v>
      </c>
      <c r="G431" s="4" t="s">
        <v>170</v>
      </c>
      <c r="H431" s="4" t="str">
        <f>TRIM(CLEAN(SUBSTITUTE(Table1_1[[#This Row],[Salesperson]],"   "," ")))</f>
        <v>Manish Tiwari</v>
      </c>
      <c r="I431" s="4" t="s">
        <v>19</v>
      </c>
      <c r="J431" s="4" t="s">
        <v>27</v>
      </c>
      <c r="K431" s="4" t="s">
        <v>53</v>
      </c>
      <c r="L431" s="4" t="s">
        <v>1669</v>
      </c>
      <c r="M431" s="4" t="s">
        <v>23</v>
      </c>
      <c r="N431" s="4" t="s">
        <v>24</v>
      </c>
      <c r="O431" s="4">
        <v>2</v>
      </c>
      <c r="P431" s="7">
        <v>41580</v>
      </c>
      <c r="Q431" s="8">
        <v>0.05</v>
      </c>
      <c r="R431" s="7">
        <v>27260</v>
      </c>
      <c r="S431" s="7">
        <f>Table1_1[[#This Row],[Units Sold]]*Table1_1[[#This Row],[Unit Price]]*(1-Table1_1[[#This Row],[Discount %]])</f>
        <v>79002</v>
      </c>
      <c r="T431" s="7">
        <f>Table1_1[[#This Row],[Units Sold]]*Table1_1[[#This Row],[Unit Cost]]</f>
        <v>54520</v>
      </c>
      <c r="U431" s="7">
        <f>Table1_1[[#This Row],[Calculated sales]]-Table1_1[[#This Row],[Total cost]]</f>
        <v>24482</v>
      </c>
      <c r="V431" s="4">
        <f>IFERROR(Table1_1[[#This Row],[Profit/Loss]]/Table1_1[[#This Row],[Calculated sales]],0)</f>
        <v>0.30989088883825727</v>
      </c>
    </row>
    <row r="432" spans="1:22" x14ac:dyDescent="0.25">
      <c r="A432" s="4" t="s">
        <v>578</v>
      </c>
      <c r="B432" s="5">
        <v>45538</v>
      </c>
      <c r="C432" s="4">
        <f>YEAR(Table1_1[[#This Row],[Order Dates]])</f>
        <v>2024</v>
      </c>
      <c r="D432" s="6">
        <f>MONTH(Table1_1[[#This Row],[Order Dates]])</f>
        <v>9</v>
      </c>
      <c r="E432" s="4" t="s">
        <v>56</v>
      </c>
      <c r="F432" s="4" t="s">
        <v>57</v>
      </c>
      <c r="G432" s="4" t="s">
        <v>134</v>
      </c>
      <c r="H432" s="4" t="str">
        <f>TRIM(CLEAN(SUBSTITUTE(Table1_1[[#This Row],[Salesperson]],"   "," ")))</f>
        <v>Divya Nair</v>
      </c>
      <c r="I432" s="4" t="s">
        <v>19</v>
      </c>
      <c r="J432" s="4" t="s">
        <v>83</v>
      </c>
      <c r="K432" s="4" t="s">
        <v>136</v>
      </c>
      <c r="L432" s="4" t="s">
        <v>137</v>
      </c>
      <c r="M432" s="4" t="s">
        <v>49</v>
      </c>
      <c r="N432" s="4" t="s">
        <v>24</v>
      </c>
      <c r="O432" s="4">
        <v>8</v>
      </c>
      <c r="P432" s="7">
        <v>1710</v>
      </c>
      <c r="Q432" s="8">
        <v>0.15</v>
      </c>
      <c r="R432" s="7">
        <v>1110</v>
      </c>
      <c r="S432" s="7">
        <f>Table1_1[[#This Row],[Units Sold]]*Table1_1[[#This Row],[Unit Price]]*(1-Table1_1[[#This Row],[Discount %]])</f>
        <v>11628</v>
      </c>
      <c r="T432" s="7">
        <f>Table1_1[[#This Row],[Units Sold]]*Table1_1[[#This Row],[Unit Cost]]</f>
        <v>8880</v>
      </c>
      <c r="U432" s="7">
        <f>Table1_1[[#This Row],[Calculated sales]]-Table1_1[[#This Row],[Total cost]]</f>
        <v>2748</v>
      </c>
      <c r="V432" s="4">
        <f>IFERROR(Table1_1[[#This Row],[Profit/Loss]]/Table1_1[[#This Row],[Calculated sales]],0)</f>
        <v>0.23632610939112486</v>
      </c>
    </row>
    <row r="433" spans="1:22" x14ac:dyDescent="0.25">
      <c r="A433" s="4" t="s">
        <v>579</v>
      </c>
      <c r="B433" s="5">
        <v>45539</v>
      </c>
      <c r="C433" s="4">
        <f>YEAR(Table1_1[[#This Row],[Order Dates]])</f>
        <v>2024</v>
      </c>
      <c r="D433" s="6">
        <f>MONTH(Table1_1[[#This Row],[Order Dates]])</f>
        <v>9</v>
      </c>
      <c r="E433" s="4" t="s">
        <v>42</v>
      </c>
      <c r="F433" s="4" t="s">
        <v>96</v>
      </c>
      <c r="G433" s="4" t="s">
        <v>64</v>
      </c>
      <c r="H433" s="4" t="str">
        <f>TRIM(CLEAN(SUBSTITUTE(Table1_1[[#This Row],[Salesperson]],"   "," ")))</f>
        <v>Aditya Verma</v>
      </c>
      <c r="I433" s="4" t="s">
        <v>92</v>
      </c>
      <c r="J433" s="4" t="s">
        <v>46</v>
      </c>
      <c r="K433" s="4" t="s">
        <v>179</v>
      </c>
      <c r="L433" s="4" t="s">
        <v>236</v>
      </c>
      <c r="M433" s="4" t="s">
        <v>23</v>
      </c>
      <c r="N433" s="4" t="s">
        <v>24</v>
      </c>
      <c r="O433" s="4">
        <v>73</v>
      </c>
      <c r="P433" s="7">
        <v>2140</v>
      </c>
      <c r="Q433" s="8">
        <v>0.12</v>
      </c>
      <c r="R433" s="7">
        <v>1480</v>
      </c>
      <c r="S433" s="7">
        <f>Table1_1[[#This Row],[Units Sold]]*Table1_1[[#This Row],[Unit Price]]*(1-Table1_1[[#This Row],[Discount %]])</f>
        <v>137473.60000000001</v>
      </c>
      <c r="T433" s="7">
        <f>Table1_1[[#This Row],[Units Sold]]*Table1_1[[#This Row],[Unit Cost]]</f>
        <v>108040</v>
      </c>
      <c r="U433" s="7">
        <f>Table1_1[[#This Row],[Calculated sales]]-Table1_1[[#This Row],[Total cost]]</f>
        <v>29433.600000000006</v>
      </c>
      <c r="V433" s="4">
        <f>IFERROR(Table1_1[[#This Row],[Profit/Loss]]/Table1_1[[#This Row],[Calculated sales]],0)</f>
        <v>0.21410365335598983</v>
      </c>
    </row>
    <row r="434" spans="1:22" x14ac:dyDescent="0.25">
      <c r="A434" s="4" t="s">
        <v>580</v>
      </c>
      <c r="B434" s="5">
        <v>45539</v>
      </c>
      <c r="C434" s="4">
        <f>YEAR(Table1_1[[#This Row],[Order Dates]])</f>
        <v>2024</v>
      </c>
      <c r="D434" s="6">
        <f>MONTH(Table1_1[[#This Row],[Order Dates]])</f>
        <v>9</v>
      </c>
      <c r="E434" s="4" t="s">
        <v>42</v>
      </c>
      <c r="F434" s="4" t="s">
        <v>265</v>
      </c>
      <c r="G434" s="4" t="s">
        <v>64</v>
      </c>
      <c r="H434" s="4" t="str">
        <f>TRIM(CLEAN(SUBSTITUTE(Table1_1[[#This Row],[Salesperson]],"   "," ")))</f>
        <v>Aditya Verma</v>
      </c>
      <c r="I434" s="4" t="s">
        <v>52</v>
      </c>
      <c r="J434" s="4" t="s">
        <v>83</v>
      </c>
      <c r="K434" s="4" t="s">
        <v>184</v>
      </c>
      <c r="L434" s="4" t="s">
        <v>1679</v>
      </c>
      <c r="M434" s="4" t="s">
        <v>40</v>
      </c>
      <c r="N434" s="4" t="s">
        <v>24</v>
      </c>
      <c r="O434" s="4">
        <v>4</v>
      </c>
      <c r="P434" s="7">
        <v>4350</v>
      </c>
      <c r="Q434" s="8">
        <v>0.1</v>
      </c>
      <c r="R434" s="7">
        <v>3230</v>
      </c>
      <c r="S434" s="7">
        <f>Table1_1[[#This Row],[Units Sold]]*Table1_1[[#This Row],[Unit Price]]*(1-Table1_1[[#This Row],[Discount %]])</f>
        <v>15660</v>
      </c>
      <c r="T434" s="7">
        <f>Table1_1[[#This Row],[Units Sold]]*Table1_1[[#This Row],[Unit Cost]]</f>
        <v>12920</v>
      </c>
      <c r="U434" s="7">
        <f>Table1_1[[#This Row],[Calculated sales]]-Table1_1[[#This Row],[Total cost]]</f>
        <v>2740</v>
      </c>
      <c r="V434" s="4">
        <f>IFERROR(Table1_1[[#This Row],[Profit/Loss]]/Table1_1[[#This Row],[Calculated sales]],0)</f>
        <v>0.17496807151979565</v>
      </c>
    </row>
    <row r="435" spans="1:22" x14ac:dyDescent="0.25">
      <c r="A435" s="4" t="s">
        <v>581</v>
      </c>
      <c r="B435" s="5">
        <v>45539</v>
      </c>
      <c r="C435" s="4">
        <f>YEAR(Table1_1[[#This Row],[Order Dates]])</f>
        <v>2024</v>
      </c>
      <c r="D435" s="6">
        <f>MONTH(Table1_1[[#This Row],[Order Dates]])</f>
        <v>9</v>
      </c>
      <c r="E435" s="4" t="s">
        <v>42</v>
      </c>
      <c r="F435" s="4" t="s">
        <v>130</v>
      </c>
      <c r="G435" s="4" t="s">
        <v>44</v>
      </c>
      <c r="H435" s="4" t="str">
        <f>TRIM(CLEAN(SUBSTITUTE(Table1_1[[#This Row],[Salesperson]],"   "," ")))</f>
        <v>Simran Kaur</v>
      </c>
      <c r="I435" s="4" t="s">
        <v>19</v>
      </c>
      <c r="J435" s="4" t="s">
        <v>20</v>
      </c>
      <c r="K435" s="4" t="s">
        <v>33</v>
      </c>
      <c r="L435" s="4" t="s">
        <v>34</v>
      </c>
      <c r="M435" s="4" t="s">
        <v>49</v>
      </c>
      <c r="N435" s="4" t="s">
        <v>24</v>
      </c>
      <c r="O435" s="4">
        <v>3</v>
      </c>
      <c r="P435" s="7">
        <v>55730</v>
      </c>
      <c r="Q435" s="8">
        <v>0.1</v>
      </c>
      <c r="R435" s="7">
        <v>43320</v>
      </c>
      <c r="S435" s="7">
        <f>Table1_1[[#This Row],[Units Sold]]*Table1_1[[#This Row],[Unit Price]]*(1-Table1_1[[#This Row],[Discount %]])</f>
        <v>150471</v>
      </c>
      <c r="T435" s="7">
        <f>Table1_1[[#This Row],[Units Sold]]*Table1_1[[#This Row],[Unit Cost]]</f>
        <v>129960</v>
      </c>
      <c r="U435" s="7">
        <f>Table1_1[[#This Row],[Calculated sales]]-Table1_1[[#This Row],[Total cost]]</f>
        <v>20511</v>
      </c>
      <c r="V435" s="4">
        <f>IFERROR(Table1_1[[#This Row],[Profit/Loss]]/Table1_1[[#This Row],[Calculated sales]],0)</f>
        <v>0.13631198038160178</v>
      </c>
    </row>
    <row r="436" spans="1:22" x14ac:dyDescent="0.25">
      <c r="A436" s="4" t="s">
        <v>582</v>
      </c>
      <c r="B436" s="5">
        <v>45539</v>
      </c>
      <c r="C436" s="4">
        <f>YEAR(Table1_1[[#This Row],[Order Dates]])</f>
        <v>2024</v>
      </c>
      <c r="D436" s="6">
        <f>MONTH(Table1_1[[#This Row],[Order Dates]])</f>
        <v>9</v>
      </c>
      <c r="E436" s="4" t="s">
        <v>42</v>
      </c>
      <c r="F436" s="4" t="s">
        <v>123</v>
      </c>
      <c r="G436" s="4" t="s">
        <v>97</v>
      </c>
      <c r="H436" s="4" t="str">
        <f>TRIM(CLEAN(SUBSTITUTE(Table1_1[[#This Row],[Salesperson]],"   "," ")))</f>
        <v>Rohit Malhotra</v>
      </c>
      <c r="I436" s="4" t="s">
        <v>92</v>
      </c>
      <c r="J436" s="4" t="s">
        <v>27</v>
      </c>
      <c r="K436" s="4" t="s">
        <v>214</v>
      </c>
      <c r="L436" s="4" t="s">
        <v>1680</v>
      </c>
      <c r="M436" s="4" t="s">
        <v>40</v>
      </c>
      <c r="N436" s="4" t="s">
        <v>35</v>
      </c>
      <c r="O436" s="4">
        <v>2</v>
      </c>
      <c r="P436" s="7">
        <v>34050</v>
      </c>
      <c r="Q436" s="8">
        <v>0.18</v>
      </c>
      <c r="R436" s="7">
        <v>24970</v>
      </c>
      <c r="S436" s="7">
        <f>Table1_1[[#This Row],[Units Sold]]*Table1_1[[#This Row],[Unit Price]]*(1-Table1_1[[#This Row],[Discount %]])</f>
        <v>55842.000000000007</v>
      </c>
      <c r="T436" s="7">
        <f>Table1_1[[#This Row],[Units Sold]]*Table1_1[[#This Row],[Unit Cost]]</f>
        <v>49940</v>
      </c>
      <c r="U436" s="7">
        <f>Table1_1[[#This Row],[Calculated sales]]-Table1_1[[#This Row],[Total cost]]</f>
        <v>5902.0000000000073</v>
      </c>
      <c r="V436" s="4">
        <f>IFERROR(Table1_1[[#This Row],[Profit/Loss]]/Table1_1[[#This Row],[Calculated sales]],0)</f>
        <v>0.10569105691056922</v>
      </c>
    </row>
    <row r="437" spans="1:22" x14ac:dyDescent="0.25">
      <c r="A437" s="4" t="s">
        <v>583</v>
      </c>
      <c r="B437" s="5">
        <v>45539</v>
      </c>
      <c r="C437" s="4">
        <f>YEAR(Table1_1[[#This Row],[Order Dates]])</f>
        <v>2024</v>
      </c>
      <c r="D437" s="6">
        <f>MONTH(Table1_1[[#This Row],[Order Dates]])</f>
        <v>9</v>
      </c>
      <c r="E437" s="4" t="s">
        <v>37</v>
      </c>
      <c r="F437" s="4" t="s">
        <v>67</v>
      </c>
      <c r="G437" s="4" t="s">
        <v>68</v>
      </c>
      <c r="H437" s="4" t="str">
        <f>TRIM(CLEAN(SUBSTITUTE(Table1_1[[#This Row],[Salesperson]],"   "," ")))</f>
        <v>Ritika Ghosh</v>
      </c>
      <c r="I437" s="4" t="s">
        <v>52</v>
      </c>
      <c r="J437" s="4" t="s">
        <v>20</v>
      </c>
      <c r="K437" s="4" t="s">
        <v>33</v>
      </c>
      <c r="L437" s="4" t="s">
        <v>34</v>
      </c>
      <c r="M437" s="4" t="s">
        <v>40</v>
      </c>
      <c r="N437" s="4" t="s">
        <v>24</v>
      </c>
      <c r="O437" s="4">
        <v>2</v>
      </c>
      <c r="P437" s="7">
        <v>58990</v>
      </c>
      <c r="Q437" s="8">
        <v>0.08</v>
      </c>
      <c r="R437" s="7">
        <v>45110</v>
      </c>
      <c r="S437" s="7">
        <f>Table1_1[[#This Row],[Units Sold]]*Table1_1[[#This Row],[Unit Price]]*(1-Table1_1[[#This Row],[Discount %]])</f>
        <v>108541.6</v>
      </c>
      <c r="T437" s="7">
        <f>Table1_1[[#This Row],[Units Sold]]*Table1_1[[#This Row],[Unit Cost]]</f>
        <v>90220</v>
      </c>
      <c r="U437" s="7">
        <f>Table1_1[[#This Row],[Calculated sales]]-Table1_1[[#This Row],[Total cost]]</f>
        <v>18321.600000000006</v>
      </c>
      <c r="V437" s="4">
        <f>IFERROR(Table1_1[[#This Row],[Profit/Loss]]/Table1_1[[#This Row],[Calculated sales]],0)</f>
        <v>0.16879795396419442</v>
      </c>
    </row>
    <row r="438" spans="1:22" x14ac:dyDescent="0.25">
      <c r="A438" s="4" t="s">
        <v>584</v>
      </c>
      <c r="B438" s="5">
        <v>45539</v>
      </c>
      <c r="C438" s="4">
        <f>YEAR(Table1_1[[#This Row],[Order Dates]])</f>
        <v>2024</v>
      </c>
      <c r="D438" s="6">
        <f>MONTH(Table1_1[[#This Row],[Order Dates]])</f>
        <v>9</v>
      </c>
      <c r="E438" s="4" t="s">
        <v>56</v>
      </c>
      <c r="F438" s="4" t="s">
        <v>143</v>
      </c>
      <c r="G438" s="4" t="s">
        <v>58</v>
      </c>
      <c r="H438" s="4" t="str">
        <f>TRIM(CLEAN(SUBSTITUTE(Table1_1[[#This Row],[Salesperson]],"   "," ")))</f>
        <v>Karthik Raman</v>
      </c>
      <c r="I438" s="4" t="s">
        <v>52</v>
      </c>
      <c r="J438" s="4" t="s">
        <v>27</v>
      </c>
      <c r="K438" s="4" t="s">
        <v>79</v>
      </c>
      <c r="L438" s="4" t="s">
        <v>262</v>
      </c>
      <c r="M438" s="4" t="s">
        <v>49</v>
      </c>
      <c r="N438" s="4" t="s">
        <v>24</v>
      </c>
      <c r="O438" s="4">
        <v>26</v>
      </c>
      <c r="P438" s="7">
        <v>2480</v>
      </c>
      <c r="Q438" s="8">
        <v>0.12</v>
      </c>
      <c r="R438" s="7">
        <v>1670</v>
      </c>
      <c r="S438" s="7">
        <f>Table1_1[[#This Row],[Units Sold]]*Table1_1[[#This Row],[Unit Price]]*(1-Table1_1[[#This Row],[Discount %]])</f>
        <v>56742.400000000001</v>
      </c>
      <c r="T438" s="7">
        <f>Table1_1[[#This Row],[Units Sold]]*Table1_1[[#This Row],[Unit Cost]]</f>
        <v>43420</v>
      </c>
      <c r="U438" s="7">
        <f>Table1_1[[#This Row],[Calculated sales]]-Table1_1[[#This Row],[Total cost]]</f>
        <v>13322.400000000001</v>
      </c>
      <c r="V438" s="4">
        <f>IFERROR(Table1_1[[#This Row],[Profit/Loss]]/Table1_1[[#This Row],[Calculated sales]],0)</f>
        <v>0.23478739002932553</v>
      </c>
    </row>
    <row r="439" spans="1:22" x14ac:dyDescent="0.25">
      <c r="A439" s="4" t="s">
        <v>585</v>
      </c>
      <c r="B439" s="5">
        <v>45539</v>
      </c>
      <c r="C439" s="4">
        <f>YEAR(Table1_1[[#This Row],[Order Dates]])</f>
        <v>2024</v>
      </c>
      <c r="D439" s="6">
        <f>MONTH(Table1_1[[#This Row],[Order Dates]])</f>
        <v>9</v>
      </c>
      <c r="E439" s="4" t="s">
        <v>37</v>
      </c>
      <c r="F439" s="4" t="s">
        <v>38</v>
      </c>
      <c r="G439" s="4" t="s">
        <v>68</v>
      </c>
      <c r="H439" s="4" t="str">
        <f>TRIM(CLEAN(SUBSTITUTE(Table1_1[[#This Row],[Salesperson]],"   "," ")))</f>
        <v>Ritika Ghosh</v>
      </c>
      <c r="I439" s="4" t="s">
        <v>52</v>
      </c>
      <c r="J439" s="4" t="s">
        <v>59</v>
      </c>
      <c r="K439" s="4" t="s">
        <v>154</v>
      </c>
      <c r="L439" s="4" t="s">
        <v>249</v>
      </c>
      <c r="M439" s="4" t="s">
        <v>49</v>
      </c>
      <c r="N439" s="4" t="s">
        <v>24</v>
      </c>
      <c r="O439" s="4">
        <v>15</v>
      </c>
      <c r="P439" s="7">
        <v>6920</v>
      </c>
      <c r="Q439" s="8">
        <v>0.15</v>
      </c>
      <c r="R439" s="7">
        <v>4900</v>
      </c>
      <c r="S439" s="7">
        <f>Table1_1[[#This Row],[Units Sold]]*Table1_1[[#This Row],[Unit Price]]*(1-Table1_1[[#This Row],[Discount %]])</f>
        <v>88230</v>
      </c>
      <c r="T439" s="7">
        <f>Table1_1[[#This Row],[Units Sold]]*Table1_1[[#This Row],[Unit Cost]]</f>
        <v>73500</v>
      </c>
      <c r="U439" s="7">
        <f>Table1_1[[#This Row],[Calculated sales]]-Table1_1[[#This Row],[Total cost]]</f>
        <v>14730</v>
      </c>
      <c r="V439" s="4">
        <f>IFERROR(Table1_1[[#This Row],[Profit/Loss]]/Table1_1[[#This Row],[Calculated sales]],0)</f>
        <v>0.16695001700102005</v>
      </c>
    </row>
    <row r="440" spans="1:22" x14ac:dyDescent="0.25">
      <c r="A440" s="4" t="s">
        <v>586</v>
      </c>
      <c r="B440" s="5">
        <v>45541</v>
      </c>
      <c r="C440" s="4">
        <f>YEAR(Table1_1[[#This Row],[Order Dates]])</f>
        <v>2024</v>
      </c>
      <c r="D440" s="6">
        <f>MONTH(Table1_1[[#This Row],[Order Dates]])</f>
        <v>9</v>
      </c>
      <c r="E440" s="4" t="s">
        <v>37</v>
      </c>
      <c r="F440" s="4" t="s">
        <v>67</v>
      </c>
      <c r="G440" s="4" t="s">
        <v>68</v>
      </c>
      <c r="H440" s="4" t="str">
        <f>TRIM(CLEAN(SUBSTITUTE(Table1_1[[#This Row],[Salesperson]],"   "," ")))</f>
        <v>Ritika Ghosh</v>
      </c>
      <c r="I440" s="4" t="s">
        <v>92</v>
      </c>
      <c r="J440" s="4" t="s">
        <v>59</v>
      </c>
      <c r="K440" s="4" t="s">
        <v>154</v>
      </c>
      <c r="L440" s="4" t="s">
        <v>155</v>
      </c>
      <c r="M440" s="4" t="s">
        <v>40</v>
      </c>
      <c r="N440" s="4" t="s">
        <v>24</v>
      </c>
      <c r="O440" s="4">
        <v>13</v>
      </c>
      <c r="P440" s="7">
        <v>11980</v>
      </c>
      <c r="Q440" s="8">
        <v>0.15</v>
      </c>
      <c r="R440" s="7">
        <v>9220</v>
      </c>
      <c r="S440" s="7">
        <f>Table1_1[[#This Row],[Units Sold]]*Table1_1[[#This Row],[Unit Price]]*(1-Table1_1[[#This Row],[Discount %]])</f>
        <v>132379</v>
      </c>
      <c r="T440" s="7">
        <f>Table1_1[[#This Row],[Units Sold]]*Table1_1[[#This Row],[Unit Cost]]</f>
        <v>119860</v>
      </c>
      <c r="U440" s="7">
        <f>Table1_1[[#This Row],[Calculated sales]]-Table1_1[[#This Row],[Total cost]]</f>
        <v>12519</v>
      </c>
      <c r="V440" s="4">
        <f>IFERROR(Table1_1[[#This Row],[Profit/Loss]]/Table1_1[[#This Row],[Calculated sales]],0)</f>
        <v>9.4569380339781989E-2</v>
      </c>
    </row>
    <row r="441" spans="1:22" x14ac:dyDescent="0.25">
      <c r="A441" s="4" t="s">
        <v>587</v>
      </c>
      <c r="B441" s="5">
        <v>45541</v>
      </c>
      <c r="C441" s="4">
        <f>YEAR(Table1_1[[#This Row],[Order Dates]])</f>
        <v>2024</v>
      </c>
      <c r="D441" s="6">
        <f>MONTH(Table1_1[[#This Row],[Order Dates]])</f>
        <v>9</v>
      </c>
      <c r="E441" s="4" t="s">
        <v>37</v>
      </c>
      <c r="F441" s="4" t="s">
        <v>67</v>
      </c>
      <c r="G441" s="4" t="s">
        <v>39</v>
      </c>
      <c r="H441" s="4" t="str">
        <f>TRIM(CLEAN(SUBSTITUTE(Table1_1[[#This Row],[Salesperson]],"   "," ")))</f>
        <v>Sourav Das</v>
      </c>
      <c r="I441" s="4" t="s">
        <v>92</v>
      </c>
      <c r="J441" s="4" t="s">
        <v>27</v>
      </c>
      <c r="K441" s="4" t="s">
        <v>28</v>
      </c>
      <c r="L441" s="4" t="s">
        <v>141</v>
      </c>
      <c r="M441" s="4" t="s">
        <v>49</v>
      </c>
      <c r="N441" s="4" t="s">
        <v>24</v>
      </c>
      <c r="O441" s="4">
        <v>10</v>
      </c>
      <c r="P441" s="7">
        <v>17270</v>
      </c>
      <c r="Q441" s="8">
        <v>0.1</v>
      </c>
      <c r="R441" s="7">
        <v>10670</v>
      </c>
      <c r="S441" s="7">
        <f>Table1_1[[#This Row],[Units Sold]]*Table1_1[[#This Row],[Unit Price]]*(1-Table1_1[[#This Row],[Discount %]])</f>
        <v>155430</v>
      </c>
      <c r="T441" s="7">
        <f>Table1_1[[#This Row],[Units Sold]]*Table1_1[[#This Row],[Unit Cost]]</f>
        <v>106700</v>
      </c>
      <c r="U441" s="7">
        <f>Table1_1[[#This Row],[Calculated sales]]-Table1_1[[#This Row],[Total cost]]</f>
        <v>48730</v>
      </c>
      <c r="V441" s="4">
        <f>IFERROR(Table1_1[[#This Row],[Profit/Loss]]/Table1_1[[#This Row],[Calculated sales]],0)</f>
        <v>0.31351733899504602</v>
      </c>
    </row>
    <row r="442" spans="1:22" x14ac:dyDescent="0.25">
      <c r="A442" s="4" t="s">
        <v>588</v>
      </c>
      <c r="B442" s="5">
        <v>45542</v>
      </c>
      <c r="C442" s="4">
        <f>YEAR(Table1_1[[#This Row],[Order Dates]])</f>
        <v>2024</v>
      </c>
      <c r="D442" s="6">
        <f>MONTH(Table1_1[[#This Row],[Order Dates]])</f>
        <v>9</v>
      </c>
      <c r="E442" s="4" t="s">
        <v>42</v>
      </c>
      <c r="F442" s="4" t="s">
        <v>130</v>
      </c>
      <c r="G442" s="4" t="s">
        <v>44</v>
      </c>
      <c r="H442" s="4" t="str">
        <f>TRIM(CLEAN(SUBSTITUTE(Table1_1[[#This Row],[Salesperson]],"   "," ")))</f>
        <v>Simran Kaur</v>
      </c>
      <c r="I442" s="4" t="s">
        <v>19</v>
      </c>
      <c r="J442" s="4" t="s">
        <v>20</v>
      </c>
      <c r="K442" s="4" t="s">
        <v>109</v>
      </c>
      <c r="L442" s="4" t="s">
        <v>171</v>
      </c>
      <c r="M442" s="4" t="s">
        <v>23</v>
      </c>
      <c r="N442" s="4" t="s">
        <v>24</v>
      </c>
      <c r="O442" s="4">
        <v>4</v>
      </c>
      <c r="P442" s="7">
        <v>22280</v>
      </c>
      <c r="Q442" s="8">
        <v>0.08</v>
      </c>
      <c r="R442" s="7">
        <v>16160</v>
      </c>
      <c r="S442" s="7">
        <f>Table1_1[[#This Row],[Units Sold]]*Table1_1[[#This Row],[Unit Price]]*(1-Table1_1[[#This Row],[Discount %]])</f>
        <v>81990.400000000009</v>
      </c>
      <c r="T442" s="7">
        <f>Table1_1[[#This Row],[Units Sold]]*Table1_1[[#This Row],[Unit Cost]]</f>
        <v>64640</v>
      </c>
      <c r="U442" s="7">
        <f>Table1_1[[#This Row],[Calculated sales]]-Table1_1[[#This Row],[Total cost]]</f>
        <v>17350.400000000009</v>
      </c>
      <c r="V442" s="4">
        <f>IFERROR(Table1_1[[#This Row],[Profit/Loss]]/Table1_1[[#This Row],[Calculated sales]],0)</f>
        <v>0.21161501834361104</v>
      </c>
    </row>
    <row r="443" spans="1:22" x14ac:dyDescent="0.25">
      <c r="A443" s="4" t="s">
        <v>589</v>
      </c>
      <c r="B443" s="5">
        <v>45542</v>
      </c>
      <c r="C443" s="4">
        <f>YEAR(Table1_1[[#This Row],[Order Dates]])</f>
        <v>2024</v>
      </c>
      <c r="D443" s="6">
        <f>MONTH(Table1_1[[#This Row],[Order Dates]])</f>
        <v>9</v>
      </c>
      <c r="E443" s="4" t="s">
        <v>76</v>
      </c>
      <c r="F443" s="4" t="s">
        <v>77</v>
      </c>
      <c r="G443" s="4" t="s">
        <v>78</v>
      </c>
      <c r="H443" s="4" t="str">
        <f>TRIM(CLEAN(SUBSTITUTE(Table1_1[[#This Row],[Salesperson]],"   "," ")))</f>
        <v>Pooja Chouhan</v>
      </c>
      <c r="I443" s="4" t="s">
        <v>92</v>
      </c>
      <c r="J443" s="4" t="s">
        <v>20</v>
      </c>
      <c r="K443" s="4" t="s">
        <v>109</v>
      </c>
      <c r="L443" s="4" t="s">
        <v>159</v>
      </c>
      <c r="M443" s="4" t="s">
        <v>23</v>
      </c>
      <c r="N443" s="4" t="s">
        <v>24</v>
      </c>
      <c r="O443" s="4">
        <v>1</v>
      </c>
      <c r="P443" s="7">
        <v>17280</v>
      </c>
      <c r="Q443" s="8">
        <v>0</v>
      </c>
      <c r="R443" s="7">
        <v>9770</v>
      </c>
      <c r="S443" s="7">
        <f>Table1_1[[#This Row],[Units Sold]]*Table1_1[[#This Row],[Unit Price]]*(1-Table1_1[[#This Row],[Discount %]])</f>
        <v>17280</v>
      </c>
      <c r="T443" s="7">
        <f>Table1_1[[#This Row],[Units Sold]]*Table1_1[[#This Row],[Unit Cost]]</f>
        <v>9770</v>
      </c>
      <c r="U443" s="7">
        <f>Table1_1[[#This Row],[Calculated sales]]-Table1_1[[#This Row],[Total cost]]</f>
        <v>7510</v>
      </c>
      <c r="V443" s="4">
        <f>IFERROR(Table1_1[[#This Row],[Profit/Loss]]/Table1_1[[#This Row],[Calculated sales]],0)</f>
        <v>0.43460648148148145</v>
      </c>
    </row>
    <row r="444" spans="1:22" x14ac:dyDescent="0.25">
      <c r="A444" s="4" t="s">
        <v>590</v>
      </c>
      <c r="B444" s="5">
        <v>45542</v>
      </c>
      <c r="C444" s="4">
        <f>YEAR(Table1_1[[#This Row],[Order Dates]])</f>
        <v>2024</v>
      </c>
      <c r="D444" s="6">
        <f>MONTH(Table1_1[[#This Row],[Order Dates]])</f>
        <v>9</v>
      </c>
      <c r="E444" s="4" t="s">
        <v>16</v>
      </c>
      <c r="F444" s="4" t="s">
        <v>51</v>
      </c>
      <c r="G444" s="4" t="s">
        <v>32</v>
      </c>
      <c r="H444" s="4" t="str">
        <f>TRIM(CLEAN(SUBSTITUTE(Table1_1[[#This Row],[Salesperson]],"   "," ")))</f>
        <v>Neha Deshpande</v>
      </c>
      <c r="I444" s="4" t="s">
        <v>19</v>
      </c>
      <c r="J444" s="4" t="s">
        <v>59</v>
      </c>
      <c r="K444" s="4" t="s">
        <v>73</v>
      </c>
      <c r="L444" s="4" t="s">
        <v>113</v>
      </c>
      <c r="M444" s="4" t="s">
        <v>40</v>
      </c>
      <c r="N444" s="4" t="s">
        <v>24</v>
      </c>
      <c r="O444" s="4">
        <v>3</v>
      </c>
      <c r="P444" s="7">
        <v>32370</v>
      </c>
      <c r="Q444" s="8">
        <v>0.08</v>
      </c>
      <c r="R444" s="7">
        <v>22610</v>
      </c>
      <c r="S444" s="7">
        <f>Table1_1[[#This Row],[Units Sold]]*Table1_1[[#This Row],[Unit Price]]*(1-Table1_1[[#This Row],[Discount %]])</f>
        <v>89341.2</v>
      </c>
      <c r="T444" s="7">
        <f>Table1_1[[#This Row],[Units Sold]]*Table1_1[[#This Row],[Unit Cost]]</f>
        <v>67830</v>
      </c>
      <c r="U444" s="7">
        <f>Table1_1[[#This Row],[Calculated sales]]-Table1_1[[#This Row],[Total cost]]</f>
        <v>21511.199999999997</v>
      </c>
      <c r="V444" s="4">
        <f>IFERROR(Table1_1[[#This Row],[Profit/Loss]]/Table1_1[[#This Row],[Calculated sales]],0)</f>
        <v>0.24077581227921718</v>
      </c>
    </row>
    <row r="445" spans="1:22" x14ac:dyDescent="0.25">
      <c r="A445" s="4" t="s">
        <v>591</v>
      </c>
      <c r="B445" s="5">
        <v>45542</v>
      </c>
      <c r="C445" s="4">
        <f>YEAR(Table1_1[[#This Row],[Order Dates]])</f>
        <v>2024</v>
      </c>
      <c r="D445" s="6">
        <f>MONTH(Table1_1[[#This Row],[Order Dates]])</f>
        <v>9</v>
      </c>
      <c r="E445" s="4" t="s">
        <v>16</v>
      </c>
      <c r="F445" s="4" t="s">
        <v>51</v>
      </c>
      <c r="G445" s="4" t="s">
        <v>26</v>
      </c>
      <c r="H445" s="4" t="str">
        <f>TRIM(CLEAN(SUBSTITUTE(Table1_1[[#This Row],[Salesperson]],"   "," ")))</f>
        <v>Prateek Shah</v>
      </c>
      <c r="I445" s="4" t="s">
        <v>19</v>
      </c>
      <c r="J445" s="4" t="s">
        <v>46</v>
      </c>
      <c r="K445" s="4" t="s">
        <v>100</v>
      </c>
      <c r="L445" s="4" t="s">
        <v>101</v>
      </c>
      <c r="M445" s="4" t="s">
        <v>23</v>
      </c>
      <c r="N445" s="4" t="s">
        <v>24</v>
      </c>
      <c r="O445" s="4">
        <v>28</v>
      </c>
      <c r="P445" s="7">
        <v>1920</v>
      </c>
      <c r="Q445" s="8">
        <v>0.1</v>
      </c>
      <c r="R445" s="7">
        <v>1380</v>
      </c>
      <c r="S445" s="7">
        <f>Table1_1[[#This Row],[Units Sold]]*Table1_1[[#This Row],[Unit Price]]*(1-Table1_1[[#This Row],[Discount %]])</f>
        <v>48384</v>
      </c>
      <c r="T445" s="7">
        <f>Table1_1[[#This Row],[Units Sold]]*Table1_1[[#This Row],[Unit Cost]]</f>
        <v>38640</v>
      </c>
      <c r="U445" s="7">
        <f>Table1_1[[#This Row],[Calculated sales]]-Table1_1[[#This Row],[Total cost]]</f>
        <v>9744</v>
      </c>
      <c r="V445" s="4">
        <f>IFERROR(Table1_1[[#This Row],[Profit/Loss]]/Table1_1[[#This Row],[Calculated sales]],0)</f>
        <v>0.2013888888888889</v>
      </c>
    </row>
    <row r="446" spans="1:22" x14ac:dyDescent="0.25">
      <c r="A446" s="4" t="s">
        <v>592</v>
      </c>
      <c r="B446" s="5">
        <v>45544</v>
      </c>
      <c r="C446" s="4">
        <f>YEAR(Table1_1[[#This Row],[Order Dates]])</f>
        <v>2024</v>
      </c>
      <c r="D446" s="6">
        <f>MONTH(Table1_1[[#This Row],[Order Dates]])</f>
        <v>9</v>
      </c>
      <c r="E446" s="4" t="s">
        <v>42</v>
      </c>
      <c r="F446" s="4" t="s">
        <v>146</v>
      </c>
      <c r="G446" s="4" t="s">
        <v>64</v>
      </c>
      <c r="H446" s="4" t="str">
        <f>TRIM(CLEAN(SUBSTITUTE(Table1_1[[#This Row],[Salesperson]],"   "," ")))</f>
        <v>Aditya Verma</v>
      </c>
      <c r="I446" s="4" t="s">
        <v>19</v>
      </c>
      <c r="J446" s="4" t="s">
        <v>20</v>
      </c>
      <c r="K446" s="4" t="s">
        <v>33</v>
      </c>
      <c r="L446" s="4" t="s">
        <v>1678</v>
      </c>
      <c r="M446" s="4" t="s">
        <v>40</v>
      </c>
      <c r="N446" s="4" t="s">
        <v>24</v>
      </c>
      <c r="O446" s="4">
        <v>4</v>
      </c>
      <c r="P446" s="7">
        <v>111000</v>
      </c>
      <c r="Q446" s="8">
        <v>0.1</v>
      </c>
      <c r="R446" s="7">
        <v>78030</v>
      </c>
      <c r="S446" s="7">
        <f>Table1_1[[#This Row],[Units Sold]]*Table1_1[[#This Row],[Unit Price]]*(1-Table1_1[[#This Row],[Discount %]])</f>
        <v>399600</v>
      </c>
      <c r="T446" s="7">
        <f>Table1_1[[#This Row],[Units Sold]]*Table1_1[[#This Row],[Unit Cost]]</f>
        <v>312120</v>
      </c>
      <c r="U446" s="7">
        <f>Table1_1[[#This Row],[Calculated sales]]-Table1_1[[#This Row],[Total cost]]</f>
        <v>87480</v>
      </c>
      <c r="V446" s="4">
        <f>IFERROR(Table1_1[[#This Row],[Profit/Loss]]/Table1_1[[#This Row],[Calculated sales]],0)</f>
        <v>0.21891891891891893</v>
      </c>
    </row>
    <row r="447" spans="1:22" x14ac:dyDescent="0.25">
      <c r="A447" s="4" t="s">
        <v>593</v>
      </c>
      <c r="B447" s="5">
        <v>45545</v>
      </c>
      <c r="C447" s="4">
        <f>YEAR(Table1_1[[#This Row],[Order Dates]])</f>
        <v>2024</v>
      </c>
      <c r="D447" s="6">
        <f>MONTH(Table1_1[[#This Row],[Order Dates]])</f>
        <v>9</v>
      </c>
      <c r="E447" s="4" t="s">
        <v>37</v>
      </c>
      <c r="F447" s="4" t="s">
        <v>166</v>
      </c>
      <c r="G447" s="4" t="s">
        <v>39</v>
      </c>
      <c r="H447" s="4" t="str">
        <f>TRIM(CLEAN(SUBSTITUTE(Table1_1[[#This Row],[Salesperson]],"   "," ")))</f>
        <v>Sourav Das</v>
      </c>
      <c r="I447" s="4" t="s">
        <v>92</v>
      </c>
      <c r="J447" s="4" t="s">
        <v>83</v>
      </c>
      <c r="K447" s="4" t="s">
        <v>136</v>
      </c>
      <c r="L447" s="4" t="s">
        <v>137</v>
      </c>
      <c r="M447" s="4" t="s">
        <v>49</v>
      </c>
      <c r="N447" s="4" t="s">
        <v>24</v>
      </c>
      <c r="O447" s="4">
        <v>56</v>
      </c>
      <c r="P447" s="7">
        <v>1690</v>
      </c>
      <c r="Q447" s="8">
        <v>0.08</v>
      </c>
      <c r="R447" s="7">
        <v>1140</v>
      </c>
      <c r="S447" s="7">
        <f>Table1_1[[#This Row],[Units Sold]]*Table1_1[[#This Row],[Unit Price]]*(1-Table1_1[[#This Row],[Discount %]])</f>
        <v>87068.800000000003</v>
      </c>
      <c r="T447" s="7">
        <f>Table1_1[[#This Row],[Units Sold]]*Table1_1[[#This Row],[Unit Cost]]</f>
        <v>63840</v>
      </c>
      <c r="U447" s="7">
        <f>Table1_1[[#This Row],[Calculated sales]]-Table1_1[[#This Row],[Total cost]]</f>
        <v>23228.800000000003</v>
      </c>
      <c r="V447" s="4">
        <f>IFERROR(Table1_1[[#This Row],[Profit/Loss]]/Table1_1[[#This Row],[Calculated sales]],0)</f>
        <v>0.26678672498070494</v>
      </c>
    </row>
    <row r="448" spans="1:22" x14ac:dyDescent="0.25">
      <c r="A448" s="4" t="s">
        <v>594</v>
      </c>
      <c r="B448" s="5">
        <v>45545</v>
      </c>
      <c r="C448" s="4">
        <f>YEAR(Table1_1[[#This Row],[Order Dates]])</f>
        <v>2024</v>
      </c>
      <c r="D448" s="6">
        <f>MONTH(Table1_1[[#This Row],[Order Dates]])</f>
        <v>9</v>
      </c>
      <c r="E448" s="4" t="s">
        <v>76</v>
      </c>
      <c r="F448" s="4" t="s">
        <v>125</v>
      </c>
      <c r="G448" s="4" t="s">
        <v>170</v>
      </c>
      <c r="H448" s="4" t="str">
        <f>TRIM(CLEAN(SUBSTITUTE(Table1_1[[#This Row],[Salesperson]],"   "," ")))</f>
        <v>Manish Tiwari</v>
      </c>
      <c r="I448" s="4" t="s">
        <v>19</v>
      </c>
      <c r="J448" s="4" t="s">
        <v>27</v>
      </c>
      <c r="K448" s="4" t="s">
        <v>28</v>
      </c>
      <c r="L448" s="4" t="s">
        <v>1668</v>
      </c>
      <c r="M448" s="4" t="s">
        <v>23</v>
      </c>
      <c r="N448" s="4" t="s">
        <v>24</v>
      </c>
      <c r="O448" s="4">
        <v>1</v>
      </c>
      <c r="P448" s="7">
        <v>29250</v>
      </c>
      <c r="Q448" s="8">
        <v>0.18</v>
      </c>
      <c r="R448" s="7">
        <v>18480</v>
      </c>
      <c r="S448" s="7">
        <f>Table1_1[[#This Row],[Units Sold]]*Table1_1[[#This Row],[Unit Price]]*(1-Table1_1[[#This Row],[Discount %]])</f>
        <v>23985</v>
      </c>
      <c r="T448" s="7">
        <f>Table1_1[[#This Row],[Units Sold]]*Table1_1[[#This Row],[Unit Cost]]</f>
        <v>18480</v>
      </c>
      <c r="U448" s="7">
        <f>Table1_1[[#This Row],[Calculated sales]]-Table1_1[[#This Row],[Total cost]]</f>
        <v>5505</v>
      </c>
      <c r="V448" s="4">
        <f>IFERROR(Table1_1[[#This Row],[Profit/Loss]]/Table1_1[[#This Row],[Calculated sales]],0)</f>
        <v>0.22951844903064414</v>
      </c>
    </row>
    <row r="449" spans="1:22" x14ac:dyDescent="0.25">
      <c r="A449" s="4" t="s">
        <v>595</v>
      </c>
      <c r="B449" s="5">
        <v>45546</v>
      </c>
      <c r="C449" s="4">
        <f>YEAR(Table1_1[[#This Row],[Order Dates]])</f>
        <v>2024</v>
      </c>
      <c r="D449" s="6">
        <f>MONTH(Table1_1[[#This Row],[Order Dates]])</f>
        <v>9</v>
      </c>
      <c r="E449" s="4" t="s">
        <v>42</v>
      </c>
      <c r="F449" s="4" t="s">
        <v>123</v>
      </c>
      <c r="G449" s="4" t="s">
        <v>64</v>
      </c>
      <c r="H449" s="4" t="str">
        <f>TRIM(CLEAN(SUBSTITUTE(Table1_1[[#This Row],[Salesperson]],"   "," ")))</f>
        <v>Aditya Verma</v>
      </c>
      <c r="I449" s="4" t="s">
        <v>19</v>
      </c>
      <c r="J449" s="4" t="s">
        <v>20</v>
      </c>
      <c r="K449" s="4" t="s">
        <v>109</v>
      </c>
      <c r="L449" s="4" t="s">
        <v>1675</v>
      </c>
      <c r="M449" s="4" t="s">
        <v>23</v>
      </c>
      <c r="N449" s="4" t="s">
        <v>24</v>
      </c>
      <c r="O449" s="4">
        <v>2</v>
      </c>
      <c r="P449" s="7">
        <v>66050</v>
      </c>
      <c r="Q449" s="8">
        <v>0</v>
      </c>
      <c r="R449" s="7">
        <v>45000</v>
      </c>
      <c r="S449" s="7">
        <f>Table1_1[[#This Row],[Units Sold]]*Table1_1[[#This Row],[Unit Price]]*(1-Table1_1[[#This Row],[Discount %]])</f>
        <v>132100</v>
      </c>
      <c r="T449" s="7">
        <f>Table1_1[[#This Row],[Units Sold]]*Table1_1[[#This Row],[Unit Cost]]</f>
        <v>90000</v>
      </c>
      <c r="U449" s="7">
        <f>Table1_1[[#This Row],[Calculated sales]]-Table1_1[[#This Row],[Total cost]]</f>
        <v>42100</v>
      </c>
      <c r="V449" s="4">
        <f>IFERROR(Table1_1[[#This Row],[Profit/Loss]]/Table1_1[[#This Row],[Calculated sales]],0)</f>
        <v>0.31869795609386831</v>
      </c>
    </row>
    <row r="450" spans="1:22" x14ac:dyDescent="0.25">
      <c r="A450" s="4" t="s">
        <v>596</v>
      </c>
      <c r="B450" s="5">
        <v>45546</v>
      </c>
      <c r="C450" s="4">
        <f>YEAR(Table1_1[[#This Row],[Order Dates]])</f>
        <v>2024</v>
      </c>
      <c r="D450" s="6">
        <f>MONTH(Table1_1[[#This Row],[Order Dates]])</f>
        <v>9</v>
      </c>
      <c r="E450" s="4" t="s">
        <v>42</v>
      </c>
      <c r="F450" s="4" t="s">
        <v>96</v>
      </c>
      <c r="G450" s="4" t="s">
        <v>44</v>
      </c>
      <c r="H450" s="4" t="str">
        <f>TRIM(CLEAN(SUBSTITUTE(Table1_1[[#This Row],[Salesperson]],"   "," ")))</f>
        <v>Simran Kaur</v>
      </c>
      <c r="I450" s="4" t="s">
        <v>92</v>
      </c>
      <c r="J450" s="4" t="s">
        <v>59</v>
      </c>
      <c r="K450" s="4" t="s">
        <v>154</v>
      </c>
      <c r="L450" s="4" t="s">
        <v>249</v>
      </c>
      <c r="M450" s="4" t="s">
        <v>23</v>
      </c>
      <c r="N450" s="4" t="s">
        <v>119</v>
      </c>
      <c r="O450" s="4">
        <v>18</v>
      </c>
      <c r="P450" s="7">
        <v>6720</v>
      </c>
      <c r="Q450" s="8">
        <v>0.12</v>
      </c>
      <c r="R450" s="7">
        <v>5230</v>
      </c>
      <c r="S450" s="7">
        <f>Table1_1[[#This Row],[Units Sold]]*Table1_1[[#This Row],[Unit Price]]*(1-Table1_1[[#This Row],[Discount %]])</f>
        <v>106444.8</v>
      </c>
      <c r="T450" s="7">
        <f>Table1_1[[#This Row],[Units Sold]]*Table1_1[[#This Row],[Unit Cost]]</f>
        <v>94140</v>
      </c>
      <c r="U450" s="7">
        <f>Table1_1[[#This Row],[Calculated sales]]-Table1_1[[#This Row],[Total cost]]</f>
        <v>12304.800000000003</v>
      </c>
      <c r="V450" s="4">
        <f>IFERROR(Table1_1[[#This Row],[Profit/Loss]]/Table1_1[[#This Row],[Calculated sales]],0)</f>
        <v>0.11559794372294374</v>
      </c>
    </row>
    <row r="451" spans="1:22" x14ac:dyDescent="0.25">
      <c r="A451" s="4" t="s">
        <v>597</v>
      </c>
      <c r="B451" s="5">
        <v>45546</v>
      </c>
      <c r="C451" s="4">
        <f>YEAR(Table1_1[[#This Row],[Order Dates]])</f>
        <v>2024</v>
      </c>
      <c r="D451" s="6">
        <f>MONTH(Table1_1[[#This Row],[Order Dates]])</f>
        <v>9</v>
      </c>
      <c r="E451" s="4" t="s">
        <v>76</v>
      </c>
      <c r="F451" s="4" t="s">
        <v>150</v>
      </c>
      <c r="G451" s="4" t="s">
        <v>78</v>
      </c>
      <c r="H451" s="4" t="str">
        <f>TRIM(CLEAN(SUBSTITUTE(Table1_1[[#This Row],[Salesperson]],"   "," ")))</f>
        <v>Pooja Chouhan</v>
      </c>
      <c r="I451" s="4" t="s">
        <v>52</v>
      </c>
      <c r="J451" s="4" t="s">
        <v>27</v>
      </c>
      <c r="K451" s="4" t="s">
        <v>28</v>
      </c>
      <c r="L451" s="4" t="s">
        <v>1668</v>
      </c>
      <c r="M451" s="4" t="s">
        <v>23</v>
      </c>
      <c r="N451" s="4" t="s">
        <v>24</v>
      </c>
      <c r="O451" s="4">
        <v>1</v>
      </c>
      <c r="P451" s="7">
        <v>27670</v>
      </c>
      <c r="Q451" s="8">
        <v>0</v>
      </c>
      <c r="R451" s="7">
        <v>16470</v>
      </c>
      <c r="S451" s="7">
        <f>Table1_1[[#This Row],[Units Sold]]*Table1_1[[#This Row],[Unit Price]]*(1-Table1_1[[#This Row],[Discount %]])</f>
        <v>27670</v>
      </c>
      <c r="T451" s="7">
        <f>Table1_1[[#This Row],[Units Sold]]*Table1_1[[#This Row],[Unit Cost]]</f>
        <v>16470</v>
      </c>
      <c r="U451" s="7">
        <f>Table1_1[[#This Row],[Calculated sales]]-Table1_1[[#This Row],[Total cost]]</f>
        <v>11200</v>
      </c>
      <c r="V451" s="4">
        <f>IFERROR(Table1_1[[#This Row],[Profit/Loss]]/Table1_1[[#This Row],[Calculated sales]],0)</f>
        <v>0.40477050957715938</v>
      </c>
    </row>
    <row r="452" spans="1:22" x14ac:dyDescent="0.25">
      <c r="A452" s="4" t="s">
        <v>598</v>
      </c>
      <c r="B452" s="5">
        <v>45547</v>
      </c>
      <c r="C452" s="4">
        <f>YEAR(Table1_1[[#This Row],[Order Dates]])</f>
        <v>2024</v>
      </c>
      <c r="D452" s="6">
        <f>MONTH(Table1_1[[#This Row],[Order Dates]])</f>
        <v>9</v>
      </c>
      <c r="E452" s="4" t="s">
        <v>42</v>
      </c>
      <c r="F452" s="4" t="s">
        <v>96</v>
      </c>
      <c r="G452" s="4" t="s">
        <v>97</v>
      </c>
      <c r="H452" s="4" t="str">
        <f>TRIM(CLEAN(SUBSTITUTE(Table1_1[[#This Row],[Salesperson]],"   "," ")))</f>
        <v>Rohit Malhotra</v>
      </c>
      <c r="I452" s="4" t="s">
        <v>19</v>
      </c>
      <c r="J452" s="4" t="s">
        <v>27</v>
      </c>
      <c r="K452" s="4" t="s">
        <v>28</v>
      </c>
      <c r="L452" s="4" t="s">
        <v>141</v>
      </c>
      <c r="M452" s="4" t="s">
        <v>23</v>
      </c>
      <c r="N452" s="4" t="s">
        <v>94</v>
      </c>
      <c r="O452" s="4">
        <v>1</v>
      </c>
      <c r="P452" s="7">
        <v>17090</v>
      </c>
      <c r="Q452" s="8">
        <v>0.15</v>
      </c>
      <c r="R452" s="7">
        <v>12000</v>
      </c>
      <c r="S452" s="7">
        <f>Table1_1[[#This Row],[Units Sold]]*Table1_1[[#This Row],[Unit Price]]*(1-Table1_1[[#This Row],[Discount %]])</f>
        <v>14526.5</v>
      </c>
      <c r="T452" s="7">
        <f>Table1_1[[#This Row],[Units Sold]]*Table1_1[[#This Row],[Unit Cost]]</f>
        <v>12000</v>
      </c>
      <c r="U452" s="7">
        <f>Table1_1[[#This Row],[Calculated sales]]-Table1_1[[#This Row],[Total cost]]</f>
        <v>2526.5</v>
      </c>
      <c r="V452" s="4">
        <f>IFERROR(Table1_1[[#This Row],[Profit/Loss]]/Table1_1[[#This Row],[Calculated sales]],0)</f>
        <v>0.17392351908580869</v>
      </c>
    </row>
    <row r="453" spans="1:22" x14ac:dyDescent="0.25">
      <c r="A453" s="4" t="s">
        <v>599</v>
      </c>
      <c r="B453" s="5">
        <v>45547</v>
      </c>
      <c r="C453" s="4">
        <f>YEAR(Table1_1[[#This Row],[Order Dates]])</f>
        <v>2024</v>
      </c>
      <c r="D453" s="6">
        <f>MONTH(Table1_1[[#This Row],[Order Dates]])</f>
        <v>9</v>
      </c>
      <c r="E453" s="4" t="s">
        <v>37</v>
      </c>
      <c r="F453" s="4" t="s">
        <v>161</v>
      </c>
      <c r="G453" s="4" t="s">
        <v>68</v>
      </c>
      <c r="H453" s="4" t="str">
        <f>TRIM(CLEAN(SUBSTITUTE(Table1_1[[#This Row],[Salesperson]],"   "," ")))</f>
        <v>Ritika Ghosh</v>
      </c>
      <c r="I453" s="4" t="s">
        <v>52</v>
      </c>
      <c r="J453" s="4" t="s">
        <v>46</v>
      </c>
      <c r="K453" s="4" t="s">
        <v>179</v>
      </c>
      <c r="L453" s="4" t="s">
        <v>221</v>
      </c>
      <c r="M453" s="4" t="s">
        <v>40</v>
      </c>
      <c r="N453" s="4" t="s">
        <v>24</v>
      </c>
      <c r="O453" s="4">
        <v>27</v>
      </c>
      <c r="P453" s="7">
        <v>1660</v>
      </c>
      <c r="Q453" s="8">
        <v>0.05</v>
      </c>
      <c r="R453" s="7">
        <v>1100</v>
      </c>
      <c r="S453" s="7">
        <f>Table1_1[[#This Row],[Units Sold]]*Table1_1[[#This Row],[Unit Price]]*(1-Table1_1[[#This Row],[Discount %]])</f>
        <v>42579</v>
      </c>
      <c r="T453" s="7">
        <f>Table1_1[[#This Row],[Units Sold]]*Table1_1[[#This Row],[Unit Cost]]</f>
        <v>29700</v>
      </c>
      <c r="U453" s="7">
        <f>Table1_1[[#This Row],[Calculated sales]]-Table1_1[[#This Row],[Total cost]]</f>
        <v>12879</v>
      </c>
      <c r="V453" s="4">
        <f>IFERROR(Table1_1[[#This Row],[Profit/Loss]]/Table1_1[[#This Row],[Calculated sales]],0)</f>
        <v>0.30247305009511732</v>
      </c>
    </row>
    <row r="454" spans="1:22" x14ac:dyDescent="0.25">
      <c r="A454" s="4" t="s">
        <v>600</v>
      </c>
      <c r="B454" s="5">
        <v>45548</v>
      </c>
      <c r="C454" s="4">
        <f>YEAR(Table1_1[[#This Row],[Order Dates]])</f>
        <v>2024</v>
      </c>
      <c r="D454" s="6">
        <f>MONTH(Table1_1[[#This Row],[Order Dates]])</f>
        <v>9</v>
      </c>
      <c r="E454" s="4" t="s">
        <v>37</v>
      </c>
      <c r="F454" s="4" t="s">
        <v>161</v>
      </c>
      <c r="G454" s="4" t="s">
        <v>39</v>
      </c>
      <c r="H454" s="4" t="str">
        <f>TRIM(CLEAN(SUBSTITUTE(Table1_1[[#This Row],[Salesperson]],"   "," ")))</f>
        <v>Sourav Das</v>
      </c>
      <c r="I454" s="4" t="s">
        <v>19</v>
      </c>
      <c r="J454" s="4" t="s">
        <v>46</v>
      </c>
      <c r="K454" s="4" t="s">
        <v>100</v>
      </c>
      <c r="L454" s="4" t="s">
        <v>101</v>
      </c>
      <c r="M454" s="4" t="s">
        <v>40</v>
      </c>
      <c r="N454" s="4" t="s">
        <v>24</v>
      </c>
      <c r="O454" s="4">
        <v>9</v>
      </c>
      <c r="P454" s="7">
        <v>1810</v>
      </c>
      <c r="Q454" s="8">
        <v>0.05</v>
      </c>
      <c r="R454" s="7">
        <v>1290</v>
      </c>
      <c r="S454" s="7">
        <f>Table1_1[[#This Row],[Units Sold]]*Table1_1[[#This Row],[Unit Price]]*(1-Table1_1[[#This Row],[Discount %]])</f>
        <v>15475.5</v>
      </c>
      <c r="T454" s="7">
        <f>Table1_1[[#This Row],[Units Sold]]*Table1_1[[#This Row],[Unit Cost]]</f>
        <v>11610</v>
      </c>
      <c r="U454" s="7">
        <f>Table1_1[[#This Row],[Calculated sales]]-Table1_1[[#This Row],[Total cost]]</f>
        <v>3865.5</v>
      </c>
      <c r="V454" s="4">
        <f>IFERROR(Table1_1[[#This Row],[Profit/Loss]]/Table1_1[[#This Row],[Calculated sales]],0)</f>
        <v>0.24978191334690317</v>
      </c>
    </row>
    <row r="455" spans="1:22" x14ac:dyDescent="0.25">
      <c r="A455" s="4" t="s">
        <v>601</v>
      </c>
      <c r="B455" s="5">
        <v>45549</v>
      </c>
      <c r="C455" s="4">
        <f>YEAR(Table1_1[[#This Row],[Order Dates]])</f>
        <v>2024</v>
      </c>
      <c r="D455" s="6">
        <f>MONTH(Table1_1[[#This Row],[Order Dates]])</f>
        <v>9</v>
      </c>
      <c r="E455" s="4" t="s">
        <v>16</v>
      </c>
      <c r="F455" s="4" t="s">
        <v>51</v>
      </c>
      <c r="G455" s="4" t="s">
        <v>18</v>
      </c>
      <c r="H455" s="4" t="str">
        <f>TRIM(CLEAN(SUBSTITUTE(Table1_1[[#This Row],[Salesperson]],"   "," ")))</f>
        <v>Imran Sheikh</v>
      </c>
      <c r="I455" s="4" t="s">
        <v>19</v>
      </c>
      <c r="J455" s="4" t="s">
        <v>46</v>
      </c>
      <c r="K455" s="4" t="s">
        <v>100</v>
      </c>
      <c r="L455" s="4" t="s">
        <v>177</v>
      </c>
      <c r="M455" s="4" t="s">
        <v>40</v>
      </c>
      <c r="N455" s="4" t="s">
        <v>35</v>
      </c>
      <c r="O455" s="4">
        <v>37</v>
      </c>
      <c r="P455" s="7">
        <v>2680</v>
      </c>
      <c r="Q455" s="8">
        <v>0.12</v>
      </c>
      <c r="R455" s="7">
        <v>1580</v>
      </c>
      <c r="S455" s="7">
        <f>Table1_1[[#This Row],[Units Sold]]*Table1_1[[#This Row],[Unit Price]]*(1-Table1_1[[#This Row],[Discount %]])</f>
        <v>87260.800000000003</v>
      </c>
      <c r="T455" s="7">
        <f>Table1_1[[#This Row],[Units Sold]]*Table1_1[[#This Row],[Unit Cost]]</f>
        <v>58460</v>
      </c>
      <c r="U455" s="7">
        <f>Table1_1[[#This Row],[Calculated sales]]-Table1_1[[#This Row],[Total cost]]</f>
        <v>28800.800000000003</v>
      </c>
      <c r="V455" s="4">
        <f>IFERROR(Table1_1[[#This Row],[Profit/Loss]]/Table1_1[[#This Row],[Calculated sales]],0)</f>
        <v>0.33005427408412485</v>
      </c>
    </row>
    <row r="456" spans="1:22" x14ac:dyDescent="0.25">
      <c r="A456" s="4" t="s">
        <v>602</v>
      </c>
      <c r="B456" s="5">
        <v>45549</v>
      </c>
      <c r="C456" s="4">
        <f>YEAR(Table1_1[[#This Row],[Order Dates]])</f>
        <v>2024</v>
      </c>
      <c r="D456" s="6">
        <f>MONTH(Table1_1[[#This Row],[Order Dates]])</f>
        <v>9</v>
      </c>
      <c r="E456" s="4" t="s">
        <v>16</v>
      </c>
      <c r="F456" s="4" t="s">
        <v>17</v>
      </c>
      <c r="G456" s="4" t="s">
        <v>32</v>
      </c>
      <c r="H456" s="4" t="str">
        <f>TRIM(CLEAN(SUBSTITUTE(Table1_1[[#This Row],[Salesperson]],"   "," ")))</f>
        <v>Neha Deshpande</v>
      </c>
      <c r="I456" s="4" t="s">
        <v>19</v>
      </c>
      <c r="J456" s="4" t="s">
        <v>59</v>
      </c>
      <c r="K456" s="4" t="s">
        <v>60</v>
      </c>
      <c r="L456" s="4" t="s">
        <v>61</v>
      </c>
      <c r="M456" s="4" t="s">
        <v>49</v>
      </c>
      <c r="N456" s="4" t="s">
        <v>24</v>
      </c>
      <c r="O456" s="4">
        <v>6</v>
      </c>
      <c r="P456" s="7">
        <v>25370</v>
      </c>
      <c r="Q456" s="8">
        <v>0.18</v>
      </c>
      <c r="R456" s="7">
        <v>16370</v>
      </c>
      <c r="S456" s="7">
        <f>Table1_1[[#This Row],[Units Sold]]*Table1_1[[#This Row],[Unit Price]]*(1-Table1_1[[#This Row],[Discount %]])</f>
        <v>124820.40000000001</v>
      </c>
      <c r="T456" s="7">
        <f>Table1_1[[#This Row],[Units Sold]]*Table1_1[[#This Row],[Unit Cost]]</f>
        <v>98220</v>
      </c>
      <c r="U456" s="7">
        <f>Table1_1[[#This Row],[Calculated sales]]-Table1_1[[#This Row],[Total cost]]</f>
        <v>26600.400000000009</v>
      </c>
      <c r="V456" s="4">
        <f>IFERROR(Table1_1[[#This Row],[Profit/Loss]]/Table1_1[[#This Row],[Calculated sales]],0)</f>
        <v>0.21310939557956879</v>
      </c>
    </row>
    <row r="457" spans="1:22" x14ac:dyDescent="0.25">
      <c r="A457" s="4" t="s">
        <v>603</v>
      </c>
      <c r="B457" s="5">
        <v>45550</v>
      </c>
      <c r="C457" s="4">
        <f>YEAR(Table1_1[[#This Row],[Order Dates]])</f>
        <v>2024</v>
      </c>
      <c r="D457" s="6">
        <f>MONTH(Table1_1[[#This Row],[Order Dates]])</f>
        <v>9</v>
      </c>
      <c r="E457" s="4" t="s">
        <v>56</v>
      </c>
      <c r="F457" s="4" t="s">
        <v>133</v>
      </c>
      <c r="G457" s="4" t="s">
        <v>91</v>
      </c>
      <c r="H457" s="4" t="str">
        <f>TRIM(CLEAN(SUBSTITUTE(Table1_1[[#This Row],[Salesperson]],"   "," ")))</f>
        <v>Anjali Menon</v>
      </c>
      <c r="I457" s="4" t="s">
        <v>45</v>
      </c>
      <c r="J457" s="4" t="s">
        <v>27</v>
      </c>
      <c r="K457" s="4" t="s">
        <v>214</v>
      </c>
      <c r="L457" s="4" t="s">
        <v>1681</v>
      </c>
      <c r="M457" s="4" t="s">
        <v>23</v>
      </c>
      <c r="N457" s="4" t="s">
        <v>24</v>
      </c>
      <c r="O457" s="4">
        <v>8</v>
      </c>
      <c r="P457" s="7">
        <v>14050</v>
      </c>
      <c r="Q457" s="8">
        <v>0.12</v>
      </c>
      <c r="R457" s="7">
        <v>8330</v>
      </c>
      <c r="S457" s="7">
        <f>Table1_1[[#This Row],[Units Sold]]*Table1_1[[#This Row],[Unit Price]]*(1-Table1_1[[#This Row],[Discount %]])</f>
        <v>98912</v>
      </c>
      <c r="T457" s="7">
        <f>Table1_1[[#This Row],[Units Sold]]*Table1_1[[#This Row],[Unit Cost]]</f>
        <v>66640</v>
      </c>
      <c r="U457" s="7">
        <f>Table1_1[[#This Row],[Calculated sales]]-Table1_1[[#This Row],[Total cost]]</f>
        <v>32272</v>
      </c>
      <c r="V457" s="4">
        <f>IFERROR(Table1_1[[#This Row],[Profit/Loss]]/Table1_1[[#This Row],[Calculated sales]],0)</f>
        <v>0.32626981559365903</v>
      </c>
    </row>
    <row r="458" spans="1:22" x14ac:dyDescent="0.25">
      <c r="A458" s="4" t="s">
        <v>604</v>
      </c>
      <c r="B458" s="5">
        <v>45550</v>
      </c>
      <c r="C458" s="4">
        <f>YEAR(Table1_1[[#This Row],[Order Dates]])</f>
        <v>2024</v>
      </c>
      <c r="D458" s="6">
        <f>MONTH(Table1_1[[#This Row],[Order Dates]])</f>
        <v>9</v>
      </c>
      <c r="E458" s="4" t="s">
        <v>42</v>
      </c>
      <c r="F458" s="4" t="s">
        <v>146</v>
      </c>
      <c r="G458" s="4" t="s">
        <v>64</v>
      </c>
      <c r="H458" s="4" t="str">
        <f>TRIM(CLEAN(SUBSTITUTE(Table1_1[[#This Row],[Salesperson]],"   "," ")))</f>
        <v>Aditya Verma</v>
      </c>
      <c r="I458" s="4" t="s">
        <v>19</v>
      </c>
      <c r="J458" s="4" t="s">
        <v>83</v>
      </c>
      <c r="K458" s="4" t="s">
        <v>136</v>
      </c>
      <c r="L458" s="4" t="s">
        <v>137</v>
      </c>
      <c r="M458" s="4" t="s">
        <v>40</v>
      </c>
      <c r="N458" s="4" t="s">
        <v>24</v>
      </c>
      <c r="O458" s="4">
        <v>5</v>
      </c>
      <c r="P458" s="7">
        <v>1610</v>
      </c>
      <c r="Q458" s="8">
        <v>0.08</v>
      </c>
      <c r="R458" s="7">
        <v>1020</v>
      </c>
      <c r="S458" s="7">
        <f>Table1_1[[#This Row],[Units Sold]]*Table1_1[[#This Row],[Unit Price]]*(1-Table1_1[[#This Row],[Discount %]])</f>
        <v>7406</v>
      </c>
      <c r="T458" s="7">
        <f>Table1_1[[#This Row],[Units Sold]]*Table1_1[[#This Row],[Unit Cost]]</f>
        <v>5100</v>
      </c>
      <c r="U458" s="7">
        <f>Table1_1[[#This Row],[Calculated sales]]-Table1_1[[#This Row],[Total cost]]</f>
        <v>2306</v>
      </c>
      <c r="V458" s="4">
        <f>IFERROR(Table1_1[[#This Row],[Profit/Loss]]/Table1_1[[#This Row],[Calculated sales]],0)</f>
        <v>0.3113691601404267</v>
      </c>
    </row>
    <row r="459" spans="1:22" x14ac:dyDescent="0.25">
      <c r="A459" s="4" t="s">
        <v>605</v>
      </c>
      <c r="B459" s="5">
        <v>45550</v>
      </c>
      <c r="C459" s="4">
        <f>YEAR(Table1_1[[#This Row],[Order Dates]])</f>
        <v>2024</v>
      </c>
      <c r="D459" s="6">
        <f>MONTH(Table1_1[[#This Row],[Order Dates]])</f>
        <v>9</v>
      </c>
      <c r="E459" s="4" t="s">
        <v>16</v>
      </c>
      <c r="F459" s="4" t="s">
        <v>31</v>
      </c>
      <c r="G459" s="4" t="s">
        <v>32</v>
      </c>
      <c r="H459" s="4" t="str">
        <f>TRIM(CLEAN(SUBSTITUTE(Table1_1[[#This Row],[Salesperson]],"   "," ")))</f>
        <v>Neha Deshpande</v>
      </c>
      <c r="I459" s="4" t="s">
        <v>19</v>
      </c>
      <c r="J459" s="4" t="s">
        <v>46</v>
      </c>
      <c r="K459" s="4" t="s">
        <v>100</v>
      </c>
      <c r="L459" s="4" t="s">
        <v>177</v>
      </c>
      <c r="M459" s="4" t="s">
        <v>49</v>
      </c>
      <c r="N459" s="4" t="s">
        <v>24</v>
      </c>
      <c r="O459" s="4">
        <v>21</v>
      </c>
      <c r="P459" s="7">
        <v>2700</v>
      </c>
      <c r="Q459" s="8">
        <v>0.1</v>
      </c>
      <c r="R459" s="7">
        <v>1820</v>
      </c>
      <c r="S459" s="7">
        <f>Table1_1[[#This Row],[Units Sold]]*Table1_1[[#This Row],[Unit Price]]*(1-Table1_1[[#This Row],[Discount %]])</f>
        <v>51030</v>
      </c>
      <c r="T459" s="7">
        <f>Table1_1[[#This Row],[Units Sold]]*Table1_1[[#This Row],[Unit Cost]]</f>
        <v>38220</v>
      </c>
      <c r="U459" s="7">
        <f>Table1_1[[#This Row],[Calculated sales]]-Table1_1[[#This Row],[Total cost]]</f>
        <v>12810</v>
      </c>
      <c r="V459" s="4">
        <f>IFERROR(Table1_1[[#This Row],[Profit/Loss]]/Table1_1[[#This Row],[Calculated sales]],0)</f>
        <v>0.25102880658436216</v>
      </c>
    </row>
    <row r="460" spans="1:22" x14ac:dyDescent="0.25">
      <c r="A460" s="4" t="s">
        <v>606</v>
      </c>
      <c r="B460" s="5">
        <v>45550</v>
      </c>
      <c r="C460" s="4">
        <f>YEAR(Table1_1[[#This Row],[Order Dates]])</f>
        <v>2024</v>
      </c>
      <c r="D460" s="6">
        <f>MONTH(Table1_1[[#This Row],[Order Dates]])</f>
        <v>9</v>
      </c>
      <c r="E460" s="4" t="s">
        <v>76</v>
      </c>
      <c r="F460" s="4" t="s">
        <v>217</v>
      </c>
      <c r="G460" s="4" t="s">
        <v>170</v>
      </c>
      <c r="H460" s="4" t="str">
        <f>TRIM(CLEAN(SUBSTITUTE(Table1_1[[#This Row],[Salesperson]],"   "," ")))</f>
        <v>Manish Tiwari</v>
      </c>
      <c r="I460" s="4" t="s">
        <v>92</v>
      </c>
      <c r="J460" s="4" t="s">
        <v>20</v>
      </c>
      <c r="K460" s="4" t="s">
        <v>33</v>
      </c>
      <c r="L460" s="4" t="s">
        <v>34</v>
      </c>
      <c r="M460" s="4" t="s">
        <v>49</v>
      </c>
      <c r="N460" s="4" t="s">
        <v>24</v>
      </c>
      <c r="O460" s="4">
        <v>7</v>
      </c>
      <c r="P460" s="7">
        <v>57360</v>
      </c>
      <c r="Q460" s="8">
        <v>0.2</v>
      </c>
      <c r="R460" s="7">
        <v>33430</v>
      </c>
      <c r="S460" s="7">
        <f>Table1_1[[#This Row],[Units Sold]]*Table1_1[[#This Row],[Unit Price]]*(1-Table1_1[[#This Row],[Discount %]])</f>
        <v>321216</v>
      </c>
      <c r="T460" s="7">
        <f>Table1_1[[#This Row],[Units Sold]]*Table1_1[[#This Row],[Unit Cost]]</f>
        <v>234010</v>
      </c>
      <c r="U460" s="7">
        <f>Table1_1[[#This Row],[Calculated sales]]-Table1_1[[#This Row],[Total cost]]</f>
        <v>87206</v>
      </c>
      <c r="V460" s="4">
        <f>IFERROR(Table1_1[[#This Row],[Profit/Loss]]/Table1_1[[#This Row],[Calculated sales]],0)</f>
        <v>0.27148709902370988</v>
      </c>
    </row>
    <row r="461" spans="1:22" x14ac:dyDescent="0.25">
      <c r="A461" s="4" t="s">
        <v>607</v>
      </c>
      <c r="B461" s="5">
        <v>45551</v>
      </c>
      <c r="C461" s="4">
        <f>YEAR(Table1_1[[#This Row],[Order Dates]])</f>
        <v>2024</v>
      </c>
      <c r="D461" s="6">
        <f>MONTH(Table1_1[[#This Row],[Order Dates]])</f>
        <v>9</v>
      </c>
      <c r="E461" s="4" t="s">
        <v>16</v>
      </c>
      <c r="F461" s="4" t="s">
        <v>153</v>
      </c>
      <c r="G461" s="4" t="s">
        <v>32</v>
      </c>
      <c r="H461" s="4" t="str">
        <f>TRIM(CLEAN(SUBSTITUTE(Table1_1[[#This Row],[Salesperson]],"   "," ")))</f>
        <v>Neha Deshpande</v>
      </c>
      <c r="I461" s="4" t="s">
        <v>92</v>
      </c>
      <c r="J461" s="4" t="s">
        <v>27</v>
      </c>
      <c r="K461" s="4" t="s">
        <v>214</v>
      </c>
      <c r="L461" s="4" t="s">
        <v>1681</v>
      </c>
      <c r="M461" s="4" t="s">
        <v>23</v>
      </c>
      <c r="N461" s="4" t="s">
        <v>24</v>
      </c>
      <c r="O461" s="4">
        <v>2</v>
      </c>
      <c r="P461" s="7">
        <v>13820</v>
      </c>
      <c r="Q461" s="8">
        <v>0.08</v>
      </c>
      <c r="R461" s="7">
        <v>10130</v>
      </c>
      <c r="S461" s="7">
        <f>Table1_1[[#This Row],[Units Sold]]*Table1_1[[#This Row],[Unit Price]]*(1-Table1_1[[#This Row],[Discount %]])</f>
        <v>25428.800000000003</v>
      </c>
      <c r="T461" s="7">
        <f>Table1_1[[#This Row],[Units Sold]]*Table1_1[[#This Row],[Unit Cost]]</f>
        <v>20260</v>
      </c>
      <c r="U461" s="7">
        <f>Table1_1[[#This Row],[Calculated sales]]-Table1_1[[#This Row],[Total cost]]</f>
        <v>5168.8000000000029</v>
      </c>
      <c r="V461" s="4">
        <f>IFERROR(Table1_1[[#This Row],[Profit/Loss]]/Table1_1[[#This Row],[Calculated sales]],0)</f>
        <v>0.20326558862392258</v>
      </c>
    </row>
    <row r="462" spans="1:22" x14ac:dyDescent="0.25">
      <c r="A462" s="4" t="s">
        <v>608</v>
      </c>
      <c r="B462" s="5">
        <v>45552</v>
      </c>
      <c r="C462" s="4">
        <f>YEAR(Table1_1[[#This Row],[Order Dates]])</f>
        <v>2024</v>
      </c>
      <c r="D462" s="6">
        <f>MONTH(Table1_1[[#This Row],[Order Dates]])</f>
        <v>9</v>
      </c>
      <c r="E462" s="4" t="s">
        <v>42</v>
      </c>
      <c r="F462" s="4" t="s">
        <v>96</v>
      </c>
      <c r="G462" s="4" t="s">
        <v>97</v>
      </c>
      <c r="H462" s="4" t="str">
        <f>TRIM(CLEAN(SUBSTITUTE(Table1_1[[#This Row],[Salesperson]],"   "," ")))</f>
        <v>Rohit Malhotra</v>
      </c>
      <c r="I462" s="4" t="s">
        <v>52</v>
      </c>
      <c r="J462" s="4" t="s">
        <v>27</v>
      </c>
      <c r="K462" s="4" t="s">
        <v>53</v>
      </c>
      <c r="L462" s="4" t="s">
        <v>1669</v>
      </c>
      <c r="M462" s="4" t="s">
        <v>23</v>
      </c>
      <c r="N462" s="4" t="s">
        <v>24</v>
      </c>
      <c r="O462" s="4">
        <v>4</v>
      </c>
      <c r="P462" s="7">
        <v>44640</v>
      </c>
      <c r="Q462" s="8">
        <v>0.05</v>
      </c>
      <c r="R462" s="7">
        <v>33150</v>
      </c>
      <c r="S462" s="7">
        <f>Table1_1[[#This Row],[Units Sold]]*Table1_1[[#This Row],[Unit Price]]*(1-Table1_1[[#This Row],[Discount %]])</f>
        <v>169632</v>
      </c>
      <c r="T462" s="7">
        <f>Table1_1[[#This Row],[Units Sold]]*Table1_1[[#This Row],[Unit Cost]]</f>
        <v>132600</v>
      </c>
      <c r="U462" s="7">
        <f>Table1_1[[#This Row],[Calculated sales]]-Table1_1[[#This Row],[Total cost]]</f>
        <v>37032</v>
      </c>
      <c r="V462" s="4">
        <f>IFERROR(Table1_1[[#This Row],[Profit/Loss]]/Table1_1[[#This Row],[Calculated sales]],0)</f>
        <v>0.21830786644029429</v>
      </c>
    </row>
    <row r="463" spans="1:22" x14ac:dyDescent="0.25">
      <c r="A463" s="4" t="s">
        <v>609</v>
      </c>
      <c r="B463" s="5">
        <v>45552</v>
      </c>
      <c r="C463" s="4">
        <f>YEAR(Table1_1[[#This Row],[Order Dates]])</f>
        <v>2024</v>
      </c>
      <c r="D463" s="6">
        <f>MONTH(Table1_1[[#This Row],[Order Dates]])</f>
        <v>9</v>
      </c>
      <c r="E463" s="4" t="s">
        <v>16</v>
      </c>
      <c r="F463" s="4" t="s">
        <v>191</v>
      </c>
      <c r="G463" s="4" t="s">
        <v>18</v>
      </c>
      <c r="H463" s="4" t="str">
        <f>TRIM(CLEAN(SUBSTITUTE(Table1_1[[#This Row],[Salesperson]],"   "," ")))</f>
        <v>Imran Sheikh</v>
      </c>
      <c r="I463" s="4" t="s">
        <v>92</v>
      </c>
      <c r="J463" s="4" t="s">
        <v>20</v>
      </c>
      <c r="K463" s="4" t="s">
        <v>109</v>
      </c>
      <c r="L463" s="4" t="s">
        <v>171</v>
      </c>
      <c r="M463" s="4" t="s">
        <v>40</v>
      </c>
      <c r="N463" s="4" t="s">
        <v>119</v>
      </c>
      <c r="O463" s="4">
        <v>4</v>
      </c>
      <c r="P463" s="7">
        <v>22840</v>
      </c>
      <c r="Q463" s="8">
        <v>0</v>
      </c>
      <c r="R463" s="7">
        <v>17400</v>
      </c>
      <c r="S463" s="7">
        <f>Table1_1[[#This Row],[Units Sold]]*Table1_1[[#This Row],[Unit Price]]*(1-Table1_1[[#This Row],[Discount %]])</f>
        <v>91360</v>
      </c>
      <c r="T463" s="7">
        <f>Table1_1[[#This Row],[Units Sold]]*Table1_1[[#This Row],[Unit Cost]]</f>
        <v>69600</v>
      </c>
      <c r="U463" s="7">
        <f>Table1_1[[#This Row],[Calculated sales]]-Table1_1[[#This Row],[Total cost]]</f>
        <v>21760</v>
      </c>
      <c r="V463" s="4">
        <f>IFERROR(Table1_1[[#This Row],[Profit/Loss]]/Table1_1[[#This Row],[Calculated sales]],0)</f>
        <v>0.23817863397548161</v>
      </c>
    </row>
    <row r="464" spans="1:22" x14ac:dyDescent="0.25">
      <c r="A464" s="4" t="s">
        <v>610</v>
      </c>
      <c r="B464" s="5">
        <v>45554</v>
      </c>
      <c r="C464" s="4">
        <f>YEAR(Table1_1[[#This Row],[Order Dates]])</f>
        <v>2024</v>
      </c>
      <c r="D464" s="6">
        <f>MONTH(Table1_1[[#This Row],[Order Dates]])</f>
        <v>9</v>
      </c>
      <c r="E464" s="4" t="s">
        <v>42</v>
      </c>
      <c r="F464" s="4" t="s">
        <v>146</v>
      </c>
      <c r="G464" s="4" t="s">
        <v>44</v>
      </c>
      <c r="H464" s="4" t="str">
        <f>TRIM(CLEAN(SUBSTITUTE(Table1_1[[#This Row],[Salesperson]],"   "," ")))</f>
        <v>Simran Kaur</v>
      </c>
      <c r="I464" s="4" t="s">
        <v>52</v>
      </c>
      <c r="J464" s="4" t="s">
        <v>20</v>
      </c>
      <c r="K464" s="4" t="s">
        <v>33</v>
      </c>
      <c r="L464" s="4" t="s">
        <v>34</v>
      </c>
      <c r="M464" s="4" t="s">
        <v>49</v>
      </c>
      <c r="N464" s="4" t="s">
        <v>24</v>
      </c>
      <c r="O464" s="4">
        <v>4</v>
      </c>
      <c r="P464" s="7">
        <v>56110</v>
      </c>
      <c r="Q464" s="8">
        <v>0.1</v>
      </c>
      <c r="R464" s="7">
        <v>34120</v>
      </c>
      <c r="S464" s="7">
        <f>Table1_1[[#This Row],[Units Sold]]*Table1_1[[#This Row],[Unit Price]]*(1-Table1_1[[#This Row],[Discount %]])</f>
        <v>201996</v>
      </c>
      <c r="T464" s="7">
        <f>Table1_1[[#This Row],[Units Sold]]*Table1_1[[#This Row],[Unit Cost]]</f>
        <v>136480</v>
      </c>
      <c r="U464" s="7">
        <f>Table1_1[[#This Row],[Calculated sales]]-Table1_1[[#This Row],[Total cost]]</f>
        <v>65516</v>
      </c>
      <c r="V464" s="4">
        <f>IFERROR(Table1_1[[#This Row],[Profit/Loss]]/Table1_1[[#This Row],[Calculated sales]],0)</f>
        <v>0.32434305629814453</v>
      </c>
    </row>
    <row r="465" spans="1:22" x14ac:dyDescent="0.25">
      <c r="A465" s="4" t="s">
        <v>611</v>
      </c>
      <c r="B465" s="5">
        <v>45555</v>
      </c>
      <c r="C465" s="4">
        <f>YEAR(Table1_1[[#This Row],[Order Dates]])</f>
        <v>2024</v>
      </c>
      <c r="D465" s="6">
        <f>MONTH(Table1_1[[#This Row],[Order Dates]])</f>
        <v>9</v>
      </c>
      <c r="E465" s="4" t="s">
        <v>76</v>
      </c>
      <c r="F465" s="4" t="s">
        <v>112</v>
      </c>
      <c r="G465" s="4" t="s">
        <v>170</v>
      </c>
      <c r="H465" s="4" t="str">
        <f>TRIM(CLEAN(SUBSTITUTE(Table1_1[[#This Row],[Salesperson]],"   "," ")))</f>
        <v>Manish Tiwari</v>
      </c>
      <c r="I465" s="4" t="s">
        <v>19</v>
      </c>
      <c r="J465" s="4" t="s">
        <v>27</v>
      </c>
      <c r="K465" s="4" t="s">
        <v>28</v>
      </c>
      <c r="L465" s="4" t="s">
        <v>1668</v>
      </c>
      <c r="M465" s="4" t="s">
        <v>40</v>
      </c>
      <c r="N465" s="4" t="s">
        <v>24</v>
      </c>
      <c r="O465" s="4">
        <v>4</v>
      </c>
      <c r="P465" s="7">
        <v>28260</v>
      </c>
      <c r="Q465" s="8">
        <v>0.18</v>
      </c>
      <c r="R465" s="7">
        <v>16220</v>
      </c>
      <c r="S465" s="7">
        <f>Table1_1[[#This Row],[Units Sold]]*Table1_1[[#This Row],[Unit Price]]*(1-Table1_1[[#This Row],[Discount %]])</f>
        <v>92692.800000000003</v>
      </c>
      <c r="T465" s="7">
        <f>Table1_1[[#This Row],[Units Sold]]*Table1_1[[#This Row],[Unit Cost]]</f>
        <v>64880</v>
      </c>
      <c r="U465" s="7">
        <f>Table1_1[[#This Row],[Calculated sales]]-Table1_1[[#This Row],[Total cost]]</f>
        <v>27812.800000000003</v>
      </c>
      <c r="V465" s="4">
        <f>IFERROR(Table1_1[[#This Row],[Profit/Loss]]/Table1_1[[#This Row],[Calculated sales]],0)</f>
        <v>0.30005351008924103</v>
      </c>
    </row>
    <row r="466" spans="1:22" x14ac:dyDescent="0.25">
      <c r="A466" s="4" t="s">
        <v>612</v>
      </c>
      <c r="B466" s="5">
        <v>45556</v>
      </c>
      <c r="C466" s="4">
        <f>YEAR(Table1_1[[#This Row],[Order Dates]])</f>
        <v>2024</v>
      </c>
      <c r="D466" s="6">
        <f>MONTH(Table1_1[[#This Row],[Order Dates]])</f>
        <v>9</v>
      </c>
      <c r="E466" s="4" t="s">
        <v>37</v>
      </c>
      <c r="F466" s="4" t="s">
        <v>115</v>
      </c>
      <c r="G466" s="4" t="s">
        <v>68</v>
      </c>
      <c r="H466" s="4" t="str">
        <f>TRIM(CLEAN(SUBSTITUTE(Table1_1[[#This Row],[Salesperson]],"   "," ")))</f>
        <v>Ritika Ghosh</v>
      </c>
      <c r="I466" s="4" t="s">
        <v>92</v>
      </c>
      <c r="J466" s="4" t="s">
        <v>20</v>
      </c>
      <c r="K466" s="4" t="s">
        <v>21</v>
      </c>
      <c r="L466" s="4" t="s">
        <v>1667</v>
      </c>
      <c r="M466" s="4" t="s">
        <v>49</v>
      </c>
      <c r="N466" s="4" t="s">
        <v>24</v>
      </c>
      <c r="O466" s="4">
        <v>21</v>
      </c>
      <c r="P466" s="7">
        <v>1850</v>
      </c>
      <c r="Q466" s="8">
        <v>0.05</v>
      </c>
      <c r="R466" s="7">
        <v>1070</v>
      </c>
      <c r="S466" s="7">
        <f>Table1_1[[#This Row],[Units Sold]]*Table1_1[[#This Row],[Unit Price]]*(1-Table1_1[[#This Row],[Discount %]])</f>
        <v>36907.5</v>
      </c>
      <c r="T466" s="7">
        <f>Table1_1[[#This Row],[Units Sold]]*Table1_1[[#This Row],[Unit Cost]]</f>
        <v>22470</v>
      </c>
      <c r="U466" s="7">
        <f>Table1_1[[#This Row],[Calculated sales]]-Table1_1[[#This Row],[Total cost]]</f>
        <v>14437.5</v>
      </c>
      <c r="V466" s="4">
        <f>IFERROR(Table1_1[[#This Row],[Profit/Loss]]/Table1_1[[#This Row],[Calculated sales]],0)</f>
        <v>0.39118065433854909</v>
      </c>
    </row>
    <row r="467" spans="1:22" x14ac:dyDescent="0.25">
      <c r="A467" s="4" t="s">
        <v>613</v>
      </c>
      <c r="B467" s="5">
        <v>45556</v>
      </c>
      <c r="C467" s="4">
        <f>YEAR(Table1_1[[#This Row],[Order Dates]])</f>
        <v>2024</v>
      </c>
      <c r="D467" s="6">
        <f>MONTH(Table1_1[[#This Row],[Order Dates]])</f>
        <v>9</v>
      </c>
      <c r="E467" s="4" t="s">
        <v>76</v>
      </c>
      <c r="F467" s="4" t="s">
        <v>112</v>
      </c>
      <c r="G467" s="4" t="s">
        <v>78</v>
      </c>
      <c r="H467" s="4" t="str">
        <f>TRIM(CLEAN(SUBSTITUTE(Table1_1[[#This Row],[Salesperson]],"   "," ")))</f>
        <v>Pooja Chouhan</v>
      </c>
      <c r="I467" s="4" t="s">
        <v>45</v>
      </c>
      <c r="J467" s="4" t="s">
        <v>46</v>
      </c>
      <c r="K467" s="4" t="s">
        <v>100</v>
      </c>
      <c r="L467" s="4" t="s">
        <v>101</v>
      </c>
      <c r="M467" s="4" t="s">
        <v>23</v>
      </c>
      <c r="N467" s="4" t="s">
        <v>24</v>
      </c>
      <c r="O467" s="4">
        <v>14</v>
      </c>
      <c r="P467" s="7">
        <v>2020</v>
      </c>
      <c r="Q467" s="8">
        <v>0.08</v>
      </c>
      <c r="R467" s="7">
        <v>1290</v>
      </c>
      <c r="S467" s="7">
        <f>Table1_1[[#This Row],[Units Sold]]*Table1_1[[#This Row],[Unit Price]]*(1-Table1_1[[#This Row],[Discount %]])</f>
        <v>26017.600000000002</v>
      </c>
      <c r="T467" s="7">
        <f>Table1_1[[#This Row],[Units Sold]]*Table1_1[[#This Row],[Unit Cost]]</f>
        <v>18060</v>
      </c>
      <c r="U467" s="7">
        <f>Table1_1[[#This Row],[Calculated sales]]-Table1_1[[#This Row],[Total cost]]</f>
        <v>7957.6000000000022</v>
      </c>
      <c r="V467" s="4">
        <f>IFERROR(Table1_1[[#This Row],[Profit/Loss]]/Table1_1[[#This Row],[Calculated sales]],0)</f>
        <v>0.30585449849332763</v>
      </c>
    </row>
    <row r="468" spans="1:22" x14ac:dyDescent="0.25">
      <c r="A468" s="4" t="s">
        <v>614</v>
      </c>
      <c r="B468" s="5">
        <v>45556</v>
      </c>
      <c r="C468" s="4">
        <f>YEAR(Table1_1[[#This Row],[Order Dates]])</f>
        <v>2024</v>
      </c>
      <c r="D468" s="6">
        <f>MONTH(Table1_1[[#This Row],[Order Dates]])</f>
        <v>9</v>
      </c>
      <c r="E468" s="4" t="s">
        <v>56</v>
      </c>
      <c r="F468" s="4" t="s">
        <v>103</v>
      </c>
      <c r="G468" s="4" t="s">
        <v>91</v>
      </c>
      <c r="H468" s="4" t="str">
        <f>TRIM(CLEAN(SUBSTITUTE(Table1_1[[#This Row],[Salesperson]],"   "," ")))</f>
        <v>Anjali Menon</v>
      </c>
      <c r="I468" s="4" t="s">
        <v>52</v>
      </c>
      <c r="J468" s="4" t="s">
        <v>59</v>
      </c>
      <c r="K468" s="4" t="s">
        <v>60</v>
      </c>
      <c r="L468" s="4" t="s">
        <v>200</v>
      </c>
      <c r="M468" s="4" t="s">
        <v>23</v>
      </c>
      <c r="N468" s="4" t="s">
        <v>94</v>
      </c>
      <c r="O468" s="4">
        <v>10</v>
      </c>
      <c r="P468" s="7">
        <v>8920</v>
      </c>
      <c r="Q468" s="8">
        <v>0.1</v>
      </c>
      <c r="R468" s="7">
        <v>6430</v>
      </c>
      <c r="S468" s="7">
        <f>Table1_1[[#This Row],[Units Sold]]*Table1_1[[#This Row],[Unit Price]]*(1-Table1_1[[#This Row],[Discount %]])</f>
        <v>80280</v>
      </c>
      <c r="T468" s="7">
        <f>Table1_1[[#This Row],[Units Sold]]*Table1_1[[#This Row],[Unit Cost]]</f>
        <v>64300</v>
      </c>
      <c r="U468" s="7">
        <f>Table1_1[[#This Row],[Calculated sales]]-Table1_1[[#This Row],[Total cost]]</f>
        <v>15980</v>
      </c>
      <c r="V468" s="4">
        <f>IFERROR(Table1_1[[#This Row],[Profit/Loss]]/Table1_1[[#This Row],[Calculated sales]],0)</f>
        <v>0.19905331340308918</v>
      </c>
    </row>
    <row r="469" spans="1:22" x14ac:dyDescent="0.25">
      <c r="A469" s="4" t="s">
        <v>615</v>
      </c>
      <c r="B469" s="5">
        <v>45556</v>
      </c>
      <c r="C469" s="4">
        <f>YEAR(Table1_1[[#This Row],[Order Dates]])</f>
        <v>2024</v>
      </c>
      <c r="D469" s="6">
        <f>MONTH(Table1_1[[#This Row],[Order Dates]])</f>
        <v>9</v>
      </c>
      <c r="E469" s="4" t="s">
        <v>37</v>
      </c>
      <c r="F469" s="4" t="s">
        <v>115</v>
      </c>
      <c r="G469" s="4" t="s">
        <v>39</v>
      </c>
      <c r="H469" s="4" t="str">
        <f>TRIM(CLEAN(SUBSTITUTE(Table1_1[[#This Row],[Salesperson]],"   "," ")))</f>
        <v>Sourav Das</v>
      </c>
      <c r="I469" s="4" t="s">
        <v>52</v>
      </c>
      <c r="J469" s="4" t="s">
        <v>20</v>
      </c>
      <c r="K469" s="4" t="s">
        <v>21</v>
      </c>
      <c r="L469" s="4" t="s">
        <v>1682</v>
      </c>
      <c r="M469" s="4" t="s">
        <v>23</v>
      </c>
      <c r="N469" s="4" t="s">
        <v>24</v>
      </c>
      <c r="O469" s="4">
        <v>13</v>
      </c>
      <c r="P469" s="7">
        <v>8750</v>
      </c>
      <c r="Q469" s="8">
        <v>0</v>
      </c>
      <c r="R469" s="7">
        <v>6320</v>
      </c>
      <c r="S469" s="7">
        <f>Table1_1[[#This Row],[Units Sold]]*Table1_1[[#This Row],[Unit Price]]*(1-Table1_1[[#This Row],[Discount %]])</f>
        <v>113750</v>
      </c>
      <c r="T469" s="7">
        <f>Table1_1[[#This Row],[Units Sold]]*Table1_1[[#This Row],[Unit Cost]]</f>
        <v>82160</v>
      </c>
      <c r="U469" s="7">
        <f>Table1_1[[#This Row],[Calculated sales]]-Table1_1[[#This Row],[Total cost]]</f>
        <v>31590</v>
      </c>
      <c r="V469" s="4">
        <f>IFERROR(Table1_1[[#This Row],[Profit/Loss]]/Table1_1[[#This Row],[Calculated sales]],0)</f>
        <v>0.27771428571428569</v>
      </c>
    </row>
    <row r="470" spans="1:22" x14ac:dyDescent="0.25">
      <c r="A470" s="4" t="s">
        <v>616</v>
      </c>
      <c r="B470" s="5">
        <v>45557</v>
      </c>
      <c r="C470" s="4">
        <f>YEAR(Table1_1[[#This Row],[Order Dates]])</f>
        <v>2024</v>
      </c>
      <c r="D470" s="6">
        <f>MONTH(Table1_1[[#This Row],[Order Dates]])</f>
        <v>9</v>
      </c>
      <c r="E470" s="4" t="s">
        <v>56</v>
      </c>
      <c r="F470" s="4" t="s">
        <v>127</v>
      </c>
      <c r="G470" s="4" t="s">
        <v>134</v>
      </c>
      <c r="H470" s="4" t="str">
        <f>TRIM(CLEAN(SUBSTITUTE(Table1_1[[#This Row],[Salesperson]],"   "," ")))</f>
        <v>Divya Nair</v>
      </c>
      <c r="I470" s="4" t="s">
        <v>45</v>
      </c>
      <c r="J470" s="4" t="s">
        <v>46</v>
      </c>
      <c r="K470" s="4" t="s">
        <v>179</v>
      </c>
      <c r="L470" s="4" t="s">
        <v>180</v>
      </c>
      <c r="M470" s="4" t="s">
        <v>23</v>
      </c>
      <c r="N470" s="4" t="s">
        <v>119</v>
      </c>
      <c r="O470" s="4">
        <v>15</v>
      </c>
      <c r="P470" s="7">
        <v>3830</v>
      </c>
      <c r="Q470" s="8">
        <v>0.2</v>
      </c>
      <c r="R470" s="7">
        <v>2960</v>
      </c>
      <c r="S470" s="7">
        <f>Table1_1[[#This Row],[Units Sold]]*Table1_1[[#This Row],[Unit Price]]*(1-Table1_1[[#This Row],[Discount %]])</f>
        <v>45960</v>
      </c>
      <c r="T470" s="7">
        <f>Table1_1[[#This Row],[Units Sold]]*Table1_1[[#This Row],[Unit Cost]]</f>
        <v>44400</v>
      </c>
      <c r="U470" s="7">
        <f>Table1_1[[#This Row],[Calculated sales]]-Table1_1[[#This Row],[Total cost]]</f>
        <v>1560</v>
      </c>
      <c r="V470" s="4">
        <f>IFERROR(Table1_1[[#This Row],[Profit/Loss]]/Table1_1[[#This Row],[Calculated sales]],0)</f>
        <v>3.3942558746736295E-2</v>
      </c>
    </row>
    <row r="471" spans="1:22" x14ac:dyDescent="0.25">
      <c r="A471" s="4" t="s">
        <v>617</v>
      </c>
      <c r="B471" s="5">
        <v>45557</v>
      </c>
      <c r="C471" s="4">
        <f>YEAR(Table1_1[[#This Row],[Order Dates]])</f>
        <v>2024</v>
      </c>
      <c r="D471" s="6">
        <f>MONTH(Table1_1[[#This Row],[Order Dates]])</f>
        <v>9</v>
      </c>
      <c r="E471" s="4" t="s">
        <v>42</v>
      </c>
      <c r="F471" s="4" t="s">
        <v>146</v>
      </c>
      <c r="G471" s="4" t="s">
        <v>97</v>
      </c>
      <c r="H471" s="4" t="str">
        <f>TRIM(CLEAN(SUBSTITUTE(Table1_1[[#This Row],[Salesperson]],"   "," ")))</f>
        <v>Rohit Malhotra</v>
      </c>
      <c r="I471" s="4" t="s">
        <v>52</v>
      </c>
      <c r="J471" s="4" t="s">
        <v>59</v>
      </c>
      <c r="K471" s="4" t="s">
        <v>73</v>
      </c>
      <c r="L471" s="4" t="s">
        <v>74</v>
      </c>
      <c r="M471" s="4" t="s">
        <v>40</v>
      </c>
      <c r="N471" s="4" t="s">
        <v>24</v>
      </c>
      <c r="O471" s="4">
        <v>2</v>
      </c>
      <c r="P471" s="7">
        <v>48150</v>
      </c>
      <c r="Q471" s="8">
        <v>0.1</v>
      </c>
      <c r="R471" s="7">
        <v>36100</v>
      </c>
      <c r="S471" s="7">
        <f>Table1_1[[#This Row],[Units Sold]]*Table1_1[[#This Row],[Unit Price]]*(1-Table1_1[[#This Row],[Discount %]])</f>
        <v>86670</v>
      </c>
      <c r="T471" s="7">
        <f>Table1_1[[#This Row],[Units Sold]]*Table1_1[[#This Row],[Unit Cost]]</f>
        <v>72200</v>
      </c>
      <c r="U471" s="7">
        <f>Table1_1[[#This Row],[Calculated sales]]-Table1_1[[#This Row],[Total cost]]</f>
        <v>14470</v>
      </c>
      <c r="V471" s="4">
        <f>IFERROR(Table1_1[[#This Row],[Profit/Loss]]/Table1_1[[#This Row],[Calculated sales]],0)</f>
        <v>0.16695511711088035</v>
      </c>
    </row>
    <row r="472" spans="1:22" x14ac:dyDescent="0.25">
      <c r="A472" s="4" t="s">
        <v>618</v>
      </c>
      <c r="B472" s="5">
        <v>45559</v>
      </c>
      <c r="C472" s="4">
        <f>YEAR(Table1_1[[#This Row],[Order Dates]])</f>
        <v>2024</v>
      </c>
      <c r="D472" s="6">
        <f>MONTH(Table1_1[[#This Row],[Order Dates]])</f>
        <v>9</v>
      </c>
      <c r="E472" s="4" t="s">
        <v>16</v>
      </c>
      <c r="F472" s="4" t="s">
        <v>17</v>
      </c>
      <c r="G472" s="4" t="s">
        <v>18</v>
      </c>
      <c r="H472" s="4" t="str">
        <f>TRIM(CLEAN(SUBSTITUTE(Table1_1[[#This Row],[Salesperson]],"   "," ")))</f>
        <v>Imran Sheikh</v>
      </c>
      <c r="I472" s="4" t="s">
        <v>19</v>
      </c>
      <c r="J472" s="4" t="s">
        <v>83</v>
      </c>
      <c r="K472" s="4" t="s">
        <v>184</v>
      </c>
      <c r="L472" s="4" t="s">
        <v>196</v>
      </c>
      <c r="M472" s="4" t="s">
        <v>40</v>
      </c>
      <c r="N472" s="4" t="s">
        <v>24</v>
      </c>
      <c r="O472" s="4">
        <v>13</v>
      </c>
      <c r="P472" s="7">
        <v>3180</v>
      </c>
      <c r="Q472" s="8">
        <v>0.15</v>
      </c>
      <c r="R472" s="7">
        <v>2400</v>
      </c>
      <c r="S472" s="7">
        <f>Table1_1[[#This Row],[Units Sold]]*Table1_1[[#This Row],[Unit Price]]*(1-Table1_1[[#This Row],[Discount %]])</f>
        <v>35139</v>
      </c>
      <c r="T472" s="7">
        <f>Table1_1[[#This Row],[Units Sold]]*Table1_1[[#This Row],[Unit Cost]]</f>
        <v>31200</v>
      </c>
      <c r="U472" s="7">
        <f>Table1_1[[#This Row],[Calculated sales]]-Table1_1[[#This Row],[Total cost]]</f>
        <v>3939</v>
      </c>
      <c r="V472" s="4">
        <f>IFERROR(Table1_1[[#This Row],[Profit/Loss]]/Table1_1[[#This Row],[Calculated sales]],0)</f>
        <v>0.1120976692563818</v>
      </c>
    </row>
    <row r="473" spans="1:22" x14ac:dyDescent="0.25">
      <c r="A473" s="4" t="s">
        <v>619</v>
      </c>
      <c r="B473" s="5">
        <v>45559</v>
      </c>
      <c r="C473" s="4">
        <f>YEAR(Table1_1[[#This Row],[Order Dates]])</f>
        <v>2024</v>
      </c>
      <c r="D473" s="6">
        <f>MONTH(Table1_1[[#This Row],[Order Dates]])</f>
        <v>9</v>
      </c>
      <c r="E473" s="4" t="s">
        <v>76</v>
      </c>
      <c r="F473" s="4" t="s">
        <v>150</v>
      </c>
      <c r="G473" s="4" t="s">
        <v>170</v>
      </c>
      <c r="H473" s="4" t="str">
        <f>TRIM(CLEAN(SUBSTITUTE(Table1_1[[#This Row],[Salesperson]],"   "," ")))</f>
        <v>Manish Tiwari</v>
      </c>
      <c r="I473" s="4" t="s">
        <v>92</v>
      </c>
      <c r="J473" s="4" t="s">
        <v>59</v>
      </c>
      <c r="K473" s="4" t="s">
        <v>73</v>
      </c>
      <c r="L473" s="4" t="s">
        <v>74</v>
      </c>
      <c r="M473" s="4" t="s">
        <v>40</v>
      </c>
      <c r="N473" s="4" t="s">
        <v>35</v>
      </c>
      <c r="O473" s="4">
        <v>9</v>
      </c>
      <c r="P473" s="7">
        <v>45100</v>
      </c>
      <c r="Q473" s="8">
        <v>0</v>
      </c>
      <c r="R473" s="7">
        <v>31330</v>
      </c>
      <c r="S473" s="7">
        <f>Table1_1[[#This Row],[Units Sold]]*Table1_1[[#This Row],[Unit Price]]*(1-Table1_1[[#This Row],[Discount %]])</f>
        <v>405900</v>
      </c>
      <c r="T473" s="7">
        <f>Table1_1[[#This Row],[Units Sold]]*Table1_1[[#This Row],[Unit Cost]]</f>
        <v>281970</v>
      </c>
      <c r="U473" s="7">
        <f>Table1_1[[#This Row],[Calculated sales]]-Table1_1[[#This Row],[Total cost]]</f>
        <v>123930</v>
      </c>
      <c r="V473" s="4">
        <f>IFERROR(Table1_1[[#This Row],[Profit/Loss]]/Table1_1[[#This Row],[Calculated sales]],0)</f>
        <v>0.30532150776053213</v>
      </c>
    </row>
    <row r="474" spans="1:22" x14ac:dyDescent="0.25">
      <c r="A474" s="4" t="s">
        <v>620</v>
      </c>
      <c r="B474" s="5">
        <v>45559</v>
      </c>
      <c r="C474" s="4">
        <f>YEAR(Table1_1[[#This Row],[Order Dates]])</f>
        <v>2024</v>
      </c>
      <c r="D474" s="6">
        <f>MONTH(Table1_1[[#This Row],[Order Dates]])</f>
        <v>9</v>
      </c>
      <c r="E474" s="4" t="s">
        <v>76</v>
      </c>
      <c r="F474" s="4" t="s">
        <v>125</v>
      </c>
      <c r="G474" s="4" t="s">
        <v>78</v>
      </c>
      <c r="H474" s="4" t="str">
        <f>TRIM(CLEAN(SUBSTITUTE(Table1_1[[#This Row],[Salesperson]],"   "," ")))</f>
        <v>Pooja Chouhan</v>
      </c>
      <c r="I474" s="4" t="s">
        <v>45</v>
      </c>
      <c r="J474" s="4" t="s">
        <v>46</v>
      </c>
      <c r="K474" s="4" t="s">
        <v>179</v>
      </c>
      <c r="L474" s="4" t="s">
        <v>221</v>
      </c>
      <c r="M474" s="4" t="s">
        <v>40</v>
      </c>
      <c r="N474" s="4" t="s">
        <v>24</v>
      </c>
      <c r="O474" s="4">
        <v>14</v>
      </c>
      <c r="P474" s="7">
        <v>1660</v>
      </c>
      <c r="Q474" s="8">
        <v>0.2</v>
      </c>
      <c r="R474" s="7">
        <v>970</v>
      </c>
      <c r="S474" s="7">
        <f>Table1_1[[#This Row],[Units Sold]]*Table1_1[[#This Row],[Unit Price]]*(1-Table1_1[[#This Row],[Discount %]])</f>
        <v>18592</v>
      </c>
      <c r="T474" s="7">
        <f>Table1_1[[#This Row],[Units Sold]]*Table1_1[[#This Row],[Unit Cost]]</f>
        <v>13580</v>
      </c>
      <c r="U474" s="7">
        <f>Table1_1[[#This Row],[Calculated sales]]-Table1_1[[#This Row],[Total cost]]</f>
        <v>5012</v>
      </c>
      <c r="V474" s="4">
        <f>IFERROR(Table1_1[[#This Row],[Profit/Loss]]/Table1_1[[#This Row],[Calculated sales]],0)</f>
        <v>0.26957831325301207</v>
      </c>
    </row>
    <row r="475" spans="1:22" x14ac:dyDescent="0.25">
      <c r="A475" s="4" t="s">
        <v>621</v>
      </c>
      <c r="B475" s="5">
        <v>45559</v>
      </c>
      <c r="C475" s="4">
        <f>YEAR(Table1_1[[#This Row],[Order Dates]])</f>
        <v>2024</v>
      </c>
      <c r="D475" s="6">
        <f>MONTH(Table1_1[[#This Row],[Order Dates]])</f>
        <v>9</v>
      </c>
      <c r="E475" s="4" t="s">
        <v>16</v>
      </c>
      <c r="F475" s="4" t="s">
        <v>82</v>
      </c>
      <c r="G475" s="4" t="s">
        <v>32</v>
      </c>
      <c r="H475" s="4" t="str">
        <f>TRIM(CLEAN(SUBSTITUTE(Table1_1[[#This Row],[Salesperson]],"   "," ")))</f>
        <v>Neha Deshpande</v>
      </c>
      <c r="I475" s="4" t="s">
        <v>92</v>
      </c>
      <c r="J475" s="4" t="s">
        <v>46</v>
      </c>
      <c r="K475" s="4" t="s">
        <v>100</v>
      </c>
      <c r="L475" s="4" t="s">
        <v>101</v>
      </c>
      <c r="M475" s="4" t="s">
        <v>40</v>
      </c>
      <c r="N475" s="4" t="s">
        <v>24</v>
      </c>
      <c r="O475" s="4">
        <v>7</v>
      </c>
      <c r="P475" s="7">
        <v>2020</v>
      </c>
      <c r="Q475" s="8">
        <v>0.08</v>
      </c>
      <c r="R475" s="7">
        <v>1350</v>
      </c>
      <c r="S475" s="7">
        <f>Table1_1[[#This Row],[Units Sold]]*Table1_1[[#This Row],[Unit Price]]*(1-Table1_1[[#This Row],[Discount %]])</f>
        <v>13008.800000000001</v>
      </c>
      <c r="T475" s="7">
        <f>Table1_1[[#This Row],[Units Sold]]*Table1_1[[#This Row],[Unit Cost]]</f>
        <v>9450</v>
      </c>
      <c r="U475" s="7">
        <f>Table1_1[[#This Row],[Calculated sales]]-Table1_1[[#This Row],[Total cost]]</f>
        <v>3558.8000000000011</v>
      </c>
      <c r="V475" s="4">
        <f>IFERROR(Table1_1[[#This Row],[Profit/Loss]]/Table1_1[[#This Row],[Calculated sales]],0)</f>
        <v>0.27356866121394752</v>
      </c>
    </row>
    <row r="476" spans="1:22" x14ac:dyDescent="0.25">
      <c r="A476" s="4" t="s">
        <v>622</v>
      </c>
      <c r="B476" s="5">
        <v>45561</v>
      </c>
      <c r="C476" s="4">
        <f>YEAR(Table1_1[[#This Row],[Order Dates]])</f>
        <v>2024</v>
      </c>
      <c r="D476" s="6">
        <f>MONTH(Table1_1[[#This Row],[Order Dates]])</f>
        <v>9</v>
      </c>
      <c r="E476" s="4" t="s">
        <v>16</v>
      </c>
      <c r="F476" s="4" t="s">
        <v>31</v>
      </c>
      <c r="G476" s="4" t="s">
        <v>26</v>
      </c>
      <c r="H476" s="4" t="str">
        <f>TRIM(CLEAN(SUBSTITUTE(Table1_1[[#This Row],[Salesperson]],"   "," ")))</f>
        <v>Prateek Shah</v>
      </c>
      <c r="I476" s="4" t="s">
        <v>52</v>
      </c>
      <c r="J476" s="4" t="s">
        <v>20</v>
      </c>
      <c r="K476" s="4" t="s">
        <v>87</v>
      </c>
      <c r="L476" s="4" t="s">
        <v>1672</v>
      </c>
      <c r="M476" s="4" t="s">
        <v>40</v>
      </c>
      <c r="N476" s="4" t="s">
        <v>24</v>
      </c>
      <c r="O476" s="4">
        <v>2</v>
      </c>
      <c r="P476" s="7">
        <v>31490</v>
      </c>
      <c r="Q476" s="8">
        <v>0.2</v>
      </c>
      <c r="R476" s="7">
        <v>20730</v>
      </c>
      <c r="S476" s="7">
        <f>Table1_1[[#This Row],[Units Sold]]*Table1_1[[#This Row],[Unit Price]]*(1-Table1_1[[#This Row],[Discount %]])</f>
        <v>50384</v>
      </c>
      <c r="T476" s="7">
        <f>Table1_1[[#This Row],[Units Sold]]*Table1_1[[#This Row],[Unit Cost]]</f>
        <v>41460</v>
      </c>
      <c r="U476" s="7">
        <f>Table1_1[[#This Row],[Calculated sales]]-Table1_1[[#This Row],[Total cost]]</f>
        <v>8924</v>
      </c>
      <c r="V476" s="4">
        <f>IFERROR(Table1_1[[#This Row],[Profit/Loss]]/Table1_1[[#This Row],[Calculated sales]],0)</f>
        <v>0.17711972054620514</v>
      </c>
    </row>
    <row r="477" spans="1:22" x14ac:dyDescent="0.25">
      <c r="A477" s="4" t="s">
        <v>623</v>
      </c>
      <c r="B477" s="5">
        <v>45561</v>
      </c>
      <c r="C477" s="4">
        <f>YEAR(Table1_1[[#This Row],[Order Dates]])</f>
        <v>2024</v>
      </c>
      <c r="D477" s="6">
        <f>MONTH(Table1_1[[#This Row],[Order Dates]])</f>
        <v>9</v>
      </c>
      <c r="E477" s="4" t="s">
        <v>37</v>
      </c>
      <c r="F477" s="4" t="s">
        <v>115</v>
      </c>
      <c r="G477" s="4" t="s">
        <v>39</v>
      </c>
      <c r="H477" s="4" t="str">
        <f>TRIM(CLEAN(SUBSTITUTE(Table1_1[[#This Row],[Salesperson]],"   "," ")))</f>
        <v>Sourav Das</v>
      </c>
      <c r="I477" s="4" t="s">
        <v>19</v>
      </c>
      <c r="J477" s="4" t="s">
        <v>27</v>
      </c>
      <c r="K477" s="4" t="s">
        <v>53</v>
      </c>
      <c r="L477" s="4" t="s">
        <v>1676</v>
      </c>
      <c r="M477" s="4" t="s">
        <v>49</v>
      </c>
      <c r="N477" s="4" t="s">
        <v>24</v>
      </c>
      <c r="O477" s="4">
        <v>3</v>
      </c>
      <c r="P477" s="7">
        <v>34720</v>
      </c>
      <c r="Q477" s="8">
        <v>0.1</v>
      </c>
      <c r="R477" s="7">
        <v>19900</v>
      </c>
      <c r="S477" s="7">
        <f>Table1_1[[#This Row],[Units Sold]]*Table1_1[[#This Row],[Unit Price]]*(1-Table1_1[[#This Row],[Discount %]])</f>
        <v>93744</v>
      </c>
      <c r="T477" s="7">
        <f>Table1_1[[#This Row],[Units Sold]]*Table1_1[[#This Row],[Unit Cost]]</f>
        <v>59700</v>
      </c>
      <c r="U477" s="7">
        <f>Table1_1[[#This Row],[Calculated sales]]-Table1_1[[#This Row],[Total cost]]</f>
        <v>34044</v>
      </c>
      <c r="V477" s="4">
        <f>IFERROR(Table1_1[[#This Row],[Profit/Loss]]/Table1_1[[#This Row],[Calculated sales]],0)</f>
        <v>0.36315924219150025</v>
      </c>
    </row>
    <row r="478" spans="1:22" x14ac:dyDescent="0.25">
      <c r="A478" s="4" t="s">
        <v>624</v>
      </c>
      <c r="B478" s="5">
        <v>45561</v>
      </c>
      <c r="C478" s="4">
        <f>YEAR(Table1_1[[#This Row],[Order Dates]])</f>
        <v>2024</v>
      </c>
      <c r="D478" s="6">
        <f>MONTH(Table1_1[[#This Row],[Order Dates]])</f>
        <v>9</v>
      </c>
      <c r="E478" s="4" t="s">
        <v>56</v>
      </c>
      <c r="F478" s="4" t="s">
        <v>127</v>
      </c>
      <c r="G478" s="4" t="s">
        <v>134</v>
      </c>
      <c r="H478" s="4" t="str">
        <f>TRIM(CLEAN(SUBSTITUTE(Table1_1[[#This Row],[Salesperson]],"   "," ")))</f>
        <v>Divya Nair</v>
      </c>
      <c r="I478" s="4" t="s">
        <v>19</v>
      </c>
      <c r="J478" s="4" t="s">
        <v>20</v>
      </c>
      <c r="K478" s="4" t="s">
        <v>21</v>
      </c>
      <c r="L478" s="4" t="s">
        <v>1667</v>
      </c>
      <c r="M478" s="4" t="s">
        <v>49</v>
      </c>
      <c r="N478" s="4" t="s">
        <v>24</v>
      </c>
      <c r="O478" s="4">
        <v>36</v>
      </c>
      <c r="P478" s="7">
        <v>1890</v>
      </c>
      <c r="Q478" s="8">
        <v>0.05</v>
      </c>
      <c r="R478" s="7">
        <v>1490</v>
      </c>
      <c r="S478" s="7">
        <f>Table1_1[[#This Row],[Units Sold]]*Table1_1[[#This Row],[Unit Price]]*(1-Table1_1[[#This Row],[Discount %]])</f>
        <v>64638</v>
      </c>
      <c r="T478" s="7">
        <f>Table1_1[[#This Row],[Units Sold]]*Table1_1[[#This Row],[Unit Cost]]</f>
        <v>53640</v>
      </c>
      <c r="U478" s="7">
        <f>Table1_1[[#This Row],[Calculated sales]]-Table1_1[[#This Row],[Total cost]]</f>
        <v>10998</v>
      </c>
      <c r="V478" s="4">
        <f>IFERROR(Table1_1[[#This Row],[Profit/Loss]]/Table1_1[[#This Row],[Calculated sales]],0)</f>
        <v>0.17014759120022277</v>
      </c>
    </row>
    <row r="479" spans="1:22" x14ac:dyDescent="0.25">
      <c r="A479" s="4" t="s">
        <v>625</v>
      </c>
      <c r="B479" s="5">
        <v>45561</v>
      </c>
      <c r="C479" s="4">
        <f>YEAR(Table1_1[[#This Row],[Order Dates]])</f>
        <v>2024</v>
      </c>
      <c r="D479" s="6">
        <f>MONTH(Table1_1[[#This Row],[Order Dates]])</f>
        <v>9</v>
      </c>
      <c r="E479" s="4" t="s">
        <v>56</v>
      </c>
      <c r="F479" s="4" t="s">
        <v>127</v>
      </c>
      <c r="G479" s="4" t="s">
        <v>58</v>
      </c>
      <c r="H479" s="4" t="str">
        <f>TRIM(CLEAN(SUBSTITUTE(Table1_1[[#This Row],[Salesperson]],"   "," ")))</f>
        <v>Karthik Raman</v>
      </c>
      <c r="I479" s="4" t="s">
        <v>52</v>
      </c>
      <c r="J479" s="4" t="s">
        <v>20</v>
      </c>
      <c r="K479" s="4" t="s">
        <v>87</v>
      </c>
      <c r="L479" s="4" t="s">
        <v>1672</v>
      </c>
      <c r="M479" s="4" t="s">
        <v>40</v>
      </c>
      <c r="N479" s="4" t="s">
        <v>119</v>
      </c>
      <c r="O479" s="4">
        <v>3</v>
      </c>
      <c r="P479" s="7">
        <v>33840</v>
      </c>
      <c r="Q479" s="8">
        <v>0</v>
      </c>
      <c r="R479" s="7">
        <v>23250</v>
      </c>
      <c r="S479" s="7">
        <f>Table1_1[[#This Row],[Units Sold]]*Table1_1[[#This Row],[Unit Price]]*(1-Table1_1[[#This Row],[Discount %]])</f>
        <v>101520</v>
      </c>
      <c r="T479" s="7">
        <f>Table1_1[[#This Row],[Units Sold]]*Table1_1[[#This Row],[Unit Cost]]</f>
        <v>69750</v>
      </c>
      <c r="U479" s="7">
        <f>Table1_1[[#This Row],[Calculated sales]]-Table1_1[[#This Row],[Total cost]]</f>
        <v>31770</v>
      </c>
      <c r="V479" s="4">
        <f>IFERROR(Table1_1[[#This Row],[Profit/Loss]]/Table1_1[[#This Row],[Calculated sales]],0)</f>
        <v>0.31294326241134751</v>
      </c>
    </row>
    <row r="480" spans="1:22" x14ac:dyDescent="0.25">
      <c r="A480" s="4" t="s">
        <v>626</v>
      </c>
      <c r="B480" s="5">
        <v>45561</v>
      </c>
      <c r="C480" s="4">
        <f>YEAR(Table1_1[[#This Row],[Order Dates]])</f>
        <v>2024</v>
      </c>
      <c r="D480" s="6">
        <f>MONTH(Table1_1[[#This Row],[Order Dates]])</f>
        <v>9</v>
      </c>
      <c r="E480" s="4" t="s">
        <v>16</v>
      </c>
      <c r="F480" s="4" t="s">
        <v>17</v>
      </c>
      <c r="G480" s="4" t="s">
        <v>18</v>
      </c>
      <c r="H480" s="4" t="str">
        <f>TRIM(CLEAN(SUBSTITUTE(Table1_1[[#This Row],[Salesperson]],"   "," ")))</f>
        <v>Imran Sheikh</v>
      </c>
      <c r="I480" s="4" t="s">
        <v>52</v>
      </c>
      <c r="J480" s="4" t="s">
        <v>59</v>
      </c>
      <c r="K480" s="4" t="s">
        <v>154</v>
      </c>
      <c r="L480" s="4" t="s">
        <v>155</v>
      </c>
      <c r="M480" s="4" t="s">
        <v>40</v>
      </c>
      <c r="N480" s="4" t="s">
        <v>24</v>
      </c>
      <c r="O480" s="4">
        <v>1</v>
      </c>
      <c r="P480" s="7">
        <v>12130</v>
      </c>
      <c r="Q480" s="8">
        <v>0.1</v>
      </c>
      <c r="R480" s="7">
        <v>8990</v>
      </c>
      <c r="S480" s="7">
        <f>Table1_1[[#This Row],[Units Sold]]*Table1_1[[#This Row],[Unit Price]]*(1-Table1_1[[#This Row],[Discount %]])</f>
        <v>10917</v>
      </c>
      <c r="T480" s="7">
        <f>Table1_1[[#This Row],[Units Sold]]*Table1_1[[#This Row],[Unit Cost]]</f>
        <v>8990</v>
      </c>
      <c r="U480" s="7">
        <f>Table1_1[[#This Row],[Calculated sales]]-Table1_1[[#This Row],[Total cost]]</f>
        <v>1927</v>
      </c>
      <c r="V480" s="4">
        <f>IFERROR(Table1_1[[#This Row],[Profit/Loss]]/Table1_1[[#This Row],[Calculated sales]],0)</f>
        <v>0.17651369423834387</v>
      </c>
    </row>
    <row r="481" spans="1:22" x14ac:dyDescent="0.25">
      <c r="A481" s="4" t="s">
        <v>627</v>
      </c>
      <c r="B481" s="5">
        <v>45562</v>
      </c>
      <c r="C481" s="4">
        <f>YEAR(Table1_1[[#This Row],[Order Dates]])</f>
        <v>2024</v>
      </c>
      <c r="D481" s="6">
        <f>MONTH(Table1_1[[#This Row],[Order Dates]])</f>
        <v>9</v>
      </c>
      <c r="E481" s="4" t="s">
        <v>42</v>
      </c>
      <c r="F481" s="4" t="s">
        <v>146</v>
      </c>
      <c r="G481" s="4" t="s">
        <v>97</v>
      </c>
      <c r="H481" s="4" t="str">
        <f>TRIM(CLEAN(SUBSTITUTE(Table1_1[[#This Row],[Salesperson]],"   "," ")))</f>
        <v>Rohit Malhotra</v>
      </c>
      <c r="I481" s="4" t="s">
        <v>52</v>
      </c>
      <c r="J481" s="4" t="s">
        <v>20</v>
      </c>
      <c r="K481" s="4" t="s">
        <v>109</v>
      </c>
      <c r="L481" s="4" t="s">
        <v>159</v>
      </c>
      <c r="M481" s="4" t="s">
        <v>40</v>
      </c>
      <c r="N481" s="4" t="s">
        <v>24</v>
      </c>
      <c r="O481" s="4">
        <v>5</v>
      </c>
      <c r="P481" s="7">
        <v>17370</v>
      </c>
      <c r="Q481" s="8">
        <v>0.05</v>
      </c>
      <c r="R481" s="7">
        <v>12710</v>
      </c>
      <c r="S481" s="7">
        <f>Table1_1[[#This Row],[Units Sold]]*Table1_1[[#This Row],[Unit Price]]*(1-Table1_1[[#This Row],[Discount %]])</f>
        <v>82507.5</v>
      </c>
      <c r="T481" s="7">
        <f>Table1_1[[#This Row],[Units Sold]]*Table1_1[[#This Row],[Unit Cost]]</f>
        <v>63550</v>
      </c>
      <c r="U481" s="7">
        <f>Table1_1[[#This Row],[Calculated sales]]-Table1_1[[#This Row],[Total cost]]</f>
        <v>18957.5</v>
      </c>
      <c r="V481" s="4">
        <f>IFERROR(Table1_1[[#This Row],[Profit/Loss]]/Table1_1[[#This Row],[Calculated sales]],0)</f>
        <v>0.22976699087961699</v>
      </c>
    </row>
    <row r="482" spans="1:22" x14ac:dyDescent="0.25">
      <c r="A482" s="4" t="s">
        <v>628</v>
      </c>
      <c r="B482" s="5">
        <v>45562</v>
      </c>
      <c r="C482" s="4">
        <f>YEAR(Table1_1[[#This Row],[Order Dates]])</f>
        <v>2024</v>
      </c>
      <c r="D482" s="6">
        <f>MONTH(Table1_1[[#This Row],[Order Dates]])</f>
        <v>9</v>
      </c>
      <c r="E482" s="4" t="s">
        <v>56</v>
      </c>
      <c r="F482" s="4" t="s">
        <v>127</v>
      </c>
      <c r="G482" s="4" t="s">
        <v>134</v>
      </c>
      <c r="H482" s="4" t="str">
        <f>TRIM(CLEAN(SUBSTITUTE(Table1_1[[#This Row],[Salesperson]],"   "," ")))</f>
        <v>Divya Nair</v>
      </c>
      <c r="I482" s="4" t="s">
        <v>52</v>
      </c>
      <c r="J482" s="4" t="s">
        <v>27</v>
      </c>
      <c r="K482" s="4" t="s">
        <v>214</v>
      </c>
      <c r="L482" s="4" t="s">
        <v>1680</v>
      </c>
      <c r="M482" s="4" t="s">
        <v>40</v>
      </c>
      <c r="N482" s="4" t="s">
        <v>24</v>
      </c>
      <c r="O482" s="4">
        <v>3</v>
      </c>
      <c r="P482" s="7">
        <v>33360</v>
      </c>
      <c r="Q482" s="8">
        <v>0.12</v>
      </c>
      <c r="R482" s="7">
        <v>24090</v>
      </c>
      <c r="S482" s="7">
        <f>Table1_1[[#This Row],[Units Sold]]*Table1_1[[#This Row],[Unit Price]]*(1-Table1_1[[#This Row],[Discount %]])</f>
        <v>88070.399999999994</v>
      </c>
      <c r="T482" s="7">
        <f>Table1_1[[#This Row],[Units Sold]]*Table1_1[[#This Row],[Unit Cost]]</f>
        <v>72270</v>
      </c>
      <c r="U482" s="7">
        <f>Table1_1[[#This Row],[Calculated sales]]-Table1_1[[#This Row],[Total cost]]</f>
        <v>15800.399999999994</v>
      </c>
      <c r="V482" s="4">
        <f>IFERROR(Table1_1[[#This Row],[Profit/Loss]]/Table1_1[[#This Row],[Calculated sales]],0)</f>
        <v>0.17940647482014382</v>
      </c>
    </row>
    <row r="483" spans="1:22" x14ac:dyDescent="0.25">
      <c r="A483" s="4" t="s">
        <v>629</v>
      </c>
      <c r="B483" s="5">
        <v>45562</v>
      </c>
      <c r="C483" s="4">
        <f>YEAR(Table1_1[[#This Row],[Order Dates]])</f>
        <v>2024</v>
      </c>
      <c r="D483" s="6">
        <f>MONTH(Table1_1[[#This Row],[Order Dates]])</f>
        <v>9</v>
      </c>
      <c r="E483" s="4" t="s">
        <v>56</v>
      </c>
      <c r="F483" s="4" t="s">
        <v>103</v>
      </c>
      <c r="G483" s="4" t="s">
        <v>58</v>
      </c>
      <c r="H483" s="4" t="str">
        <f>TRIM(CLEAN(SUBSTITUTE(Table1_1[[#This Row],[Salesperson]],"   "," ")))</f>
        <v>Karthik Raman</v>
      </c>
      <c r="I483" s="4" t="s">
        <v>19</v>
      </c>
      <c r="J483" s="4" t="s">
        <v>27</v>
      </c>
      <c r="K483" s="4" t="s">
        <v>214</v>
      </c>
      <c r="L483" s="4" t="s">
        <v>1680</v>
      </c>
      <c r="M483" s="4" t="s">
        <v>23</v>
      </c>
      <c r="N483" s="4" t="s">
        <v>24</v>
      </c>
      <c r="O483" s="4">
        <v>3</v>
      </c>
      <c r="P483" s="7">
        <v>32800</v>
      </c>
      <c r="Q483" s="8">
        <v>0.15</v>
      </c>
      <c r="R483" s="7">
        <v>22330</v>
      </c>
      <c r="S483" s="7">
        <f>Table1_1[[#This Row],[Units Sold]]*Table1_1[[#This Row],[Unit Price]]*(1-Table1_1[[#This Row],[Discount %]])</f>
        <v>83640</v>
      </c>
      <c r="T483" s="7">
        <f>Table1_1[[#This Row],[Units Sold]]*Table1_1[[#This Row],[Unit Cost]]</f>
        <v>66990</v>
      </c>
      <c r="U483" s="7">
        <f>Table1_1[[#This Row],[Calculated sales]]-Table1_1[[#This Row],[Total cost]]</f>
        <v>16650</v>
      </c>
      <c r="V483" s="4">
        <f>IFERROR(Table1_1[[#This Row],[Profit/Loss]]/Table1_1[[#This Row],[Calculated sales]],0)</f>
        <v>0.19906743185078909</v>
      </c>
    </row>
    <row r="484" spans="1:22" x14ac:dyDescent="0.25">
      <c r="A484" s="4" t="s">
        <v>630</v>
      </c>
      <c r="B484" s="5">
        <v>45562</v>
      </c>
      <c r="C484" s="4">
        <f>YEAR(Table1_1[[#This Row],[Order Dates]])</f>
        <v>2024</v>
      </c>
      <c r="D484" s="6">
        <f>MONTH(Table1_1[[#This Row],[Order Dates]])</f>
        <v>9</v>
      </c>
      <c r="E484" s="4" t="s">
        <v>16</v>
      </c>
      <c r="F484" s="4" t="s">
        <v>17</v>
      </c>
      <c r="G484" s="4" t="s">
        <v>32</v>
      </c>
      <c r="H484" s="4" t="str">
        <f>TRIM(CLEAN(SUBSTITUTE(Table1_1[[#This Row],[Salesperson]],"   "," ")))</f>
        <v>Neha Deshpande</v>
      </c>
      <c r="I484" s="4" t="s">
        <v>92</v>
      </c>
      <c r="J484" s="4" t="s">
        <v>83</v>
      </c>
      <c r="K484" s="4" t="s">
        <v>84</v>
      </c>
      <c r="L484" s="4" t="s">
        <v>1671</v>
      </c>
      <c r="M484" s="4" t="s">
        <v>40</v>
      </c>
      <c r="N484" s="4" t="s">
        <v>24</v>
      </c>
      <c r="O484" s="4">
        <v>49</v>
      </c>
      <c r="P484" s="7">
        <v>2510</v>
      </c>
      <c r="Q484" s="8">
        <v>0.18</v>
      </c>
      <c r="R484" s="7">
        <v>1590</v>
      </c>
      <c r="S484" s="7">
        <f>Table1_1[[#This Row],[Units Sold]]*Table1_1[[#This Row],[Unit Price]]*(1-Table1_1[[#This Row],[Discount %]])</f>
        <v>100851.8</v>
      </c>
      <c r="T484" s="7">
        <f>Table1_1[[#This Row],[Units Sold]]*Table1_1[[#This Row],[Unit Cost]]</f>
        <v>77910</v>
      </c>
      <c r="U484" s="7">
        <f>Table1_1[[#This Row],[Calculated sales]]-Table1_1[[#This Row],[Total cost]]</f>
        <v>22941.800000000003</v>
      </c>
      <c r="V484" s="4">
        <f>IFERROR(Table1_1[[#This Row],[Profit/Loss]]/Table1_1[[#This Row],[Calculated sales]],0)</f>
        <v>0.22748032261199108</v>
      </c>
    </row>
    <row r="485" spans="1:22" x14ac:dyDescent="0.25">
      <c r="A485" s="4" t="s">
        <v>631</v>
      </c>
      <c r="B485" s="5">
        <v>45565</v>
      </c>
      <c r="C485" s="4">
        <f>YEAR(Table1_1[[#This Row],[Order Dates]])</f>
        <v>2024</v>
      </c>
      <c r="D485" s="6">
        <f>MONTH(Table1_1[[#This Row],[Order Dates]])</f>
        <v>9</v>
      </c>
      <c r="E485" s="4" t="s">
        <v>16</v>
      </c>
      <c r="F485" s="4" t="s">
        <v>191</v>
      </c>
      <c r="G485" s="4" t="s">
        <v>32</v>
      </c>
      <c r="H485" s="4" t="str">
        <f>TRIM(CLEAN(SUBSTITUTE(Table1_1[[#This Row],[Salesperson]],"   "," ")))</f>
        <v>Neha Deshpande</v>
      </c>
      <c r="I485" s="4" t="s">
        <v>45</v>
      </c>
      <c r="J485" s="4" t="s">
        <v>59</v>
      </c>
      <c r="K485" s="4" t="s">
        <v>60</v>
      </c>
      <c r="L485" s="4" t="s">
        <v>61</v>
      </c>
      <c r="M485" s="4" t="s">
        <v>40</v>
      </c>
      <c r="N485" s="4" t="s">
        <v>94</v>
      </c>
      <c r="O485" s="4">
        <v>11</v>
      </c>
      <c r="P485" s="7">
        <v>25370</v>
      </c>
      <c r="Q485" s="8">
        <v>0.05</v>
      </c>
      <c r="R485" s="7">
        <v>15140</v>
      </c>
      <c r="S485" s="7">
        <f>Table1_1[[#This Row],[Units Sold]]*Table1_1[[#This Row],[Unit Price]]*(1-Table1_1[[#This Row],[Discount %]])</f>
        <v>265116.5</v>
      </c>
      <c r="T485" s="7">
        <f>Table1_1[[#This Row],[Units Sold]]*Table1_1[[#This Row],[Unit Cost]]</f>
        <v>166540</v>
      </c>
      <c r="U485" s="7">
        <f>Table1_1[[#This Row],[Calculated sales]]-Table1_1[[#This Row],[Total cost]]</f>
        <v>98576.5</v>
      </c>
      <c r="V485" s="4">
        <f>IFERROR(Table1_1[[#This Row],[Profit/Loss]]/Table1_1[[#This Row],[Calculated sales]],0)</f>
        <v>0.37182333049810179</v>
      </c>
    </row>
    <row r="486" spans="1:22" x14ac:dyDescent="0.25">
      <c r="A486" s="4" t="s">
        <v>632</v>
      </c>
      <c r="B486" s="5">
        <v>45565</v>
      </c>
      <c r="C486" s="4">
        <f>YEAR(Table1_1[[#This Row],[Order Dates]])</f>
        <v>2024</v>
      </c>
      <c r="D486" s="6">
        <f>MONTH(Table1_1[[#This Row],[Order Dates]])</f>
        <v>9</v>
      </c>
      <c r="E486" s="4" t="s">
        <v>56</v>
      </c>
      <c r="F486" s="4" t="s">
        <v>103</v>
      </c>
      <c r="G486" s="4" t="s">
        <v>134</v>
      </c>
      <c r="H486" s="4" t="str">
        <f>TRIM(CLEAN(SUBSTITUTE(Table1_1[[#This Row],[Salesperson]],"   "," ")))</f>
        <v>Divya Nair</v>
      </c>
      <c r="I486" s="4" t="s">
        <v>92</v>
      </c>
      <c r="J486" s="4" t="s">
        <v>20</v>
      </c>
      <c r="K486" s="4" t="s">
        <v>21</v>
      </c>
      <c r="L486" s="4" t="s">
        <v>1667</v>
      </c>
      <c r="M486" s="4" t="s">
        <v>23</v>
      </c>
      <c r="N486" s="4" t="s">
        <v>24</v>
      </c>
      <c r="O486" s="4">
        <v>11</v>
      </c>
      <c r="P486" s="7">
        <v>1800</v>
      </c>
      <c r="Q486" s="8">
        <v>0.1</v>
      </c>
      <c r="R486" s="7">
        <v>1260</v>
      </c>
      <c r="S486" s="7">
        <f>Table1_1[[#This Row],[Units Sold]]*Table1_1[[#This Row],[Unit Price]]*(1-Table1_1[[#This Row],[Discount %]])</f>
        <v>17820</v>
      </c>
      <c r="T486" s="7">
        <f>Table1_1[[#This Row],[Units Sold]]*Table1_1[[#This Row],[Unit Cost]]</f>
        <v>13860</v>
      </c>
      <c r="U486" s="7">
        <f>Table1_1[[#This Row],[Calculated sales]]-Table1_1[[#This Row],[Total cost]]</f>
        <v>3960</v>
      </c>
      <c r="V486" s="4">
        <f>IFERROR(Table1_1[[#This Row],[Profit/Loss]]/Table1_1[[#This Row],[Calculated sales]],0)</f>
        <v>0.22222222222222221</v>
      </c>
    </row>
    <row r="487" spans="1:22" x14ac:dyDescent="0.25">
      <c r="A487" s="4" t="s">
        <v>633</v>
      </c>
      <c r="B487" s="5">
        <v>45566</v>
      </c>
      <c r="C487" s="4">
        <f>YEAR(Table1_1[[#This Row],[Order Dates]])</f>
        <v>2024</v>
      </c>
      <c r="D487" s="6">
        <f>MONTH(Table1_1[[#This Row],[Order Dates]])</f>
        <v>10</v>
      </c>
      <c r="E487" s="4" t="s">
        <v>42</v>
      </c>
      <c r="F487" s="4" t="s">
        <v>146</v>
      </c>
      <c r="G487" s="4" t="s">
        <v>97</v>
      </c>
      <c r="H487" s="4" t="str">
        <f>TRIM(CLEAN(SUBSTITUTE(Table1_1[[#This Row],[Salesperson]],"   "," ")))</f>
        <v>Rohit Malhotra</v>
      </c>
      <c r="I487" s="4" t="s">
        <v>19</v>
      </c>
      <c r="J487" s="4" t="s">
        <v>59</v>
      </c>
      <c r="K487" s="4" t="s">
        <v>154</v>
      </c>
      <c r="L487" s="4" t="s">
        <v>249</v>
      </c>
      <c r="M487" s="4" t="s">
        <v>40</v>
      </c>
      <c r="N487" s="4" t="s">
        <v>24</v>
      </c>
      <c r="O487" s="4">
        <v>5</v>
      </c>
      <c r="P487" s="7">
        <v>6570</v>
      </c>
      <c r="Q487" s="8">
        <v>0.15</v>
      </c>
      <c r="R487" s="7">
        <v>5090</v>
      </c>
      <c r="S487" s="7">
        <f>Table1_1[[#This Row],[Units Sold]]*Table1_1[[#This Row],[Unit Price]]*(1-Table1_1[[#This Row],[Discount %]])</f>
        <v>27922.5</v>
      </c>
      <c r="T487" s="7">
        <f>Table1_1[[#This Row],[Units Sold]]*Table1_1[[#This Row],[Unit Cost]]</f>
        <v>25450</v>
      </c>
      <c r="U487" s="7">
        <f>Table1_1[[#This Row],[Calculated sales]]-Table1_1[[#This Row],[Total cost]]</f>
        <v>2472.5</v>
      </c>
      <c r="V487" s="4">
        <f>IFERROR(Table1_1[[#This Row],[Profit/Loss]]/Table1_1[[#This Row],[Calculated sales]],0)</f>
        <v>8.854866147372191E-2</v>
      </c>
    </row>
    <row r="488" spans="1:22" x14ac:dyDescent="0.25">
      <c r="A488" s="4" t="s">
        <v>634</v>
      </c>
      <c r="B488" s="5">
        <v>45566</v>
      </c>
      <c r="C488" s="4">
        <f>YEAR(Table1_1[[#This Row],[Order Dates]])</f>
        <v>2024</v>
      </c>
      <c r="D488" s="6">
        <f>MONTH(Table1_1[[#This Row],[Order Dates]])</f>
        <v>10</v>
      </c>
      <c r="E488" s="4" t="s">
        <v>42</v>
      </c>
      <c r="F488" s="4" t="s">
        <v>96</v>
      </c>
      <c r="G488" s="4" t="s">
        <v>44</v>
      </c>
      <c r="H488" s="4" t="str">
        <f>TRIM(CLEAN(SUBSTITUTE(Table1_1[[#This Row],[Salesperson]],"   "," ")))</f>
        <v>Simran Kaur</v>
      </c>
      <c r="I488" s="4" t="s">
        <v>19</v>
      </c>
      <c r="J488" s="4" t="s">
        <v>20</v>
      </c>
      <c r="K488" s="4" t="s">
        <v>87</v>
      </c>
      <c r="L488" s="4" t="s">
        <v>1674</v>
      </c>
      <c r="M488" s="4" t="s">
        <v>49</v>
      </c>
      <c r="N488" s="4" t="s">
        <v>119</v>
      </c>
      <c r="O488" s="4">
        <v>1</v>
      </c>
      <c r="P488" s="7">
        <v>56060</v>
      </c>
      <c r="Q488" s="8">
        <v>0.1</v>
      </c>
      <c r="R488" s="7">
        <v>38300</v>
      </c>
      <c r="S488" s="7">
        <f>Table1_1[[#This Row],[Units Sold]]*Table1_1[[#This Row],[Unit Price]]*(1-Table1_1[[#This Row],[Discount %]])</f>
        <v>50454</v>
      </c>
      <c r="T488" s="7">
        <f>Table1_1[[#This Row],[Units Sold]]*Table1_1[[#This Row],[Unit Cost]]</f>
        <v>38300</v>
      </c>
      <c r="U488" s="7">
        <f>Table1_1[[#This Row],[Calculated sales]]-Table1_1[[#This Row],[Total cost]]</f>
        <v>12154</v>
      </c>
      <c r="V488" s="4">
        <f>IFERROR(Table1_1[[#This Row],[Profit/Loss]]/Table1_1[[#This Row],[Calculated sales]],0)</f>
        <v>0.24089269433543425</v>
      </c>
    </row>
    <row r="489" spans="1:22" x14ac:dyDescent="0.25">
      <c r="A489" s="4" t="s">
        <v>635</v>
      </c>
      <c r="B489" s="5">
        <v>45566</v>
      </c>
      <c r="C489" s="4">
        <f>YEAR(Table1_1[[#This Row],[Order Dates]])</f>
        <v>2024</v>
      </c>
      <c r="D489" s="6">
        <f>MONTH(Table1_1[[#This Row],[Order Dates]])</f>
        <v>10</v>
      </c>
      <c r="E489" s="4" t="s">
        <v>42</v>
      </c>
      <c r="F489" s="4" t="s">
        <v>265</v>
      </c>
      <c r="G489" s="4" t="s">
        <v>44</v>
      </c>
      <c r="H489" s="4" t="str">
        <f>TRIM(CLEAN(SUBSTITUTE(Table1_1[[#This Row],[Salesperson]],"   "," ")))</f>
        <v>Simran Kaur</v>
      </c>
      <c r="I489" s="4" t="s">
        <v>19</v>
      </c>
      <c r="J489" s="4" t="s">
        <v>27</v>
      </c>
      <c r="K489" s="4" t="s">
        <v>214</v>
      </c>
      <c r="L489" s="4" t="s">
        <v>1681</v>
      </c>
      <c r="M489" s="4" t="s">
        <v>40</v>
      </c>
      <c r="N489" s="4" t="s">
        <v>24</v>
      </c>
      <c r="O489" s="4">
        <v>5</v>
      </c>
      <c r="P489" s="7">
        <v>13710</v>
      </c>
      <c r="Q489" s="8">
        <v>0</v>
      </c>
      <c r="R489" s="7">
        <v>9790</v>
      </c>
      <c r="S489" s="7">
        <f>Table1_1[[#This Row],[Units Sold]]*Table1_1[[#This Row],[Unit Price]]*(1-Table1_1[[#This Row],[Discount %]])</f>
        <v>68550</v>
      </c>
      <c r="T489" s="7">
        <f>Table1_1[[#This Row],[Units Sold]]*Table1_1[[#This Row],[Unit Cost]]</f>
        <v>48950</v>
      </c>
      <c r="U489" s="7">
        <f>Table1_1[[#This Row],[Calculated sales]]-Table1_1[[#This Row],[Total cost]]</f>
        <v>19600</v>
      </c>
      <c r="V489" s="4">
        <f>IFERROR(Table1_1[[#This Row],[Profit/Loss]]/Table1_1[[#This Row],[Calculated sales]],0)</f>
        <v>0.28592268417213712</v>
      </c>
    </row>
    <row r="490" spans="1:22" x14ac:dyDescent="0.25">
      <c r="A490" s="4" t="s">
        <v>636</v>
      </c>
      <c r="B490" s="5">
        <v>45567</v>
      </c>
      <c r="C490" s="4">
        <f>YEAR(Table1_1[[#This Row],[Order Dates]])</f>
        <v>2024</v>
      </c>
      <c r="D490" s="6">
        <f>MONTH(Table1_1[[#This Row],[Order Dates]])</f>
        <v>10</v>
      </c>
      <c r="E490" s="4" t="s">
        <v>37</v>
      </c>
      <c r="F490" s="4" t="s">
        <v>115</v>
      </c>
      <c r="G490" s="4" t="s">
        <v>68</v>
      </c>
      <c r="H490" s="4" t="str">
        <f>TRIM(CLEAN(SUBSTITUTE(Table1_1[[#This Row],[Salesperson]],"   "," ")))</f>
        <v>Ritika Ghosh</v>
      </c>
      <c r="I490" s="4" t="s">
        <v>19</v>
      </c>
      <c r="J490" s="4" t="s">
        <v>59</v>
      </c>
      <c r="K490" s="4" t="s">
        <v>69</v>
      </c>
      <c r="L490" s="4" t="s">
        <v>121</v>
      </c>
      <c r="M490" s="4" t="s">
        <v>23</v>
      </c>
      <c r="N490" s="4" t="s">
        <v>35</v>
      </c>
      <c r="O490" s="4">
        <v>6</v>
      </c>
      <c r="P490" s="7">
        <v>3460</v>
      </c>
      <c r="Q490" s="8">
        <v>0.2</v>
      </c>
      <c r="R490" s="7">
        <v>2370</v>
      </c>
      <c r="S490" s="7">
        <f>Table1_1[[#This Row],[Units Sold]]*Table1_1[[#This Row],[Unit Price]]*(1-Table1_1[[#This Row],[Discount %]])</f>
        <v>16608</v>
      </c>
      <c r="T490" s="7">
        <f>Table1_1[[#This Row],[Units Sold]]*Table1_1[[#This Row],[Unit Cost]]</f>
        <v>14220</v>
      </c>
      <c r="U490" s="7">
        <f>Table1_1[[#This Row],[Calculated sales]]-Table1_1[[#This Row],[Total cost]]</f>
        <v>2388</v>
      </c>
      <c r="V490" s="4">
        <f>IFERROR(Table1_1[[#This Row],[Profit/Loss]]/Table1_1[[#This Row],[Calculated sales]],0)</f>
        <v>0.14378612716763006</v>
      </c>
    </row>
    <row r="491" spans="1:22" x14ac:dyDescent="0.25">
      <c r="A491" s="4" t="s">
        <v>637</v>
      </c>
      <c r="B491" s="5">
        <v>45568</v>
      </c>
      <c r="C491" s="4">
        <f>YEAR(Table1_1[[#This Row],[Order Dates]])</f>
        <v>2024</v>
      </c>
      <c r="D491" s="6">
        <f>MONTH(Table1_1[[#This Row],[Order Dates]])</f>
        <v>10</v>
      </c>
      <c r="E491" s="4" t="s">
        <v>42</v>
      </c>
      <c r="F491" s="4" t="s">
        <v>123</v>
      </c>
      <c r="G491" s="4" t="s">
        <v>97</v>
      </c>
      <c r="H491" s="4" t="str">
        <f>TRIM(CLEAN(SUBSTITUTE(Table1_1[[#This Row],[Salesperson]],"   "," ")))</f>
        <v>Rohit Malhotra</v>
      </c>
      <c r="I491" s="4" t="s">
        <v>19</v>
      </c>
      <c r="J491" s="4" t="s">
        <v>27</v>
      </c>
      <c r="K491" s="4" t="s">
        <v>28</v>
      </c>
      <c r="L491" s="4" t="s">
        <v>141</v>
      </c>
      <c r="M491" s="4" t="s">
        <v>23</v>
      </c>
      <c r="N491" s="4" t="s">
        <v>24</v>
      </c>
      <c r="O491" s="4">
        <v>3</v>
      </c>
      <c r="P491" s="7">
        <v>15540</v>
      </c>
      <c r="Q491" s="8">
        <v>0.1</v>
      </c>
      <c r="R491" s="7">
        <v>10290</v>
      </c>
      <c r="S491" s="7">
        <f>Table1_1[[#This Row],[Units Sold]]*Table1_1[[#This Row],[Unit Price]]*(1-Table1_1[[#This Row],[Discount %]])</f>
        <v>41958</v>
      </c>
      <c r="T491" s="7">
        <f>Table1_1[[#This Row],[Units Sold]]*Table1_1[[#This Row],[Unit Cost]]</f>
        <v>30870</v>
      </c>
      <c r="U491" s="7">
        <f>Table1_1[[#This Row],[Calculated sales]]-Table1_1[[#This Row],[Total cost]]</f>
        <v>11088</v>
      </c>
      <c r="V491" s="4">
        <f>IFERROR(Table1_1[[#This Row],[Profit/Loss]]/Table1_1[[#This Row],[Calculated sales]],0)</f>
        <v>0.26426426426426425</v>
      </c>
    </row>
    <row r="492" spans="1:22" x14ac:dyDescent="0.25">
      <c r="A492" s="4" t="s">
        <v>638</v>
      </c>
      <c r="B492" s="5">
        <v>45568</v>
      </c>
      <c r="C492" s="4">
        <f>YEAR(Table1_1[[#This Row],[Order Dates]])</f>
        <v>2024</v>
      </c>
      <c r="D492" s="6">
        <f>MONTH(Table1_1[[#This Row],[Order Dates]])</f>
        <v>10</v>
      </c>
      <c r="E492" s="4" t="s">
        <v>37</v>
      </c>
      <c r="F492" s="4" t="s">
        <v>213</v>
      </c>
      <c r="G492" s="4" t="s">
        <v>68</v>
      </c>
      <c r="H492" s="4" t="str">
        <f>TRIM(CLEAN(SUBSTITUTE(Table1_1[[#This Row],[Salesperson]],"   "," ")))</f>
        <v>Ritika Ghosh</v>
      </c>
      <c r="I492" s="4" t="s">
        <v>92</v>
      </c>
      <c r="J492" s="4" t="s">
        <v>59</v>
      </c>
      <c r="K492" s="4" t="s">
        <v>60</v>
      </c>
      <c r="L492" s="4" t="s">
        <v>200</v>
      </c>
      <c r="M492" s="4" t="s">
        <v>23</v>
      </c>
      <c r="N492" s="4" t="s">
        <v>119</v>
      </c>
      <c r="O492" s="4">
        <v>12</v>
      </c>
      <c r="P492" s="7">
        <v>8460</v>
      </c>
      <c r="Q492" s="8">
        <v>0.18</v>
      </c>
      <c r="R492" s="7">
        <v>5420</v>
      </c>
      <c r="S492" s="7">
        <f>Table1_1[[#This Row],[Units Sold]]*Table1_1[[#This Row],[Unit Price]]*(1-Table1_1[[#This Row],[Discount %]])</f>
        <v>83246.400000000009</v>
      </c>
      <c r="T492" s="7">
        <f>Table1_1[[#This Row],[Units Sold]]*Table1_1[[#This Row],[Unit Cost]]</f>
        <v>65040</v>
      </c>
      <c r="U492" s="7">
        <f>Table1_1[[#This Row],[Calculated sales]]-Table1_1[[#This Row],[Total cost]]</f>
        <v>18206.400000000009</v>
      </c>
      <c r="V492" s="4">
        <f>IFERROR(Table1_1[[#This Row],[Profit/Loss]]/Table1_1[[#This Row],[Calculated sales]],0)</f>
        <v>0.21870495300697695</v>
      </c>
    </row>
    <row r="493" spans="1:22" x14ac:dyDescent="0.25">
      <c r="A493" s="4" t="s">
        <v>639</v>
      </c>
      <c r="B493" s="5">
        <v>45569</v>
      </c>
      <c r="C493" s="4">
        <f>YEAR(Table1_1[[#This Row],[Order Dates]])</f>
        <v>2024</v>
      </c>
      <c r="D493" s="6">
        <f>MONTH(Table1_1[[#This Row],[Order Dates]])</f>
        <v>10</v>
      </c>
      <c r="E493" s="4" t="s">
        <v>16</v>
      </c>
      <c r="F493" s="4" t="s">
        <v>51</v>
      </c>
      <c r="G493" s="4" t="s">
        <v>18</v>
      </c>
      <c r="H493" s="4" t="str">
        <f>TRIM(CLEAN(SUBSTITUTE(Table1_1[[#This Row],[Salesperson]],"   "," ")))</f>
        <v>Imran Sheikh</v>
      </c>
      <c r="I493" s="4" t="s">
        <v>19</v>
      </c>
      <c r="J493" s="4" t="s">
        <v>20</v>
      </c>
      <c r="K493" s="4" t="s">
        <v>109</v>
      </c>
      <c r="L493" s="4" t="s">
        <v>159</v>
      </c>
      <c r="M493" s="4" t="s">
        <v>40</v>
      </c>
      <c r="N493" s="4" t="s">
        <v>24</v>
      </c>
      <c r="O493" s="4">
        <v>8</v>
      </c>
      <c r="P493" s="7">
        <v>17240</v>
      </c>
      <c r="Q493" s="8">
        <v>0.1</v>
      </c>
      <c r="R493" s="7">
        <v>13330</v>
      </c>
      <c r="S493" s="7">
        <f>Table1_1[[#This Row],[Units Sold]]*Table1_1[[#This Row],[Unit Price]]*(1-Table1_1[[#This Row],[Discount %]])</f>
        <v>124128</v>
      </c>
      <c r="T493" s="7">
        <f>Table1_1[[#This Row],[Units Sold]]*Table1_1[[#This Row],[Unit Cost]]</f>
        <v>106640</v>
      </c>
      <c r="U493" s="7">
        <f>Table1_1[[#This Row],[Calculated sales]]-Table1_1[[#This Row],[Total cost]]</f>
        <v>17488</v>
      </c>
      <c r="V493" s="4">
        <f>IFERROR(Table1_1[[#This Row],[Profit/Loss]]/Table1_1[[#This Row],[Calculated sales]],0)</f>
        <v>0.14088682650167569</v>
      </c>
    </row>
    <row r="494" spans="1:22" x14ac:dyDescent="0.25">
      <c r="A494" s="4" t="s">
        <v>640</v>
      </c>
      <c r="B494" s="5">
        <v>45569</v>
      </c>
      <c r="C494" s="4">
        <f>YEAR(Table1_1[[#This Row],[Order Dates]])</f>
        <v>2024</v>
      </c>
      <c r="D494" s="6">
        <f>MONTH(Table1_1[[#This Row],[Order Dates]])</f>
        <v>10</v>
      </c>
      <c r="E494" s="4" t="s">
        <v>16</v>
      </c>
      <c r="F494" s="4" t="s">
        <v>51</v>
      </c>
      <c r="G494" s="4" t="s">
        <v>26</v>
      </c>
      <c r="H494" s="4" t="str">
        <f>TRIM(CLEAN(SUBSTITUTE(Table1_1[[#This Row],[Salesperson]],"   "," ")))</f>
        <v>Prateek Shah</v>
      </c>
      <c r="I494" s="4" t="s">
        <v>92</v>
      </c>
      <c r="J494" s="4" t="s">
        <v>46</v>
      </c>
      <c r="K494" s="4" t="s">
        <v>47</v>
      </c>
      <c r="L494" s="4" t="s">
        <v>259</v>
      </c>
      <c r="M494" s="4" t="s">
        <v>40</v>
      </c>
      <c r="N494" s="4" t="s">
        <v>24</v>
      </c>
      <c r="O494" s="4">
        <v>10</v>
      </c>
      <c r="P494" s="7">
        <v>2960</v>
      </c>
      <c r="Q494" s="8">
        <v>0</v>
      </c>
      <c r="R494" s="7">
        <v>1970</v>
      </c>
      <c r="S494" s="7">
        <f>Table1_1[[#This Row],[Units Sold]]*Table1_1[[#This Row],[Unit Price]]*(1-Table1_1[[#This Row],[Discount %]])</f>
        <v>29600</v>
      </c>
      <c r="T494" s="7">
        <f>Table1_1[[#This Row],[Units Sold]]*Table1_1[[#This Row],[Unit Cost]]</f>
        <v>19700</v>
      </c>
      <c r="U494" s="7">
        <f>Table1_1[[#This Row],[Calculated sales]]-Table1_1[[#This Row],[Total cost]]</f>
        <v>9900</v>
      </c>
      <c r="V494" s="4">
        <f>IFERROR(Table1_1[[#This Row],[Profit/Loss]]/Table1_1[[#This Row],[Calculated sales]],0)</f>
        <v>0.33445945945945948</v>
      </c>
    </row>
    <row r="495" spans="1:22" x14ac:dyDescent="0.25">
      <c r="A495" s="4" t="s">
        <v>641</v>
      </c>
      <c r="B495" s="5">
        <v>45569</v>
      </c>
      <c r="C495" s="4">
        <f>YEAR(Table1_1[[#This Row],[Order Dates]])</f>
        <v>2024</v>
      </c>
      <c r="D495" s="6">
        <f>MONTH(Table1_1[[#This Row],[Order Dates]])</f>
        <v>10</v>
      </c>
      <c r="E495" s="4" t="s">
        <v>42</v>
      </c>
      <c r="F495" s="4" t="s">
        <v>265</v>
      </c>
      <c r="G495" s="4" t="s">
        <v>64</v>
      </c>
      <c r="H495" s="4" t="str">
        <f>TRIM(CLEAN(SUBSTITUTE(Table1_1[[#This Row],[Salesperson]],"   "," ")))</f>
        <v>Aditya Verma</v>
      </c>
      <c r="I495" s="4" t="s">
        <v>92</v>
      </c>
      <c r="J495" s="4" t="s">
        <v>46</v>
      </c>
      <c r="K495" s="4" t="s">
        <v>179</v>
      </c>
      <c r="L495" s="4" t="s">
        <v>180</v>
      </c>
      <c r="M495" s="4" t="s">
        <v>40</v>
      </c>
      <c r="N495" s="4" t="s">
        <v>24</v>
      </c>
      <c r="O495" s="4">
        <v>12</v>
      </c>
      <c r="P495" s="7">
        <v>3770</v>
      </c>
      <c r="Q495" s="8">
        <v>0.05</v>
      </c>
      <c r="R495" s="7">
        <v>2720</v>
      </c>
      <c r="S495" s="7">
        <f>Table1_1[[#This Row],[Units Sold]]*Table1_1[[#This Row],[Unit Price]]*(1-Table1_1[[#This Row],[Discount %]])</f>
        <v>42978</v>
      </c>
      <c r="T495" s="7">
        <f>Table1_1[[#This Row],[Units Sold]]*Table1_1[[#This Row],[Unit Cost]]</f>
        <v>32640</v>
      </c>
      <c r="U495" s="7">
        <f>Table1_1[[#This Row],[Calculated sales]]-Table1_1[[#This Row],[Total cost]]</f>
        <v>10338</v>
      </c>
      <c r="V495" s="4">
        <f>IFERROR(Table1_1[[#This Row],[Profit/Loss]]/Table1_1[[#This Row],[Calculated sales]],0)</f>
        <v>0.24054167248359626</v>
      </c>
    </row>
    <row r="496" spans="1:22" x14ac:dyDescent="0.25">
      <c r="A496" s="4" t="s">
        <v>642</v>
      </c>
      <c r="B496" s="5">
        <v>45569</v>
      </c>
      <c r="C496" s="4">
        <f>YEAR(Table1_1[[#This Row],[Order Dates]])</f>
        <v>2024</v>
      </c>
      <c r="D496" s="6">
        <f>MONTH(Table1_1[[#This Row],[Order Dates]])</f>
        <v>10</v>
      </c>
      <c r="E496" s="4" t="s">
        <v>37</v>
      </c>
      <c r="F496" s="4" t="s">
        <v>161</v>
      </c>
      <c r="G496" s="4" t="s">
        <v>68</v>
      </c>
      <c r="H496" s="4" t="str">
        <f>TRIM(CLEAN(SUBSTITUTE(Table1_1[[#This Row],[Salesperson]],"   "," ")))</f>
        <v>Ritika Ghosh</v>
      </c>
      <c r="I496" s="4" t="s">
        <v>92</v>
      </c>
      <c r="J496" s="4" t="s">
        <v>20</v>
      </c>
      <c r="K496" s="4" t="s">
        <v>33</v>
      </c>
      <c r="L496" s="4" t="s">
        <v>1677</v>
      </c>
      <c r="M496" s="4" t="s">
        <v>23</v>
      </c>
      <c r="N496" s="4" t="s">
        <v>24</v>
      </c>
      <c r="O496" s="4">
        <v>4</v>
      </c>
      <c r="P496" s="7">
        <v>66350</v>
      </c>
      <c r="Q496" s="8">
        <v>0.08</v>
      </c>
      <c r="R496" s="7">
        <v>41330</v>
      </c>
      <c r="S496" s="7">
        <f>Table1_1[[#This Row],[Units Sold]]*Table1_1[[#This Row],[Unit Price]]*(1-Table1_1[[#This Row],[Discount %]])</f>
        <v>244168</v>
      </c>
      <c r="T496" s="7">
        <f>Table1_1[[#This Row],[Units Sold]]*Table1_1[[#This Row],[Unit Cost]]</f>
        <v>165320</v>
      </c>
      <c r="U496" s="7">
        <f>Table1_1[[#This Row],[Calculated sales]]-Table1_1[[#This Row],[Total cost]]</f>
        <v>78848</v>
      </c>
      <c r="V496" s="4">
        <f>IFERROR(Table1_1[[#This Row],[Profit/Loss]]/Table1_1[[#This Row],[Calculated sales]],0)</f>
        <v>0.32292519904328165</v>
      </c>
    </row>
    <row r="497" spans="1:22" x14ac:dyDescent="0.25">
      <c r="A497" s="4" t="s">
        <v>643</v>
      </c>
      <c r="B497" s="5">
        <v>45571</v>
      </c>
      <c r="C497" s="4">
        <f>YEAR(Table1_1[[#This Row],[Order Dates]])</f>
        <v>2024</v>
      </c>
      <c r="D497" s="6">
        <f>MONTH(Table1_1[[#This Row],[Order Dates]])</f>
        <v>10</v>
      </c>
      <c r="E497" s="4" t="s">
        <v>37</v>
      </c>
      <c r="F497" s="4" t="s">
        <v>115</v>
      </c>
      <c r="G497" s="4" t="s">
        <v>68</v>
      </c>
      <c r="H497" s="4" t="str">
        <f>TRIM(CLEAN(SUBSTITUTE(Table1_1[[#This Row],[Salesperson]],"   "," ")))</f>
        <v>Ritika Ghosh</v>
      </c>
      <c r="I497" s="4" t="s">
        <v>19</v>
      </c>
      <c r="J497" s="4" t="s">
        <v>20</v>
      </c>
      <c r="K497" s="4" t="s">
        <v>21</v>
      </c>
      <c r="L497" s="4" t="s">
        <v>1667</v>
      </c>
      <c r="M497" s="4" t="s">
        <v>40</v>
      </c>
      <c r="N497" s="4" t="s">
        <v>24</v>
      </c>
      <c r="O497" s="4">
        <v>17</v>
      </c>
      <c r="P497" s="7">
        <v>1920</v>
      </c>
      <c r="Q497" s="8">
        <v>0.18</v>
      </c>
      <c r="R497" s="7">
        <v>1170</v>
      </c>
      <c r="S497" s="7">
        <f>Table1_1[[#This Row],[Units Sold]]*Table1_1[[#This Row],[Unit Price]]*(1-Table1_1[[#This Row],[Discount %]])</f>
        <v>26764.800000000003</v>
      </c>
      <c r="T497" s="7">
        <f>Table1_1[[#This Row],[Units Sold]]*Table1_1[[#This Row],[Unit Cost]]</f>
        <v>19890</v>
      </c>
      <c r="U497" s="7">
        <f>Table1_1[[#This Row],[Calculated sales]]-Table1_1[[#This Row],[Total cost]]</f>
        <v>6874.8000000000029</v>
      </c>
      <c r="V497" s="4">
        <f>IFERROR(Table1_1[[#This Row],[Profit/Loss]]/Table1_1[[#This Row],[Calculated sales]],0)</f>
        <v>0.25685975609756106</v>
      </c>
    </row>
    <row r="498" spans="1:22" x14ac:dyDescent="0.25">
      <c r="A498" s="4" t="s">
        <v>644</v>
      </c>
      <c r="B498" s="5">
        <v>45572</v>
      </c>
      <c r="C498" s="4">
        <f>YEAR(Table1_1[[#This Row],[Order Dates]])</f>
        <v>2024</v>
      </c>
      <c r="D498" s="6">
        <f>MONTH(Table1_1[[#This Row],[Order Dates]])</f>
        <v>10</v>
      </c>
      <c r="E498" s="4" t="s">
        <v>16</v>
      </c>
      <c r="F498" s="4" t="s">
        <v>191</v>
      </c>
      <c r="G498" s="4" t="s">
        <v>18</v>
      </c>
      <c r="H498" s="4" t="str">
        <f>TRIM(CLEAN(SUBSTITUTE(Table1_1[[#This Row],[Salesperson]],"   "," ")))</f>
        <v>Imran Sheikh</v>
      </c>
      <c r="I498" s="4" t="s">
        <v>92</v>
      </c>
      <c r="J498" s="4" t="s">
        <v>46</v>
      </c>
      <c r="K498" s="4" t="s">
        <v>100</v>
      </c>
      <c r="L498" s="4" t="s">
        <v>101</v>
      </c>
      <c r="M498" s="4" t="s">
        <v>23</v>
      </c>
      <c r="N498" s="4" t="s">
        <v>24</v>
      </c>
      <c r="O498" s="4">
        <v>14</v>
      </c>
      <c r="P498" s="7">
        <v>2000</v>
      </c>
      <c r="Q498" s="8">
        <v>0.25</v>
      </c>
      <c r="R498" s="7">
        <v>1320</v>
      </c>
      <c r="S498" s="7">
        <f>Table1_1[[#This Row],[Units Sold]]*Table1_1[[#This Row],[Unit Price]]*(1-Table1_1[[#This Row],[Discount %]])</f>
        <v>21000</v>
      </c>
      <c r="T498" s="7">
        <f>Table1_1[[#This Row],[Units Sold]]*Table1_1[[#This Row],[Unit Cost]]</f>
        <v>18480</v>
      </c>
      <c r="U498" s="7">
        <f>Table1_1[[#This Row],[Calculated sales]]-Table1_1[[#This Row],[Total cost]]</f>
        <v>2520</v>
      </c>
      <c r="V498" s="4">
        <f>IFERROR(Table1_1[[#This Row],[Profit/Loss]]/Table1_1[[#This Row],[Calculated sales]],0)</f>
        <v>0.12</v>
      </c>
    </row>
    <row r="499" spans="1:22" x14ac:dyDescent="0.25">
      <c r="A499" s="4" t="s">
        <v>645</v>
      </c>
      <c r="B499" s="5">
        <v>45572</v>
      </c>
      <c r="C499" s="4">
        <f>YEAR(Table1_1[[#This Row],[Order Dates]])</f>
        <v>2024</v>
      </c>
      <c r="D499" s="6">
        <f>MONTH(Table1_1[[#This Row],[Order Dates]])</f>
        <v>10</v>
      </c>
      <c r="E499" s="4" t="s">
        <v>37</v>
      </c>
      <c r="F499" s="4" t="s">
        <v>67</v>
      </c>
      <c r="G499" s="4" t="s">
        <v>39</v>
      </c>
      <c r="H499" s="4" t="str">
        <f>TRIM(CLEAN(SUBSTITUTE(Table1_1[[#This Row],[Salesperson]],"   "," ")))</f>
        <v>Sourav Das</v>
      </c>
      <c r="I499" s="4" t="s">
        <v>92</v>
      </c>
      <c r="J499" s="4" t="s">
        <v>27</v>
      </c>
      <c r="K499" s="4" t="s">
        <v>53</v>
      </c>
      <c r="L499" s="4" t="s">
        <v>1669</v>
      </c>
      <c r="M499" s="4" t="s">
        <v>40</v>
      </c>
      <c r="N499" s="4" t="s">
        <v>35</v>
      </c>
      <c r="O499" s="4">
        <v>3</v>
      </c>
      <c r="P499" s="7">
        <v>40750</v>
      </c>
      <c r="Q499" s="8">
        <v>0.18</v>
      </c>
      <c r="R499" s="7">
        <v>25660</v>
      </c>
      <c r="S499" s="7">
        <f>Table1_1[[#This Row],[Units Sold]]*Table1_1[[#This Row],[Unit Price]]*(1-Table1_1[[#This Row],[Discount %]])</f>
        <v>100245.00000000001</v>
      </c>
      <c r="T499" s="7">
        <f>Table1_1[[#This Row],[Units Sold]]*Table1_1[[#This Row],[Unit Cost]]</f>
        <v>76980</v>
      </c>
      <c r="U499" s="7">
        <f>Table1_1[[#This Row],[Calculated sales]]-Table1_1[[#This Row],[Total cost]]</f>
        <v>23265.000000000015</v>
      </c>
      <c r="V499" s="4">
        <f>IFERROR(Table1_1[[#This Row],[Profit/Loss]]/Table1_1[[#This Row],[Calculated sales]],0)</f>
        <v>0.23208140056860702</v>
      </c>
    </row>
    <row r="500" spans="1:22" x14ac:dyDescent="0.25">
      <c r="A500" s="4" t="s">
        <v>646</v>
      </c>
      <c r="B500" s="5">
        <v>45573</v>
      </c>
      <c r="C500" s="4">
        <f>YEAR(Table1_1[[#This Row],[Order Dates]])</f>
        <v>2024</v>
      </c>
      <c r="D500" s="6">
        <f>MONTH(Table1_1[[#This Row],[Order Dates]])</f>
        <v>10</v>
      </c>
      <c r="E500" s="4" t="s">
        <v>42</v>
      </c>
      <c r="F500" s="4" t="s">
        <v>96</v>
      </c>
      <c r="G500" s="4" t="s">
        <v>64</v>
      </c>
      <c r="H500" s="4" t="str">
        <f>TRIM(CLEAN(SUBSTITUTE(Table1_1[[#This Row],[Salesperson]],"   "," ")))</f>
        <v>Aditya Verma</v>
      </c>
      <c r="I500" s="4" t="s">
        <v>19</v>
      </c>
      <c r="J500" s="4" t="s">
        <v>46</v>
      </c>
      <c r="K500" s="4" t="s">
        <v>47</v>
      </c>
      <c r="L500" s="4" t="s">
        <v>259</v>
      </c>
      <c r="M500" s="4" t="s">
        <v>49</v>
      </c>
      <c r="N500" s="4" t="s">
        <v>24</v>
      </c>
      <c r="O500" s="4">
        <v>29</v>
      </c>
      <c r="P500" s="7">
        <v>2730</v>
      </c>
      <c r="Q500" s="8">
        <v>0</v>
      </c>
      <c r="R500" s="7">
        <v>1910</v>
      </c>
      <c r="S500" s="7">
        <f>Table1_1[[#This Row],[Units Sold]]*Table1_1[[#This Row],[Unit Price]]*(1-Table1_1[[#This Row],[Discount %]])</f>
        <v>79170</v>
      </c>
      <c r="T500" s="7">
        <f>Table1_1[[#This Row],[Units Sold]]*Table1_1[[#This Row],[Unit Cost]]</f>
        <v>55390</v>
      </c>
      <c r="U500" s="7">
        <f>Table1_1[[#This Row],[Calculated sales]]-Table1_1[[#This Row],[Total cost]]</f>
        <v>23780</v>
      </c>
      <c r="V500" s="4">
        <f>IFERROR(Table1_1[[#This Row],[Profit/Loss]]/Table1_1[[#This Row],[Calculated sales]],0)</f>
        <v>0.30036630036630035</v>
      </c>
    </row>
    <row r="501" spans="1:22" x14ac:dyDescent="0.25">
      <c r="A501" s="4" t="s">
        <v>647</v>
      </c>
      <c r="B501" s="5">
        <v>45573</v>
      </c>
      <c r="C501" s="4">
        <f>YEAR(Table1_1[[#This Row],[Order Dates]])</f>
        <v>2024</v>
      </c>
      <c r="D501" s="6">
        <f>MONTH(Table1_1[[#This Row],[Order Dates]])</f>
        <v>10</v>
      </c>
      <c r="E501" s="4" t="s">
        <v>56</v>
      </c>
      <c r="F501" s="4" t="s">
        <v>72</v>
      </c>
      <c r="G501" s="4" t="s">
        <v>58</v>
      </c>
      <c r="H501" s="4" t="str">
        <f>TRIM(CLEAN(SUBSTITUTE(Table1_1[[#This Row],[Salesperson]],"   "," ")))</f>
        <v>Karthik Raman</v>
      </c>
      <c r="I501" s="4" t="s">
        <v>45</v>
      </c>
      <c r="J501" s="4" t="s">
        <v>27</v>
      </c>
      <c r="K501" s="4" t="s">
        <v>28</v>
      </c>
      <c r="L501" s="4" t="s">
        <v>1668</v>
      </c>
      <c r="M501" s="4" t="s">
        <v>23</v>
      </c>
      <c r="N501" s="4" t="s">
        <v>24</v>
      </c>
      <c r="O501" s="4">
        <v>6</v>
      </c>
      <c r="P501" s="7">
        <v>29030</v>
      </c>
      <c r="Q501" s="8">
        <v>0.1</v>
      </c>
      <c r="R501" s="7">
        <v>18430</v>
      </c>
      <c r="S501" s="7">
        <f>Table1_1[[#This Row],[Units Sold]]*Table1_1[[#This Row],[Unit Price]]*(1-Table1_1[[#This Row],[Discount %]])</f>
        <v>156762</v>
      </c>
      <c r="T501" s="7">
        <f>Table1_1[[#This Row],[Units Sold]]*Table1_1[[#This Row],[Unit Cost]]</f>
        <v>110580</v>
      </c>
      <c r="U501" s="7">
        <f>Table1_1[[#This Row],[Calculated sales]]-Table1_1[[#This Row],[Total cost]]</f>
        <v>46182</v>
      </c>
      <c r="V501" s="4">
        <f>IFERROR(Table1_1[[#This Row],[Profit/Loss]]/Table1_1[[#This Row],[Calculated sales]],0)</f>
        <v>0.29459945650093772</v>
      </c>
    </row>
    <row r="502" spans="1:22" x14ac:dyDescent="0.25">
      <c r="A502" s="4" t="s">
        <v>648</v>
      </c>
      <c r="B502" s="5">
        <v>45573</v>
      </c>
      <c r="C502" s="4">
        <f>YEAR(Table1_1[[#This Row],[Order Dates]])</f>
        <v>2024</v>
      </c>
      <c r="D502" s="6">
        <f>MONTH(Table1_1[[#This Row],[Order Dates]])</f>
        <v>10</v>
      </c>
      <c r="E502" s="4" t="s">
        <v>37</v>
      </c>
      <c r="F502" s="4" t="s">
        <v>161</v>
      </c>
      <c r="G502" s="4" t="s">
        <v>39</v>
      </c>
      <c r="H502" s="4" t="str">
        <f>TRIM(CLEAN(SUBSTITUTE(Table1_1[[#This Row],[Salesperson]],"   "," ")))</f>
        <v>Sourav Das</v>
      </c>
      <c r="I502" s="4" t="s">
        <v>19</v>
      </c>
      <c r="J502" s="4" t="s">
        <v>20</v>
      </c>
      <c r="K502" s="4" t="s">
        <v>109</v>
      </c>
      <c r="L502" s="4" t="s">
        <v>1675</v>
      </c>
      <c r="M502" s="4" t="s">
        <v>23</v>
      </c>
      <c r="N502" s="4" t="s">
        <v>24</v>
      </c>
      <c r="O502" s="4">
        <v>1</v>
      </c>
      <c r="P502" s="7">
        <v>71970</v>
      </c>
      <c r="Q502" s="8">
        <v>0.1</v>
      </c>
      <c r="R502" s="7">
        <v>46810</v>
      </c>
      <c r="S502" s="7">
        <f>Table1_1[[#This Row],[Units Sold]]*Table1_1[[#This Row],[Unit Price]]*(1-Table1_1[[#This Row],[Discount %]])</f>
        <v>64773</v>
      </c>
      <c r="T502" s="7">
        <f>Table1_1[[#This Row],[Units Sold]]*Table1_1[[#This Row],[Unit Cost]]</f>
        <v>46810</v>
      </c>
      <c r="U502" s="7">
        <f>Table1_1[[#This Row],[Calculated sales]]-Table1_1[[#This Row],[Total cost]]</f>
        <v>17963</v>
      </c>
      <c r="V502" s="4">
        <f>IFERROR(Table1_1[[#This Row],[Profit/Loss]]/Table1_1[[#This Row],[Calculated sales]],0)</f>
        <v>0.27732234109891468</v>
      </c>
    </row>
    <row r="503" spans="1:22" x14ac:dyDescent="0.25">
      <c r="A503" s="4" t="s">
        <v>649</v>
      </c>
      <c r="B503" s="5">
        <v>45573</v>
      </c>
      <c r="C503" s="4">
        <f>YEAR(Table1_1[[#This Row],[Order Dates]])</f>
        <v>2024</v>
      </c>
      <c r="D503" s="6">
        <f>MONTH(Table1_1[[#This Row],[Order Dates]])</f>
        <v>10</v>
      </c>
      <c r="E503" s="4" t="s">
        <v>76</v>
      </c>
      <c r="F503" s="4" t="s">
        <v>77</v>
      </c>
      <c r="G503" s="4" t="s">
        <v>78</v>
      </c>
      <c r="H503" s="4" t="str">
        <f>TRIM(CLEAN(SUBSTITUTE(Table1_1[[#This Row],[Salesperson]],"   "," ")))</f>
        <v>Pooja Chouhan</v>
      </c>
      <c r="I503" s="4" t="s">
        <v>92</v>
      </c>
      <c r="J503" s="4" t="s">
        <v>20</v>
      </c>
      <c r="K503" s="4" t="s">
        <v>109</v>
      </c>
      <c r="L503" s="4" t="s">
        <v>1675</v>
      </c>
      <c r="M503" s="4" t="s">
        <v>49</v>
      </c>
      <c r="N503" s="4" t="s">
        <v>119</v>
      </c>
      <c r="O503" s="4">
        <v>2</v>
      </c>
      <c r="P503" s="7">
        <v>64930</v>
      </c>
      <c r="Q503" s="8">
        <v>0.25</v>
      </c>
      <c r="R503" s="7">
        <v>49710</v>
      </c>
      <c r="S503" s="7">
        <f>Table1_1[[#This Row],[Units Sold]]*Table1_1[[#This Row],[Unit Price]]*(1-Table1_1[[#This Row],[Discount %]])</f>
        <v>97395</v>
      </c>
      <c r="T503" s="7">
        <f>Table1_1[[#This Row],[Units Sold]]*Table1_1[[#This Row],[Unit Cost]]</f>
        <v>99420</v>
      </c>
      <c r="U503" s="7">
        <f>Table1_1[[#This Row],[Calculated sales]]-Table1_1[[#This Row],[Total cost]]</f>
        <v>-2025</v>
      </c>
      <c r="V503" s="4">
        <f>IFERROR(Table1_1[[#This Row],[Profit/Loss]]/Table1_1[[#This Row],[Calculated sales]],0)</f>
        <v>-2.0791621746496226E-2</v>
      </c>
    </row>
    <row r="504" spans="1:22" x14ac:dyDescent="0.25">
      <c r="A504" s="4" t="s">
        <v>650</v>
      </c>
      <c r="B504" s="5">
        <v>45573</v>
      </c>
      <c r="C504" s="4">
        <f>YEAR(Table1_1[[#This Row],[Order Dates]])</f>
        <v>2024</v>
      </c>
      <c r="D504" s="6">
        <f>MONTH(Table1_1[[#This Row],[Order Dates]])</f>
        <v>10</v>
      </c>
      <c r="E504" s="4" t="s">
        <v>16</v>
      </c>
      <c r="F504" s="4" t="s">
        <v>82</v>
      </c>
      <c r="G504" s="4" t="s">
        <v>26</v>
      </c>
      <c r="H504" s="4" t="str">
        <f>TRIM(CLEAN(SUBSTITUTE(Table1_1[[#This Row],[Salesperson]],"   "," ")))</f>
        <v>Prateek Shah</v>
      </c>
      <c r="I504" s="4" t="s">
        <v>92</v>
      </c>
      <c r="J504" s="4" t="s">
        <v>27</v>
      </c>
      <c r="K504" s="4" t="s">
        <v>214</v>
      </c>
      <c r="L504" s="4" t="s">
        <v>1681</v>
      </c>
      <c r="M504" s="4" t="s">
        <v>40</v>
      </c>
      <c r="N504" s="4" t="s">
        <v>94</v>
      </c>
      <c r="O504" s="4">
        <v>9</v>
      </c>
      <c r="P504" s="7">
        <v>13360</v>
      </c>
      <c r="Q504" s="8">
        <v>0.08</v>
      </c>
      <c r="R504" s="7">
        <v>10210</v>
      </c>
      <c r="S504" s="7">
        <f>Table1_1[[#This Row],[Units Sold]]*Table1_1[[#This Row],[Unit Price]]*(1-Table1_1[[#This Row],[Discount %]])</f>
        <v>110620.8</v>
      </c>
      <c r="T504" s="7">
        <f>Table1_1[[#This Row],[Units Sold]]*Table1_1[[#This Row],[Unit Cost]]</f>
        <v>91890</v>
      </c>
      <c r="U504" s="7">
        <f>Table1_1[[#This Row],[Calculated sales]]-Table1_1[[#This Row],[Total cost]]</f>
        <v>18730.800000000003</v>
      </c>
      <c r="V504" s="4">
        <f>IFERROR(Table1_1[[#This Row],[Profit/Loss]]/Table1_1[[#This Row],[Calculated sales]],0)</f>
        <v>0.16932439468888313</v>
      </c>
    </row>
    <row r="505" spans="1:22" x14ac:dyDescent="0.25">
      <c r="A505" s="4" t="s">
        <v>651</v>
      </c>
      <c r="B505" s="5">
        <v>45574</v>
      </c>
      <c r="C505" s="4">
        <f>YEAR(Table1_1[[#This Row],[Order Dates]])</f>
        <v>2024</v>
      </c>
      <c r="D505" s="6">
        <f>MONTH(Table1_1[[#This Row],[Order Dates]])</f>
        <v>10</v>
      </c>
      <c r="E505" s="4" t="s">
        <v>76</v>
      </c>
      <c r="F505" s="4" t="s">
        <v>112</v>
      </c>
      <c r="G505" s="4" t="s">
        <v>170</v>
      </c>
      <c r="H505" s="4" t="str">
        <f>TRIM(CLEAN(SUBSTITUTE(Table1_1[[#This Row],[Salesperson]],"   "," ")))</f>
        <v>Manish Tiwari</v>
      </c>
      <c r="I505" s="4" t="s">
        <v>45</v>
      </c>
      <c r="J505" s="4" t="s">
        <v>27</v>
      </c>
      <c r="K505" s="4" t="s">
        <v>28</v>
      </c>
      <c r="L505" s="4" t="s">
        <v>141</v>
      </c>
      <c r="M505" s="4" t="s">
        <v>40</v>
      </c>
      <c r="N505" s="4" t="s">
        <v>119</v>
      </c>
      <c r="O505" s="4">
        <v>2</v>
      </c>
      <c r="P505" s="7">
        <v>16550</v>
      </c>
      <c r="Q505" s="8">
        <v>0.25</v>
      </c>
      <c r="R505" s="7">
        <v>11060</v>
      </c>
      <c r="S505" s="7">
        <f>Table1_1[[#This Row],[Units Sold]]*Table1_1[[#This Row],[Unit Price]]*(1-Table1_1[[#This Row],[Discount %]])</f>
        <v>24825</v>
      </c>
      <c r="T505" s="7">
        <f>Table1_1[[#This Row],[Units Sold]]*Table1_1[[#This Row],[Unit Cost]]</f>
        <v>22120</v>
      </c>
      <c r="U505" s="7">
        <f>Table1_1[[#This Row],[Calculated sales]]-Table1_1[[#This Row],[Total cost]]</f>
        <v>2705</v>
      </c>
      <c r="V505" s="4">
        <f>IFERROR(Table1_1[[#This Row],[Profit/Loss]]/Table1_1[[#This Row],[Calculated sales]],0)</f>
        <v>0.10896273917421953</v>
      </c>
    </row>
    <row r="506" spans="1:22" x14ac:dyDescent="0.25">
      <c r="A506" s="4" t="s">
        <v>652</v>
      </c>
      <c r="B506" s="5">
        <v>45574</v>
      </c>
      <c r="C506" s="4">
        <f>YEAR(Table1_1[[#This Row],[Order Dates]])</f>
        <v>2024</v>
      </c>
      <c r="D506" s="6">
        <f>MONTH(Table1_1[[#This Row],[Order Dates]])</f>
        <v>10</v>
      </c>
      <c r="E506" s="4" t="s">
        <v>16</v>
      </c>
      <c r="F506" s="4" t="s">
        <v>31</v>
      </c>
      <c r="G506" s="4" t="s">
        <v>18</v>
      </c>
      <c r="H506" s="4" t="str">
        <f>TRIM(CLEAN(SUBSTITUTE(Table1_1[[#This Row],[Salesperson]],"   "," ")))</f>
        <v>Imran Sheikh</v>
      </c>
      <c r="I506" s="4" t="s">
        <v>19</v>
      </c>
      <c r="J506" s="4" t="s">
        <v>59</v>
      </c>
      <c r="K506" s="4" t="s">
        <v>69</v>
      </c>
      <c r="L506" s="4" t="s">
        <v>70</v>
      </c>
      <c r="M506" s="4" t="s">
        <v>23</v>
      </c>
      <c r="N506" s="4" t="s">
        <v>24</v>
      </c>
      <c r="O506" s="4">
        <v>6</v>
      </c>
      <c r="P506" s="7">
        <v>28620</v>
      </c>
      <c r="Q506" s="8">
        <v>0</v>
      </c>
      <c r="R506" s="7">
        <v>21190</v>
      </c>
      <c r="S506" s="7">
        <f>Table1_1[[#This Row],[Units Sold]]*Table1_1[[#This Row],[Unit Price]]*(1-Table1_1[[#This Row],[Discount %]])</f>
        <v>171720</v>
      </c>
      <c r="T506" s="7">
        <f>Table1_1[[#This Row],[Units Sold]]*Table1_1[[#This Row],[Unit Cost]]</f>
        <v>127140</v>
      </c>
      <c r="U506" s="7">
        <f>Table1_1[[#This Row],[Calculated sales]]-Table1_1[[#This Row],[Total cost]]</f>
        <v>44580</v>
      </c>
      <c r="V506" s="4">
        <f>IFERROR(Table1_1[[#This Row],[Profit/Loss]]/Table1_1[[#This Row],[Calculated sales]],0)</f>
        <v>0.25960866526904264</v>
      </c>
    </row>
    <row r="507" spans="1:22" x14ac:dyDescent="0.25">
      <c r="A507" s="4" t="s">
        <v>653</v>
      </c>
      <c r="B507" s="5">
        <v>45574</v>
      </c>
      <c r="C507" s="4">
        <f>YEAR(Table1_1[[#This Row],[Order Dates]])</f>
        <v>2024</v>
      </c>
      <c r="D507" s="6">
        <f>MONTH(Table1_1[[#This Row],[Order Dates]])</f>
        <v>10</v>
      </c>
      <c r="E507" s="4" t="s">
        <v>16</v>
      </c>
      <c r="F507" s="4" t="s">
        <v>51</v>
      </c>
      <c r="G507" s="4" t="s">
        <v>32</v>
      </c>
      <c r="H507" s="4" t="str">
        <f>TRIM(CLEAN(SUBSTITUTE(Table1_1[[#This Row],[Salesperson]],"   "," ")))</f>
        <v>Neha Deshpande</v>
      </c>
      <c r="I507" s="4" t="s">
        <v>52</v>
      </c>
      <c r="J507" s="4" t="s">
        <v>46</v>
      </c>
      <c r="K507" s="4" t="s">
        <v>47</v>
      </c>
      <c r="L507" s="4" t="s">
        <v>259</v>
      </c>
      <c r="M507" s="4" t="s">
        <v>40</v>
      </c>
      <c r="N507" s="4" t="s">
        <v>24</v>
      </c>
      <c r="O507" s="4">
        <v>5</v>
      </c>
      <c r="P507" s="7">
        <v>2960</v>
      </c>
      <c r="Q507" s="8">
        <v>0.1</v>
      </c>
      <c r="R507" s="7">
        <v>1940</v>
      </c>
      <c r="S507" s="7">
        <f>Table1_1[[#This Row],[Units Sold]]*Table1_1[[#This Row],[Unit Price]]*(1-Table1_1[[#This Row],[Discount %]])</f>
        <v>13320</v>
      </c>
      <c r="T507" s="7">
        <f>Table1_1[[#This Row],[Units Sold]]*Table1_1[[#This Row],[Unit Cost]]</f>
        <v>9700</v>
      </c>
      <c r="U507" s="7">
        <f>Table1_1[[#This Row],[Calculated sales]]-Table1_1[[#This Row],[Total cost]]</f>
        <v>3620</v>
      </c>
      <c r="V507" s="4">
        <f>IFERROR(Table1_1[[#This Row],[Profit/Loss]]/Table1_1[[#This Row],[Calculated sales]],0)</f>
        <v>0.27177177177177175</v>
      </c>
    </row>
    <row r="508" spans="1:22" x14ac:dyDescent="0.25">
      <c r="A508" s="4" t="s">
        <v>654</v>
      </c>
      <c r="B508" s="5">
        <v>45574</v>
      </c>
      <c r="C508" s="4">
        <f>YEAR(Table1_1[[#This Row],[Order Dates]])</f>
        <v>2024</v>
      </c>
      <c r="D508" s="6">
        <f>MONTH(Table1_1[[#This Row],[Order Dates]])</f>
        <v>10</v>
      </c>
      <c r="E508" s="4" t="s">
        <v>42</v>
      </c>
      <c r="F508" s="4" t="s">
        <v>146</v>
      </c>
      <c r="G508" s="4" t="s">
        <v>97</v>
      </c>
      <c r="H508" s="4" t="str">
        <f>TRIM(CLEAN(SUBSTITUTE(Table1_1[[#This Row],[Salesperson]],"   "," ")))</f>
        <v>Rohit Malhotra</v>
      </c>
      <c r="I508" s="4" t="s">
        <v>19</v>
      </c>
      <c r="J508" s="4" t="s">
        <v>20</v>
      </c>
      <c r="K508" s="4" t="s">
        <v>33</v>
      </c>
      <c r="L508" s="4" t="s">
        <v>1677</v>
      </c>
      <c r="M508" s="4" t="s">
        <v>40</v>
      </c>
      <c r="N508" s="4" t="s">
        <v>24</v>
      </c>
      <c r="O508" s="4">
        <v>3</v>
      </c>
      <c r="P508" s="7">
        <v>63890</v>
      </c>
      <c r="Q508" s="8">
        <v>0.08</v>
      </c>
      <c r="R508" s="7">
        <v>41470</v>
      </c>
      <c r="S508" s="7">
        <f>Table1_1[[#This Row],[Units Sold]]*Table1_1[[#This Row],[Unit Price]]*(1-Table1_1[[#This Row],[Discount %]])</f>
        <v>176336.4</v>
      </c>
      <c r="T508" s="7">
        <f>Table1_1[[#This Row],[Units Sold]]*Table1_1[[#This Row],[Unit Cost]]</f>
        <v>124410</v>
      </c>
      <c r="U508" s="7">
        <f>Table1_1[[#This Row],[Calculated sales]]-Table1_1[[#This Row],[Total cost]]</f>
        <v>51926.399999999994</v>
      </c>
      <c r="V508" s="4">
        <f>IFERROR(Table1_1[[#This Row],[Profit/Loss]]/Table1_1[[#This Row],[Calculated sales]],0)</f>
        <v>0.29447351766283081</v>
      </c>
    </row>
    <row r="509" spans="1:22" x14ac:dyDescent="0.25">
      <c r="A509" s="4" t="s">
        <v>655</v>
      </c>
      <c r="B509" s="5">
        <v>45575</v>
      </c>
      <c r="C509" s="4">
        <f>YEAR(Table1_1[[#This Row],[Order Dates]])</f>
        <v>2024</v>
      </c>
      <c r="D509" s="6">
        <f>MONTH(Table1_1[[#This Row],[Order Dates]])</f>
        <v>10</v>
      </c>
      <c r="E509" s="4" t="s">
        <v>42</v>
      </c>
      <c r="F509" s="4" t="s">
        <v>123</v>
      </c>
      <c r="G509" s="4" t="s">
        <v>97</v>
      </c>
      <c r="H509" s="4" t="str">
        <f>TRIM(CLEAN(SUBSTITUTE(Table1_1[[#This Row],[Salesperson]],"   "," ")))</f>
        <v>Rohit Malhotra</v>
      </c>
      <c r="I509" s="4" t="s">
        <v>92</v>
      </c>
      <c r="J509" s="4" t="s">
        <v>59</v>
      </c>
      <c r="K509" s="4" t="s">
        <v>69</v>
      </c>
      <c r="L509" s="4" t="s">
        <v>70</v>
      </c>
      <c r="M509" s="4" t="s">
        <v>23</v>
      </c>
      <c r="N509" s="4" t="s">
        <v>24</v>
      </c>
      <c r="O509" s="4">
        <v>2</v>
      </c>
      <c r="P509" s="7">
        <v>29170</v>
      </c>
      <c r="Q509" s="8">
        <v>0.1</v>
      </c>
      <c r="R509" s="7">
        <v>19780</v>
      </c>
      <c r="S509" s="7">
        <f>Table1_1[[#This Row],[Units Sold]]*Table1_1[[#This Row],[Unit Price]]*(1-Table1_1[[#This Row],[Discount %]])</f>
        <v>52506</v>
      </c>
      <c r="T509" s="7">
        <f>Table1_1[[#This Row],[Units Sold]]*Table1_1[[#This Row],[Unit Cost]]</f>
        <v>39560</v>
      </c>
      <c r="U509" s="7">
        <f>Table1_1[[#This Row],[Calculated sales]]-Table1_1[[#This Row],[Total cost]]</f>
        <v>12946</v>
      </c>
      <c r="V509" s="4">
        <f>IFERROR(Table1_1[[#This Row],[Profit/Loss]]/Table1_1[[#This Row],[Calculated sales]],0)</f>
        <v>0.24656229764217422</v>
      </c>
    </row>
    <row r="510" spans="1:22" x14ac:dyDescent="0.25">
      <c r="A510" s="4" t="s">
        <v>656</v>
      </c>
      <c r="B510" s="5">
        <v>45575</v>
      </c>
      <c r="C510" s="4">
        <f>YEAR(Table1_1[[#This Row],[Order Dates]])</f>
        <v>2024</v>
      </c>
      <c r="D510" s="6">
        <f>MONTH(Table1_1[[#This Row],[Order Dates]])</f>
        <v>10</v>
      </c>
      <c r="E510" s="4" t="s">
        <v>56</v>
      </c>
      <c r="F510" s="4" t="s">
        <v>57</v>
      </c>
      <c r="G510" s="4" t="s">
        <v>58</v>
      </c>
      <c r="H510" s="4" t="str">
        <f>TRIM(CLEAN(SUBSTITUTE(Table1_1[[#This Row],[Salesperson]],"   "," ")))</f>
        <v>Karthik Raman</v>
      </c>
      <c r="I510" s="4" t="s">
        <v>19</v>
      </c>
      <c r="J510" s="4" t="s">
        <v>27</v>
      </c>
      <c r="K510" s="4" t="s">
        <v>53</v>
      </c>
      <c r="L510" s="4" t="s">
        <v>1669</v>
      </c>
      <c r="M510" s="4" t="s">
        <v>23</v>
      </c>
      <c r="N510" s="4" t="s">
        <v>24</v>
      </c>
      <c r="O510" s="4">
        <v>3</v>
      </c>
      <c r="P510" s="7">
        <v>45030</v>
      </c>
      <c r="Q510" s="8">
        <v>0.12</v>
      </c>
      <c r="R510" s="7">
        <v>34700</v>
      </c>
      <c r="S510" s="7">
        <f>Table1_1[[#This Row],[Units Sold]]*Table1_1[[#This Row],[Unit Price]]*(1-Table1_1[[#This Row],[Discount %]])</f>
        <v>118879.2</v>
      </c>
      <c r="T510" s="7">
        <f>Table1_1[[#This Row],[Units Sold]]*Table1_1[[#This Row],[Unit Cost]]</f>
        <v>104100</v>
      </c>
      <c r="U510" s="7">
        <f>Table1_1[[#This Row],[Calculated sales]]-Table1_1[[#This Row],[Total cost]]</f>
        <v>14779.199999999997</v>
      </c>
      <c r="V510" s="4">
        <f>IFERROR(Table1_1[[#This Row],[Profit/Loss]]/Table1_1[[#This Row],[Calculated sales]],0)</f>
        <v>0.12432115963095308</v>
      </c>
    </row>
    <row r="511" spans="1:22" x14ac:dyDescent="0.25">
      <c r="A511" s="4" t="s">
        <v>657</v>
      </c>
      <c r="B511" s="5">
        <v>45575</v>
      </c>
      <c r="C511" s="4">
        <f>YEAR(Table1_1[[#This Row],[Order Dates]])</f>
        <v>2024</v>
      </c>
      <c r="D511" s="6">
        <f>MONTH(Table1_1[[#This Row],[Order Dates]])</f>
        <v>10</v>
      </c>
      <c r="E511" s="4" t="s">
        <v>76</v>
      </c>
      <c r="F511" s="4" t="s">
        <v>150</v>
      </c>
      <c r="G511" s="4" t="s">
        <v>78</v>
      </c>
      <c r="H511" s="4" t="str">
        <f>TRIM(CLEAN(SUBSTITUTE(Table1_1[[#This Row],[Salesperson]],"   "," ")))</f>
        <v>Pooja Chouhan</v>
      </c>
      <c r="I511" s="4" t="s">
        <v>19</v>
      </c>
      <c r="J511" s="4" t="s">
        <v>27</v>
      </c>
      <c r="K511" s="4" t="s">
        <v>214</v>
      </c>
      <c r="L511" s="4" t="s">
        <v>1680</v>
      </c>
      <c r="M511" s="4" t="s">
        <v>23</v>
      </c>
      <c r="N511" s="4" t="s">
        <v>24</v>
      </c>
      <c r="O511" s="4">
        <v>2</v>
      </c>
      <c r="P511" s="7">
        <v>35020</v>
      </c>
      <c r="Q511" s="8">
        <v>0</v>
      </c>
      <c r="R511" s="7">
        <v>27630</v>
      </c>
      <c r="S511" s="7">
        <f>Table1_1[[#This Row],[Units Sold]]*Table1_1[[#This Row],[Unit Price]]*(1-Table1_1[[#This Row],[Discount %]])</f>
        <v>70040</v>
      </c>
      <c r="T511" s="7">
        <f>Table1_1[[#This Row],[Units Sold]]*Table1_1[[#This Row],[Unit Cost]]</f>
        <v>55260</v>
      </c>
      <c r="U511" s="7">
        <f>Table1_1[[#This Row],[Calculated sales]]-Table1_1[[#This Row],[Total cost]]</f>
        <v>14780</v>
      </c>
      <c r="V511" s="4">
        <f>IFERROR(Table1_1[[#This Row],[Profit/Loss]]/Table1_1[[#This Row],[Calculated sales]],0)</f>
        <v>0.21102227298686466</v>
      </c>
    </row>
    <row r="512" spans="1:22" x14ac:dyDescent="0.25">
      <c r="A512" s="4" t="s">
        <v>658</v>
      </c>
      <c r="B512" s="5">
        <v>45575</v>
      </c>
      <c r="C512" s="4">
        <f>YEAR(Table1_1[[#This Row],[Order Dates]])</f>
        <v>2024</v>
      </c>
      <c r="D512" s="6">
        <f>MONTH(Table1_1[[#This Row],[Order Dates]])</f>
        <v>10</v>
      </c>
      <c r="E512" s="4" t="s">
        <v>16</v>
      </c>
      <c r="F512" s="4" t="s">
        <v>153</v>
      </c>
      <c r="G512" s="4" t="s">
        <v>26</v>
      </c>
      <c r="H512" s="4" t="str">
        <f>TRIM(CLEAN(SUBSTITUTE(Table1_1[[#This Row],[Salesperson]],"   "," ")))</f>
        <v>Prateek Shah</v>
      </c>
      <c r="I512" s="4" t="s">
        <v>92</v>
      </c>
      <c r="J512" s="4" t="s">
        <v>59</v>
      </c>
      <c r="K512" s="4" t="s">
        <v>69</v>
      </c>
      <c r="L512" s="4" t="s">
        <v>121</v>
      </c>
      <c r="M512" s="4" t="s">
        <v>23</v>
      </c>
      <c r="N512" s="4" t="s">
        <v>24</v>
      </c>
      <c r="O512" s="4">
        <v>8</v>
      </c>
      <c r="P512" s="7">
        <v>3580</v>
      </c>
      <c r="Q512" s="8">
        <v>0.15</v>
      </c>
      <c r="R512" s="7">
        <v>2020</v>
      </c>
      <c r="S512" s="7">
        <f>Table1_1[[#This Row],[Units Sold]]*Table1_1[[#This Row],[Unit Price]]*(1-Table1_1[[#This Row],[Discount %]])</f>
        <v>24344</v>
      </c>
      <c r="T512" s="7">
        <f>Table1_1[[#This Row],[Units Sold]]*Table1_1[[#This Row],[Unit Cost]]</f>
        <v>16160</v>
      </c>
      <c r="U512" s="7">
        <f>Table1_1[[#This Row],[Calculated sales]]-Table1_1[[#This Row],[Total cost]]</f>
        <v>8184</v>
      </c>
      <c r="V512" s="4">
        <f>IFERROR(Table1_1[[#This Row],[Profit/Loss]]/Table1_1[[#This Row],[Calculated sales]],0)</f>
        <v>0.33618139993427537</v>
      </c>
    </row>
    <row r="513" spans="1:22" x14ac:dyDescent="0.25">
      <c r="A513" s="4" t="s">
        <v>659</v>
      </c>
      <c r="B513" s="5">
        <v>45575</v>
      </c>
      <c r="C513" s="4">
        <f>YEAR(Table1_1[[#This Row],[Order Dates]])</f>
        <v>2024</v>
      </c>
      <c r="D513" s="6">
        <f>MONTH(Table1_1[[#This Row],[Order Dates]])</f>
        <v>10</v>
      </c>
      <c r="E513" s="4" t="s">
        <v>16</v>
      </c>
      <c r="F513" s="4" t="s">
        <v>17</v>
      </c>
      <c r="G513" s="4" t="s">
        <v>26</v>
      </c>
      <c r="H513" s="4" t="str">
        <f>TRIM(CLEAN(SUBSTITUTE(Table1_1[[#This Row],[Salesperson]],"   "," ")))</f>
        <v>Prateek Shah</v>
      </c>
      <c r="I513" s="4" t="s">
        <v>19</v>
      </c>
      <c r="J513" s="4" t="s">
        <v>59</v>
      </c>
      <c r="K513" s="4" t="s">
        <v>154</v>
      </c>
      <c r="L513" s="4" t="s">
        <v>155</v>
      </c>
      <c r="M513" s="4" t="s">
        <v>40</v>
      </c>
      <c r="N513" s="4" t="s">
        <v>24</v>
      </c>
      <c r="O513" s="4">
        <v>2</v>
      </c>
      <c r="P513" s="7">
        <v>12670</v>
      </c>
      <c r="Q513" s="8">
        <v>0.25</v>
      </c>
      <c r="R513" s="7">
        <v>8020</v>
      </c>
      <c r="S513" s="7">
        <f>Table1_1[[#This Row],[Units Sold]]*Table1_1[[#This Row],[Unit Price]]*(1-Table1_1[[#This Row],[Discount %]])</f>
        <v>19005</v>
      </c>
      <c r="T513" s="7">
        <f>Table1_1[[#This Row],[Units Sold]]*Table1_1[[#This Row],[Unit Cost]]</f>
        <v>16040</v>
      </c>
      <c r="U513" s="7">
        <f>Table1_1[[#This Row],[Calculated sales]]-Table1_1[[#This Row],[Total cost]]</f>
        <v>2965</v>
      </c>
      <c r="V513" s="4">
        <f>IFERROR(Table1_1[[#This Row],[Profit/Loss]]/Table1_1[[#This Row],[Calculated sales]],0)</f>
        <v>0.15601157590107867</v>
      </c>
    </row>
    <row r="514" spans="1:22" x14ac:dyDescent="0.25">
      <c r="A514" s="4" t="s">
        <v>660</v>
      </c>
      <c r="B514" s="5">
        <v>45575</v>
      </c>
      <c r="C514" s="4">
        <f>YEAR(Table1_1[[#This Row],[Order Dates]])</f>
        <v>2024</v>
      </c>
      <c r="D514" s="6">
        <f>MONTH(Table1_1[[#This Row],[Order Dates]])</f>
        <v>10</v>
      </c>
      <c r="E514" s="4" t="s">
        <v>37</v>
      </c>
      <c r="F514" s="4" t="s">
        <v>67</v>
      </c>
      <c r="G514" s="4" t="s">
        <v>39</v>
      </c>
      <c r="H514" s="4" t="str">
        <f>TRIM(CLEAN(SUBSTITUTE(Table1_1[[#This Row],[Salesperson]],"   "," ")))</f>
        <v>Sourav Das</v>
      </c>
      <c r="I514" s="4" t="s">
        <v>92</v>
      </c>
      <c r="J514" s="4" t="s">
        <v>83</v>
      </c>
      <c r="K514" s="4" t="s">
        <v>184</v>
      </c>
      <c r="L514" s="4" t="s">
        <v>1679</v>
      </c>
      <c r="M514" s="4" t="s">
        <v>40</v>
      </c>
      <c r="N514" s="4" t="s">
        <v>24</v>
      </c>
      <c r="O514" s="4">
        <v>15</v>
      </c>
      <c r="P514" s="7">
        <v>4320</v>
      </c>
      <c r="Q514" s="8">
        <v>0.18</v>
      </c>
      <c r="R514" s="7">
        <v>2810</v>
      </c>
      <c r="S514" s="7">
        <f>Table1_1[[#This Row],[Units Sold]]*Table1_1[[#This Row],[Unit Price]]*(1-Table1_1[[#This Row],[Discount %]])</f>
        <v>53136.000000000007</v>
      </c>
      <c r="T514" s="7">
        <f>Table1_1[[#This Row],[Units Sold]]*Table1_1[[#This Row],[Unit Cost]]</f>
        <v>42150</v>
      </c>
      <c r="U514" s="7">
        <f>Table1_1[[#This Row],[Calculated sales]]-Table1_1[[#This Row],[Total cost]]</f>
        <v>10986.000000000007</v>
      </c>
      <c r="V514" s="4">
        <f>IFERROR(Table1_1[[#This Row],[Profit/Loss]]/Table1_1[[#This Row],[Calculated sales]],0)</f>
        <v>0.20675248419150868</v>
      </c>
    </row>
    <row r="515" spans="1:22" x14ac:dyDescent="0.25">
      <c r="A515" s="4" t="s">
        <v>661</v>
      </c>
      <c r="B515" s="5">
        <v>45576</v>
      </c>
      <c r="C515" s="4">
        <f>YEAR(Table1_1[[#This Row],[Order Dates]])</f>
        <v>2024</v>
      </c>
      <c r="D515" s="6">
        <f>MONTH(Table1_1[[#This Row],[Order Dates]])</f>
        <v>10</v>
      </c>
      <c r="E515" s="4" t="s">
        <v>16</v>
      </c>
      <c r="F515" s="4" t="s">
        <v>153</v>
      </c>
      <c r="G515" s="4" t="s">
        <v>18</v>
      </c>
      <c r="H515" s="4" t="str">
        <f>TRIM(CLEAN(SUBSTITUTE(Table1_1[[#This Row],[Salesperson]],"   "," ")))</f>
        <v>Imran Sheikh</v>
      </c>
      <c r="I515" s="4" t="s">
        <v>52</v>
      </c>
      <c r="J515" s="4" t="s">
        <v>59</v>
      </c>
      <c r="K515" s="4" t="s">
        <v>60</v>
      </c>
      <c r="L515" s="4" t="s">
        <v>61</v>
      </c>
      <c r="M515" s="4" t="s">
        <v>40</v>
      </c>
      <c r="N515" s="4" t="s">
        <v>119</v>
      </c>
      <c r="O515" s="4">
        <v>7</v>
      </c>
      <c r="P515" s="7">
        <v>23550</v>
      </c>
      <c r="Q515" s="8">
        <v>0.1</v>
      </c>
      <c r="R515" s="7">
        <v>17930</v>
      </c>
      <c r="S515" s="7">
        <f>Table1_1[[#This Row],[Units Sold]]*Table1_1[[#This Row],[Unit Price]]*(1-Table1_1[[#This Row],[Discount %]])</f>
        <v>148365</v>
      </c>
      <c r="T515" s="7">
        <f>Table1_1[[#This Row],[Units Sold]]*Table1_1[[#This Row],[Unit Cost]]</f>
        <v>125510</v>
      </c>
      <c r="U515" s="7">
        <f>Table1_1[[#This Row],[Calculated sales]]-Table1_1[[#This Row],[Total cost]]</f>
        <v>22855</v>
      </c>
      <c r="V515" s="4">
        <f>IFERROR(Table1_1[[#This Row],[Profit/Loss]]/Table1_1[[#This Row],[Calculated sales]],0)</f>
        <v>0.15404576551073365</v>
      </c>
    </row>
    <row r="516" spans="1:22" x14ac:dyDescent="0.25">
      <c r="A516" s="4" t="s">
        <v>662</v>
      </c>
      <c r="B516" s="5">
        <v>45576</v>
      </c>
      <c r="C516" s="4">
        <f>YEAR(Table1_1[[#This Row],[Order Dates]])</f>
        <v>2024</v>
      </c>
      <c r="D516" s="6">
        <f>MONTH(Table1_1[[#This Row],[Order Dates]])</f>
        <v>10</v>
      </c>
      <c r="E516" s="4" t="s">
        <v>16</v>
      </c>
      <c r="F516" s="4" t="s">
        <v>17</v>
      </c>
      <c r="G516" s="4" t="s">
        <v>32</v>
      </c>
      <c r="H516" s="4" t="str">
        <f>TRIM(CLEAN(SUBSTITUTE(Table1_1[[#This Row],[Salesperson]],"   "," ")))</f>
        <v>Neha Deshpande</v>
      </c>
      <c r="I516" s="4" t="s">
        <v>45</v>
      </c>
      <c r="J516" s="4" t="s">
        <v>27</v>
      </c>
      <c r="K516" s="4" t="s">
        <v>28</v>
      </c>
      <c r="L516" s="4" t="s">
        <v>141</v>
      </c>
      <c r="M516" s="4" t="s">
        <v>23</v>
      </c>
      <c r="N516" s="4" t="s">
        <v>24</v>
      </c>
      <c r="O516" s="4">
        <v>15</v>
      </c>
      <c r="P516" s="7">
        <v>17190</v>
      </c>
      <c r="Q516" s="8">
        <v>0</v>
      </c>
      <c r="R516" s="7">
        <v>12730</v>
      </c>
      <c r="S516" s="7">
        <f>Table1_1[[#This Row],[Units Sold]]*Table1_1[[#This Row],[Unit Price]]*(1-Table1_1[[#This Row],[Discount %]])</f>
        <v>257850</v>
      </c>
      <c r="T516" s="7">
        <f>Table1_1[[#This Row],[Units Sold]]*Table1_1[[#This Row],[Unit Cost]]</f>
        <v>190950</v>
      </c>
      <c r="U516" s="7">
        <f>Table1_1[[#This Row],[Calculated sales]]-Table1_1[[#This Row],[Total cost]]</f>
        <v>66900</v>
      </c>
      <c r="V516" s="4">
        <f>IFERROR(Table1_1[[#This Row],[Profit/Loss]]/Table1_1[[#This Row],[Calculated sales]],0)</f>
        <v>0.25945317044793487</v>
      </c>
    </row>
    <row r="517" spans="1:22" x14ac:dyDescent="0.25">
      <c r="A517" s="4" t="s">
        <v>663</v>
      </c>
      <c r="B517" s="5">
        <v>45576</v>
      </c>
      <c r="C517" s="4">
        <f>YEAR(Table1_1[[#This Row],[Order Dates]])</f>
        <v>2024</v>
      </c>
      <c r="D517" s="6">
        <f>MONTH(Table1_1[[#This Row],[Order Dates]])</f>
        <v>10</v>
      </c>
      <c r="E517" s="4" t="s">
        <v>37</v>
      </c>
      <c r="F517" s="4" t="s">
        <v>161</v>
      </c>
      <c r="G517" s="4" t="s">
        <v>39</v>
      </c>
      <c r="H517" s="4" t="str">
        <f>TRIM(CLEAN(SUBSTITUTE(Table1_1[[#This Row],[Salesperson]],"   "," ")))</f>
        <v>Sourav Das</v>
      </c>
      <c r="I517" s="4" t="s">
        <v>19</v>
      </c>
      <c r="J517" s="4" t="s">
        <v>20</v>
      </c>
      <c r="K517" s="4" t="s">
        <v>87</v>
      </c>
      <c r="L517" s="4" t="s">
        <v>1672</v>
      </c>
      <c r="M517" s="4" t="s">
        <v>23</v>
      </c>
      <c r="N517" s="4" t="s">
        <v>24</v>
      </c>
      <c r="O517" s="4">
        <v>1</v>
      </c>
      <c r="P517" s="7">
        <v>31760</v>
      </c>
      <c r="Q517" s="8">
        <v>0.2</v>
      </c>
      <c r="R517" s="7">
        <v>23730</v>
      </c>
      <c r="S517" s="7">
        <f>Table1_1[[#This Row],[Units Sold]]*Table1_1[[#This Row],[Unit Price]]*(1-Table1_1[[#This Row],[Discount %]])</f>
        <v>25408</v>
      </c>
      <c r="T517" s="7">
        <f>Table1_1[[#This Row],[Units Sold]]*Table1_1[[#This Row],[Unit Cost]]</f>
        <v>23730</v>
      </c>
      <c r="U517" s="7">
        <f>Table1_1[[#This Row],[Calculated sales]]-Table1_1[[#This Row],[Total cost]]</f>
        <v>1678</v>
      </c>
      <c r="V517" s="4">
        <f>IFERROR(Table1_1[[#This Row],[Profit/Loss]]/Table1_1[[#This Row],[Calculated sales]],0)</f>
        <v>6.6042191435768269E-2</v>
      </c>
    </row>
    <row r="518" spans="1:22" x14ac:dyDescent="0.25">
      <c r="A518" s="4" t="s">
        <v>664</v>
      </c>
      <c r="B518" s="5">
        <v>45577</v>
      </c>
      <c r="C518" s="4">
        <f>YEAR(Table1_1[[#This Row],[Order Dates]])</f>
        <v>2024</v>
      </c>
      <c r="D518" s="6">
        <f>MONTH(Table1_1[[#This Row],[Order Dates]])</f>
        <v>10</v>
      </c>
      <c r="E518" s="4" t="s">
        <v>56</v>
      </c>
      <c r="F518" s="4" t="s">
        <v>133</v>
      </c>
      <c r="G518" s="4" t="s">
        <v>91</v>
      </c>
      <c r="H518" s="4" t="str">
        <f>TRIM(CLEAN(SUBSTITUTE(Table1_1[[#This Row],[Salesperson]],"   "," ")))</f>
        <v>Anjali Menon</v>
      </c>
      <c r="I518" s="4" t="s">
        <v>19</v>
      </c>
      <c r="J518" s="4" t="s">
        <v>27</v>
      </c>
      <c r="K518" s="4" t="s">
        <v>214</v>
      </c>
      <c r="L518" s="4" t="s">
        <v>1680</v>
      </c>
      <c r="M518" s="4" t="s">
        <v>40</v>
      </c>
      <c r="N518" s="4" t="s">
        <v>94</v>
      </c>
      <c r="O518" s="4">
        <v>2</v>
      </c>
      <c r="P518" s="7">
        <v>36600</v>
      </c>
      <c r="Q518" s="8">
        <v>0.25</v>
      </c>
      <c r="R518" s="7">
        <v>25290</v>
      </c>
      <c r="S518" s="7">
        <f>Table1_1[[#This Row],[Units Sold]]*Table1_1[[#This Row],[Unit Price]]*(1-Table1_1[[#This Row],[Discount %]])</f>
        <v>54900</v>
      </c>
      <c r="T518" s="7">
        <f>Table1_1[[#This Row],[Units Sold]]*Table1_1[[#This Row],[Unit Cost]]</f>
        <v>50580</v>
      </c>
      <c r="U518" s="7">
        <f>Table1_1[[#This Row],[Calculated sales]]-Table1_1[[#This Row],[Total cost]]</f>
        <v>4320</v>
      </c>
      <c r="V518" s="4">
        <f>IFERROR(Table1_1[[#This Row],[Profit/Loss]]/Table1_1[[#This Row],[Calculated sales]],0)</f>
        <v>7.8688524590163941E-2</v>
      </c>
    </row>
    <row r="519" spans="1:22" x14ac:dyDescent="0.25">
      <c r="A519" s="4" t="s">
        <v>665</v>
      </c>
      <c r="B519" s="5">
        <v>45578</v>
      </c>
      <c r="C519" s="4">
        <f>YEAR(Table1_1[[#This Row],[Order Dates]])</f>
        <v>2024</v>
      </c>
      <c r="D519" s="6">
        <f>MONTH(Table1_1[[#This Row],[Order Dates]])</f>
        <v>10</v>
      </c>
      <c r="E519" s="4" t="s">
        <v>16</v>
      </c>
      <c r="F519" s="4" t="s">
        <v>17</v>
      </c>
      <c r="G519" s="4" t="s">
        <v>18</v>
      </c>
      <c r="H519" s="4" t="str">
        <f>TRIM(CLEAN(SUBSTITUTE(Table1_1[[#This Row],[Salesperson]],"   "," ")))</f>
        <v>Imran Sheikh</v>
      </c>
      <c r="I519" s="4" t="s">
        <v>45</v>
      </c>
      <c r="J519" s="4" t="s">
        <v>46</v>
      </c>
      <c r="K519" s="4" t="s">
        <v>47</v>
      </c>
      <c r="L519" s="4" t="s">
        <v>259</v>
      </c>
      <c r="M519" s="4" t="s">
        <v>23</v>
      </c>
      <c r="N519" s="4" t="s">
        <v>24</v>
      </c>
      <c r="O519" s="4">
        <v>44</v>
      </c>
      <c r="P519" s="7">
        <v>2980</v>
      </c>
      <c r="Q519" s="8">
        <v>0.2</v>
      </c>
      <c r="R519" s="7">
        <v>2040</v>
      </c>
      <c r="S519" s="7">
        <f>Table1_1[[#This Row],[Units Sold]]*Table1_1[[#This Row],[Unit Price]]*(1-Table1_1[[#This Row],[Discount %]])</f>
        <v>104896</v>
      </c>
      <c r="T519" s="7">
        <f>Table1_1[[#This Row],[Units Sold]]*Table1_1[[#This Row],[Unit Cost]]</f>
        <v>89760</v>
      </c>
      <c r="U519" s="7">
        <f>Table1_1[[#This Row],[Calculated sales]]-Table1_1[[#This Row],[Total cost]]</f>
        <v>15136</v>
      </c>
      <c r="V519" s="4">
        <f>IFERROR(Table1_1[[#This Row],[Profit/Loss]]/Table1_1[[#This Row],[Calculated sales]],0)</f>
        <v>0.14429530201342283</v>
      </c>
    </row>
    <row r="520" spans="1:22" x14ac:dyDescent="0.25">
      <c r="A520" s="4" t="s">
        <v>666</v>
      </c>
      <c r="B520" s="5">
        <v>45578</v>
      </c>
      <c r="C520" s="4">
        <f>YEAR(Table1_1[[#This Row],[Order Dates]])</f>
        <v>2024</v>
      </c>
      <c r="D520" s="6">
        <f>MONTH(Table1_1[[#This Row],[Order Dates]])</f>
        <v>10</v>
      </c>
      <c r="E520" s="4" t="s">
        <v>37</v>
      </c>
      <c r="F520" s="4" t="s">
        <v>67</v>
      </c>
      <c r="G520" s="4" t="s">
        <v>39</v>
      </c>
      <c r="H520" s="4" t="str">
        <f>TRIM(CLEAN(SUBSTITUTE(Table1_1[[#This Row],[Salesperson]],"   "," ")))</f>
        <v>Sourav Das</v>
      </c>
      <c r="I520" s="4" t="s">
        <v>52</v>
      </c>
      <c r="J520" s="4" t="s">
        <v>20</v>
      </c>
      <c r="K520" s="4" t="s">
        <v>87</v>
      </c>
      <c r="L520" s="4" t="s">
        <v>1674</v>
      </c>
      <c r="M520" s="4" t="s">
        <v>23</v>
      </c>
      <c r="N520" s="4" t="s">
        <v>24</v>
      </c>
      <c r="O520" s="4">
        <v>2</v>
      </c>
      <c r="P520" s="7">
        <v>53710</v>
      </c>
      <c r="Q520" s="8">
        <v>0.15</v>
      </c>
      <c r="R520" s="7">
        <v>35290</v>
      </c>
      <c r="S520" s="7">
        <f>Table1_1[[#This Row],[Units Sold]]*Table1_1[[#This Row],[Unit Price]]*(1-Table1_1[[#This Row],[Discount %]])</f>
        <v>91307</v>
      </c>
      <c r="T520" s="7">
        <f>Table1_1[[#This Row],[Units Sold]]*Table1_1[[#This Row],[Unit Cost]]</f>
        <v>70580</v>
      </c>
      <c r="U520" s="7">
        <f>Table1_1[[#This Row],[Calculated sales]]-Table1_1[[#This Row],[Total cost]]</f>
        <v>20727</v>
      </c>
      <c r="V520" s="4">
        <f>IFERROR(Table1_1[[#This Row],[Profit/Loss]]/Table1_1[[#This Row],[Calculated sales]],0)</f>
        <v>0.22700340609153735</v>
      </c>
    </row>
    <row r="521" spans="1:22" x14ac:dyDescent="0.25">
      <c r="A521" s="4" t="s">
        <v>667</v>
      </c>
      <c r="B521" s="5">
        <v>45578</v>
      </c>
      <c r="C521" s="4">
        <f>YEAR(Table1_1[[#This Row],[Order Dates]])</f>
        <v>2024</v>
      </c>
      <c r="D521" s="6">
        <f>MONTH(Table1_1[[#This Row],[Order Dates]])</f>
        <v>10</v>
      </c>
      <c r="E521" s="4" t="s">
        <v>37</v>
      </c>
      <c r="F521" s="4" t="s">
        <v>161</v>
      </c>
      <c r="G521" s="4" t="s">
        <v>39</v>
      </c>
      <c r="H521" s="4" t="str">
        <f>TRIM(CLEAN(SUBSTITUTE(Table1_1[[#This Row],[Salesperson]],"   "," ")))</f>
        <v>Sourav Das</v>
      </c>
      <c r="I521" s="4" t="s">
        <v>52</v>
      </c>
      <c r="J521" s="4" t="s">
        <v>46</v>
      </c>
      <c r="K521" s="4" t="s">
        <v>47</v>
      </c>
      <c r="L521" s="4" t="s">
        <v>1673</v>
      </c>
      <c r="M521" s="4" t="s">
        <v>23</v>
      </c>
      <c r="N521" s="4" t="s">
        <v>24</v>
      </c>
      <c r="O521" s="4">
        <v>19</v>
      </c>
      <c r="P521" s="7">
        <v>1160</v>
      </c>
      <c r="Q521" s="8">
        <v>0.05</v>
      </c>
      <c r="R521" s="7">
        <v>780</v>
      </c>
      <c r="S521" s="7">
        <f>Table1_1[[#This Row],[Units Sold]]*Table1_1[[#This Row],[Unit Price]]*(1-Table1_1[[#This Row],[Discount %]])</f>
        <v>20938</v>
      </c>
      <c r="T521" s="7">
        <f>Table1_1[[#This Row],[Units Sold]]*Table1_1[[#This Row],[Unit Cost]]</f>
        <v>14820</v>
      </c>
      <c r="U521" s="7">
        <f>Table1_1[[#This Row],[Calculated sales]]-Table1_1[[#This Row],[Total cost]]</f>
        <v>6118</v>
      </c>
      <c r="V521" s="4">
        <f>IFERROR(Table1_1[[#This Row],[Profit/Loss]]/Table1_1[[#This Row],[Calculated sales]],0)</f>
        <v>0.29219600725952816</v>
      </c>
    </row>
    <row r="522" spans="1:22" x14ac:dyDescent="0.25">
      <c r="A522" s="4" t="s">
        <v>668</v>
      </c>
      <c r="B522" s="5">
        <v>45580</v>
      </c>
      <c r="C522" s="4">
        <f>YEAR(Table1_1[[#This Row],[Order Dates]])</f>
        <v>2024</v>
      </c>
      <c r="D522" s="6">
        <f>MONTH(Table1_1[[#This Row],[Order Dates]])</f>
        <v>10</v>
      </c>
      <c r="E522" s="4" t="s">
        <v>42</v>
      </c>
      <c r="F522" s="4" t="s">
        <v>123</v>
      </c>
      <c r="G522" s="4" t="s">
        <v>64</v>
      </c>
      <c r="H522" s="4" t="str">
        <f>TRIM(CLEAN(SUBSTITUTE(Table1_1[[#This Row],[Salesperson]],"   "," ")))</f>
        <v>Aditya Verma</v>
      </c>
      <c r="I522" s="4" t="s">
        <v>19</v>
      </c>
      <c r="J522" s="4" t="s">
        <v>46</v>
      </c>
      <c r="K522" s="4" t="s">
        <v>100</v>
      </c>
      <c r="L522" s="4" t="s">
        <v>101</v>
      </c>
      <c r="M522" s="4" t="s">
        <v>40</v>
      </c>
      <c r="N522" s="4" t="s">
        <v>24</v>
      </c>
      <c r="O522" s="4">
        <v>22</v>
      </c>
      <c r="P522" s="7">
        <v>1920</v>
      </c>
      <c r="Q522" s="8">
        <v>0.05</v>
      </c>
      <c r="R522" s="7">
        <v>1290</v>
      </c>
      <c r="S522" s="7">
        <f>Table1_1[[#This Row],[Units Sold]]*Table1_1[[#This Row],[Unit Price]]*(1-Table1_1[[#This Row],[Discount %]])</f>
        <v>40128</v>
      </c>
      <c r="T522" s="7">
        <f>Table1_1[[#This Row],[Units Sold]]*Table1_1[[#This Row],[Unit Cost]]</f>
        <v>28380</v>
      </c>
      <c r="U522" s="7">
        <f>Table1_1[[#This Row],[Calculated sales]]-Table1_1[[#This Row],[Total cost]]</f>
        <v>11748</v>
      </c>
      <c r="V522" s="4">
        <f>IFERROR(Table1_1[[#This Row],[Profit/Loss]]/Table1_1[[#This Row],[Calculated sales]],0)</f>
        <v>0.29276315789473684</v>
      </c>
    </row>
    <row r="523" spans="1:22" x14ac:dyDescent="0.25">
      <c r="A523" s="4" t="s">
        <v>669</v>
      </c>
      <c r="B523" s="5">
        <v>45580</v>
      </c>
      <c r="C523" s="4">
        <f>YEAR(Table1_1[[#This Row],[Order Dates]])</f>
        <v>2024</v>
      </c>
      <c r="D523" s="6">
        <f>MONTH(Table1_1[[#This Row],[Order Dates]])</f>
        <v>10</v>
      </c>
      <c r="E523" s="4" t="s">
        <v>37</v>
      </c>
      <c r="F523" s="4" t="s">
        <v>161</v>
      </c>
      <c r="G523" s="4" t="s">
        <v>68</v>
      </c>
      <c r="H523" s="4" t="str">
        <f>TRIM(CLEAN(SUBSTITUTE(Table1_1[[#This Row],[Salesperson]],"   "," ")))</f>
        <v>Ritika Ghosh</v>
      </c>
      <c r="I523" s="4" t="s">
        <v>19</v>
      </c>
      <c r="J523" s="4" t="s">
        <v>20</v>
      </c>
      <c r="K523" s="4" t="s">
        <v>87</v>
      </c>
      <c r="L523" s="4" t="s">
        <v>1674</v>
      </c>
      <c r="M523" s="4" t="s">
        <v>23</v>
      </c>
      <c r="N523" s="4" t="s">
        <v>24</v>
      </c>
      <c r="O523" s="4">
        <v>2</v>
      </c>
      <c r="P523" s="7">
        <v>55580</v>
      </c>
      <c r="Q523" s="8">
        <v>0</v>
      </c>
      <c r="R523" s="7">
        <v>33350</v>
      </c>
      <c r="S523" s="7">
        <f>Table1_1[[#This Row],[Units Sold]]*Table1_1[[#This Row],[Unit Price]]*(1-Table1_1[[#This Row],[Discount %]])</f>
        <v>111160</v>
      </c>
      <c r="T523" s="7">
        <f>Table1_1[[#This Row],[Units Sold]]*Table1_1[[#This Row],[Unit Cost]]</f>
        <v>66700</v>
      </c>
      <c r="U523" s="7">
        <f>Table1_1[[#This Row],[Calculated sales]]-Table1_1[[#This Row],[Total cost]]</f>
        <v>44460</v>
      </c>
      <c r="V523" s="4">
        <f>IFERROR(Table1_1[[#This Row],[Profit/Loss]]/Table1_1[[#This Row],[Calculated sales]],0)</f>
        <v>0.39996401583303348</v>
      </c>
    </row>
    <row r="524" spans="1:22" x14ac:dyDescent="0.25">
      <c r="A524" s="4" t="s">
        <v>670</v>
      </c>
      <c r="B524" s="5">
        <v>45580</v>
      </c>
      <c r="C524" s="4">
        <f>YEAR(Table1_1[[#This Row],[Order Dates]])</f>
        <v>2024</v>
      </c>
      <c r="D524" s="6">
        <f>MONTH(Table1_1[[#This Row],[Order Dates]])</f>
        <v>10</v>
      </c>
      <c r="E524" s="4" t="s">
        <v>16</v>
      </c>
      <c r="F524" s="4" t="s">
        <v>51</v>
      </c>
      <c r="G524" s="4" t="s">
        <v>18</v>
      </c>
      <c r="H524" s="4" t="str">
        <f>TRIM(CLEAN(SUBSTITUTE(Table1_1[[#This Row],[Salesperson]],"   "," ")))</f>
        <v>Imran Sheikh</v>
      </c>
      <c r="I524" s="4" t="s">
        <v>45</v>
      </c>
      <c r="J524" s="4" t="s">
        <v>83</v>
      </c>
      <c r="K524" s="4" t="s">
        <v>84</v>
      </c>
      <c r="L524" s="4" t="s">
        <v>292</v>
      </c>
      <c r="M524" s="4" t="s">
        <v>49</v>
      </c>
      <c r="N524" s="4" t="s">
        <v>24</v>
      </c>
      <c r="O524" s="4">
        <v>3</v>
      </c>
      <c r="P524" s="7">
        <v>42840</v>
      </c>
      <c r="Q524" s="8">
        <v>0.1</v>
      </c>
      <c r="R524" s="7">
        <v>24640</v>
      </c>
      <c r="S524" s="7">
        <f>Table1_1[[#This Row],[Units Sold]]*Table1_1[[#This Row],[Unit Price]]*(1-Table1_1[[#This Row],[Discount %]])</f>
        <v>115668</v>
      </c>
      <c r="T524" s="7">
        <f>Table1_1[[#This Row],[Units Sold]]*Table1_1[[#This Row],[Unit Cost]]</f>
        <v>73920</v>
      </c>
      <c r="U524" s="7">
        <f>Table1_1[[#This Row],[Calculated sales]]-Table1_1[[#This Row],[Total cost]]</f>
        <v>41748</v>
      </c>
      <c r="V524" s="4">
        <f>IFERROR(Table1_1[[#This Row],[Profit/Loss]]/Table1_1[[#This Row],[Calculated sales]],0)</f>
        <v>0.3609295570079884</v>
      </c>
    </row>
    <row r="525" spans="1:22" x14ac:dyDescent="0.25">
      <c r="A525" s="4" t="s">
        <v>671</v>
      </c>
      <c r="B525" s="5">
        <v>45581</v>
      </c>
      <c r="C525" s="4">
        <f>YEAR(Table1_1[[#This Row],[Order Dates]])</f>
        <v>2024</v>
      </c>
      <c r="D525" s="6">
        <f>MONTH(Table1_1[[#This Row],[Order Dates]])</f>
        <v>10</v>
      </c>
      <c r="E525" s="4" t="s">
        <v>37</v>
      </c>
      <c r="F525" s="4" t="s">
        <v>67</v>
      </c>
      <c r="G525" s="4" t="s">
        <v>68</v>
      </c>
      <c r="H525" s="4" t="str">
        <f>TRIM(CLEAN(SUBSTITUTE(Table1_1[[#This Row],[Salesperson]],"   "," ")))</f>
        <v>Ritika Ghosh</v>
      </c>
      <c r="I525" s="4" t="s">
        <v>19</v>
      </c>
      <c r="J525" s="4" t="s">
        <v>83</v>
      </c>
      <c r="K525" s="4" t="s">
        <v>84</v>
      </c>
      <c r="L525" s="4" t="s">
        <v>292</v>
      </c>
      <c r="M525" s="4" t="s">
        <v>23</v>
      </c>
      <c r="N525" s="4" t="s">
        <v>24</v>
      </c>
      <c r="O525" s="4">
        <v>1</v>
      </c>
      <c r="P525" s="7">
        <v>42710</v>
      </c>
      <c r="Q525" s="8">
        <v>0.05</v>
      </c>
      <c r="R525" s="7">
        <v>32500</v>
      </c>
      <c r="S525" s="7">
        <f>Table1_1[[#This Row],[Units Sold]]*Table1_1[[#This Row],[Unit Price]]*(1-Table1_1[[#This Row],[Discount %]])</f>
        <v>40574.5</v>
      </c>
      <c r="T525" s="7">
        <f>Table1_1[[#This Row],[Units Sold]]*Table1_1[[#This Row],[Unit Cost]]</f>
        <v>32500</v>
      </c>
      <c r="U525" s="7">
        <f>Table1_1[[#This Row],[Calculated sales]]-Table1_1[[#This Row],[Total cost]]</f>
        <v>8074.5</v>
      </c>
      <c r="V525" s="4">
        <f>IFERROR(Table1_1[[#This Row],[Profit/Loss]]/Table1_1[[#This Row],[Calculated sales]],0)</f>
        <v>0.19900430073075454</v>
      </c>
    </row>
    <row r="526" spans="1:22" x14ac:dyDescent="0.25">
      <c r="A526" s="4" t="s">
        <v>672</v>
      </c>
      <c r="B526" s="5">
        <v>45582</v>
      </c>
      <c r="C526" s="4">
        <f>YEAR(Table1_1[[#This Row],[Order Dates]])</f>
        <v>2024</v>
      </c>
      <c r="D526" s="6">
        <f>MONTH(Table1_1[[#This Row],[Order Dates]])</f>
        <v>10</v>
      </c>
      <c r="E526" s="4" t="s">
        <v>42</v>
      </c>
      <c r="F526" s="4" t="s">
        <v>43</v>
      </c>
      <c r="G526" s="4" t="s">
        <v>97</v>
      </c>
      <c r="H526" s="4" t="str">
        <f>TRIM(CLEAN(SUBSTITUTE(Table1_1[[#This Row],[Salesperson]],"   "," ")))</f>
        <v>Rohit Malhotra</v>
      </c>
      <c r="I526" s="4" t="s">
        <v>92</v>
      </c>
      <c r="J526" s="4" t="s">
        <v>46</v>
      </c>
      <c r="K526" s="4" t="s">
        <v>179</v>
      </c>
      <c r="L526" s="4" t="s">
        <v>236</v>
      </c>
      <c r="M526" s="4" t="s">
        <v>40</v>
      </c>
      <c r="N526" s="4" t="s">
        <v>24</v>
      </c>
      <c r="O526" s="4">
        <v>59</v>
      </c>
      <c r="P526" s="7">
        <v>2350</v>
      </c>
      <c r="Q526" s="8">
        <v>0</v>
      </c>
      <c r="R526" s="7">
        <v>1410</v>
      </c>
      <c r="S526" s="7">
        <f>Table1_1[[#This Row],[Units Sold]]*Table1_1[[#This Row],[Unit Price]]*(1-Table1_1[[#This Row],[Discount %]])</f>
        <v>138650</v>
      </c>
      <c r="T526" s="7">
        <f>Table1_1[[#This Row],[Units Sold]]*Table1_1[[#This Row],[Unit Cost]]</f>
        <v>83190</v>
      </c>
      <c r="U526" s="7">
        <f>Table1_1[[#This Row],[Calculated sales]]-Table1_1[[#This Row],[Total cost]]</f>
        <v>55460</v>
      </c>
      <c r="V526" s="4">
        <f>IFERROR(Table1_1[[#This Row],[Profit/Loss]]/Table1_1[[#This Row],[Calculated sales]],0)</f>
        <v>0.4</v>
      </c>
    </row>
    <row r="527" spans="1:22" x14ac:dyDescent="0.25">
      <c r="A527" s="4" t="s">
        <v>673</v>
      </c>
      <c r="B527" s="5">
        <v>45582</v>
      </c>
      <c r="C527" s="4">
        <f>YEAR(Table1_1[[#This Row],[Order Dates]])</f>
        <v>2024</v>
      </c>
      <c r="D527" s="6">
        <f>MONTH(Table1_1[[#This Row],[Order Dates]])</f>
        <v>10</v>
      </c>
      <c r="E527" s="4" t="s">
        <v>37</v>
      </c>
      <c r="F527" s="4" t="s">
        <v>38</v>
      </c>
      <c r="G527" s="4" t="s">
        <v>39</v>
      </c>
      <c r="H527" s="4" t="str">
        <f>TRIM(CLEAN(SUBSTITUTE(Table1_1[[#This Row],[Salesperson]],"   "," ")))</f>
        <v>Sourav Das</v>
      </c>
      <c r="I527" s="4" t="s">
        <v>92</v>
      </c>
      <c r="J527" s="4" t="s">
        <v>27</v>
      </c>
      <c r="K527" s="4" t="s">
        <v>214</v>
      </c>
      <c r="L527" s="4" t="s">
        <v>1680</v>
      </c>
      <c r="M527" s="4" t="s">
        <v>23</v>
      </c>
      <c r="N527" s="4" t="s">
        <v>24</v>
      </c>
      <c r="O527" s="4">
        <v>6</v>
      </c>
      <c r="P527" s="7">
        <v>35810</v>
      </c>
      <c r="Q527" s="8">
        <v>0.1</v>
      </c>
      <c r="R527" s="7">
        <v>27570</v>
      </c>
      <c r="S527" s="7">
        <f>Table1_1[[#This Row],[Units Sold]]*Table1_1[[#This Row],[Unit Price]]*(1-Table1_1[[#This Row],[Discount %]])</f>
        <v>193374</v>
      </c>
      <c r="T527" s="7">
        <f>Table1_1[[#This Row],[Units Sold]]*Table1_1[[#This Row],[Unit Cost]]</f>
        <v>165420</v>
      </c>
      <c r="U527" s="7">
        <f>Table1_1[[#This Row],[Calculated sales]]-Table1_1[[#This Row],[Total cost]]</f>
        <v>27954</v>
      </c>
      <c r="V527" s="4">
        <f>IFERROR(Table1_1[[#This Row],[Profit/Loss]]/Table1_1[[#This Row],[Calculated sales]],0)</f>
        <v>0.14455924788234198</v>
      </c>
    </row>
    <row r="528" spans="1:22" x14ac:dyDescent="0.25">
      <c r="A528" s="4" t="s">
        <v>674</v>
      </c>
      <c r="B528" s="5">
        <v>45582</v>
      </c>
      <c r="C528" s="4">
        <f>YEAR(Table1_1[[#This Row],[Order Dates]])</f>
        <v>2024</v>
      </c>
      <c r="D528" s="6">
        <f>MONTH(Table1_1[[#This Row],[Order Dates]])</f>
        <v>10</v>
      </c>
      <c r="E528" s="4" t="s">
        <v>37</v>
      </c>
      <c r="F528" s="4" t="s">
        <v>161</v>
      </c>
      <c r="G528" s="4" t="s">
        <v>39</v>
      </c>
      <c r="H528" s="4" t="str">
        <f>TRIM(CLEAN(SUBSTITUTE(Table1_1[[#This Row],[Salesperson]],"   "," ")))</f>
        <v>Sourav Das</v>
      </c>
      <c r="I528" s="4" t="s">
        <v>92</v>
      </c>
      <c r="J528" s="4" t="s">
        <v>46</v>
      </c>
      <c r="K528" s="4" t="s">
        <v>47</v>
      </c>
      <c r="L528" s="4" t="s">
        <v>259</v>
      </c>
      <c r="M528" s="4" t="s">
        <v>40</v>
      </c>
      <c r="N528" s="4" t="s">
        <v>24</v>
      </c>
      <c r="O528" s="4">
        <v>36</v>
      </c>
      <c r="P528" s="7">
        <v>2750</v>
      </c>
      <c r="Q528" s="8">
        <v>0.12</v>
      </c>
      <c r="R528" s="7">
        <v>1660</v>
      </c>
      <c r="S528" s="7">
        <f>Table1_1[[#This Row],[Units Sold]]*Table1_1[[#This Row],[Unit Price]]*(1-Table1_1[[#This Row],[Discount %]])</f>
        <v>87120</v>
      </c>
      <c r="T528" s="7">
        <f>Table1_1[[#This Row],[Units Sold]]*Table1_1[[#This Row],[Unit Cost]]</f>
        <v>59760</v>
      </c>
      <c r="U528" s="7">
        <f>Table1_1[[#This Row],[Calculated sales]]-Table1_1[[#This Row],[Total cost]]</f>
        <v>27360</v>
      </c>
      <c r="V528" s="4">
        <f>IFERROR(Table1_1[[#This Row],[Profit/Loss]]/Table1_1[[#This Row],[Calculated sales]],0)</f>
        <v>0.31404958677685951</v>
      </c>
    </row>
    <row r="529" spans="1:22" x14ac:dyDescent="0.25">
      <c r="A529" s="4" t="s">
        <v>675</v>
      </c>
      <c r="B529" s="5">
        <v>45582</v>
      </c>
      <c r="C529" s="4">
        <f>YEAR(Table1_1[[#This Row],[Order Dates]])</f>
        <v>2024</v>
      </c>
      <c r="D529" s="6">
        <f>MONTH(Table1_1[[#This Row],[Order Dates]])</f>
        <v>10</v>
      </c>
      <c r="E529" s="4" t="s">
        <v>76</v>
      </c>
      <c r="F529" s="4" t="s">
        <v>99</v>
      </c>
      <c r="G529" s="4" t="s">
        <v>78</v>
      </c>
      <c r="H529" s="4" t="str">
        <f>TRIM(CLEAN(SUBSTITUTE(Table1_1[[#This Row],[Salesperson]],"   "," ")))</f>
        <v>Pooja Chouhan</v>
      </c>
      <c r="I529" s="4" t="s">
        <v>92</v>
      </c>
      <c r="J529" s="4" t="s">
        <v>46</v>
      </c>
      <c r="K529" s="4" t="s">
        <v>100</v>
      </c>
      <c r="L529" s="4" t="s">
        <v>177</v>
      </c>
      <c r="M529" s="4" t="s">
        <v>40</v>
      </c>
      <c r="N529" s="4" t="s">
        <v>24</v>
      </c>
      <c r="O529" s="4">
        <v>13</v>
      </c>
      <c r="P529" s="7">
        <v>2540</v>
      </c>
      <c r="Q529" s="8">
        <v>0.12</v>
      </c>
      <c r="R529" s="7">
        <v>1850</v>
      </c>
      <c r="S529" s="7">
        <f>Table1_1[[#This Row],[Units Sold]]*Table1_1[[#This Row],[Unit Price]]*(1-Table1_1[[#This Row],[Discount %]])</f>
        <v>29057.599999999999</v>
      </c>
      <c r="T529" s="7">
        <f>Table1_1[[#This Row],[Units Sold]]*Table1_1[[#This Row],[Unit Cost]]</f>
        <v>24050</v>
      </c>
      <c r="U529" s="7">
        <f>Table1_1[[#This Row],[Calculated sales]]-Table1_1[[#This Row],[Total cost]]</f>
        <v>5007.5999999999985</v>
      </c>
      <c r="V529" s="4">
        <f>IFERROR(Table1_1[[#This Row],[Profit/Loss]]/Table1_1[[#This Row],[Calculated sales]],0)</f>
        <v>0.17233357193987112</v>
      </c>
    </row>
    <row r="530" spans="1:22" x14ac:dyDescent="0.25">
      <c r="A530" s="4" t="s">
        <v>676</v>
      </c>
      <c r="B530" s="5">
        <v>45582</v>
      </c>
      <c r="C530" s="4">
        <f>YEAR(Table1_1[[#This Row],[Order Dates]])</f>
        <v>2024</v>
      </c>
      <c r="D530" s="6">
        <f>MONTH(Table1_1[[#This Row],[Order Dates]])</f>
        <v>10</v>
      </c>
      <c r="E530" s="4" t="s">
        <v>42</v>
      </c>
      <c r="F530" s="4" t="s">
        <v>130</v>
      </c>
      <c r="G530" s="4" t="s">
        <v>97</v>
      </c>
      <c r="H530" s="4" t="str">
        <f>TRIM(CLEAN(SUBSTITUTE(Table1_1[[#This Row],[Salesperson]],"   "," ")))</f>
        <v>Rohit Malhotra</v>
      </c>
      <c r="I530" s="4" t="s">
        <v>52</v>
      </c>
      <c r="J530" s="4" t="s">
        <v>46</v>
      </c>
      <c r="K530" s="4" t="s">
        <v>47</v>
      </c>
      <c r="L530" s="4" t="s">
        <v>259</v>
      </c>
      <c r="M530" s="4" t="s">
        <v>23</v>
      </c>
      <c r="N530" s="4" t="s">
        <v>24</v>
      </c>
      <c r="O530" s="4">
        <v>6</v>
      </c>
      <c r="P530" s="7">
        <v>2780</v>
      </c>
      <c r="Q530" s="8">
        <v>0.1</v>
      </c>
      <c r="R530" s="7">
        <v>2070</v>
      </c>
      <c r="S530" s="7">
        <f>Table1_1[[#This Row],[Units Sold]]*Table1_1[[#This Row],[Unit Price]]*(1-Table1_1[[#This Row],[Discount %]])</f>
        <v>15012</v>
      </c>
      <c r="T530" s="7">
        <f>Table1_1[[#This Row],[Units Sold]]*Table1_1[[#This Row],[Unit Cost]]</f>
        <v>12420</v>
      </c>
      <c r="U530" s="7">
        <f>Table1_1[[#This Row],[Calculated sales]]-Table1_1[[#This Row],[Total cost]]</f>
        <v>2592</v>
      </c>
      <c r="V530" s="4">
        <f>IFERROR(Table1_1[[#This Row],[Profit/Loss]]/Table1_1[[#This Row],[Calculated sales]],0)</f>
        <v>0.17266187050359713</v>
      </c>
    </row>
    <row r="531" spans="1:22" x14ac:dyDescent="0.25">
      <c r="A531" s="4" t="s">
        <v>677</v>
      </c>
      <c r="B531" s="5">
        <v>45582</v>
      </c>
      <c r="C531" s="4">
        <f>YEAR(Table1_1[[#This Row],[Order Dates]])</f>
        <v>2024</v>
      </c>
      <c r="D531" s="6">
        <f>MONTH(Table1_1[[#This Row],[Order Dates]])</f>
        <v>10</v>
      </c>
      <c r="E531" s="4" t="s">
        <v>37</v>
      </c>
      <c r="F531" s="4" t="s">
        <v>161</v>
      </c>
      <c r="G531" s="4" t="s">
        <v>68</v>
      </c>
      <c r="H531" s="4" t="str">
        <f>TRIM(CLEAN(SUBSTITUTE(Table1_1[[#This Row],[Salesperson]],"   "," ")))</f>
        <v>Ritika Ghosh</v>
      </c>
      <c r="I531" s="4" t="s">
        <v>52</v>
      </c>
      <c r="J531" s="4" t="s">
        <v>20</v>
      </c>
      <c r="K531" s="4" t="s">
        <v>87</v>
      </c>
      <c r="L531" s="4" t="s">
        <v>1674</v>
      </c>
      <c r="M531" s="4" t="s">
        <v>23</v>
      </c>
      <c r="N531" s="4" t="s">
        <v>24</v>
      </c>
      <c r="O531" s="4">
        <v>4</v>
      </c>
      <c r="P531" s="7">
        <v>53950</v>
      </c>
      <c r="Q531" s="8">
        <v>0.2</v>
      </c>
      <c r="R531" s="7">
        <v>33630</v>
      </c>
      <c r="S531" s="7">
        <f>Table1_1[[#This Row],[Units Sold]]*Table1_1[[#This Row],[Unit Price]]*(1-Table1_1[[#This Row],[Discount %]])</f>
        <v>172640</v>
      </c>
      <c r="T531" s="7">
        <f>Table1_1[[#This Row],[Units Sold]]*Table1_1[[#This Row],[Unit Cost]]</f>
        <v>134520</v>
      </c>
      <c r="U531" s="7">
        <f>Table1_1[[#This Row],[Calculated sales]]-Table1_1[[#This Row],[Total cost]]</f>
        <v>38120</v>
      </c>
      <c r="V531" s="4">
        <f>IFERROR(Table1_1[[#This Row],[Profit/Loss]]/Table1_1[[#This Row],[Calculated sales]],0)</f>
        <v>0.22080630213160335</v>
      </c>
    </row>
    <row r="532" spans="1:22" x14ac:dyDescent="0.25">
      <c r="A532" s="4" t="s">
        <v>678</v>
      </c>
      <c r="B532" s="5">
        <v>45582</v>
      </c>
      <c r="C532" s="4">
        <f>YEAR(Table1_1[[#This Row],[Order Dates]])</f>
        <v>2024</v>
      </c>
      <c r="D532" s="6">
        <f>MONTH(Table1_1[[#This Row],[Order Dates]])</f>
        <v>10</v>
      </c>
      <c r="E532" s="4" t="s">
        <v>37</v>
      </c>
      <c r="F532" s="4" t="s">
        <v>115</v>
      </c>
      <c r="G532" s="4" t="s">
        <v>39</v>
      </c>
      <c r="H532" s="4" t="str">
        <f>TRIM(CLEAN(SUBSTITUTE(Table1_1[[#This Row],[Salesperson]],"   "," ")))</f>
        <v>Sourav Das</v>
      </c>
      <c r="I532" s="4" t="s">
        <v>52</v>
      </c>
      <c r="J532" s="4" t="s">
        <v>20</v>
      </c>
      <c r="K532" s="4" t="s">
        <v>21</v>
      </c>
      <c r="L532" s="4" t="s">
        <v>1682</v>
      </c>
      <c r="M532" s="4" t="s">
        <v>23</v>
      </c>
      <c r="N532" s="4" t="s">
        <v>24</v>
      </c>
      <c r="O532" s="4">
        <v>15</v>
      </c>
      <c r="P532" s="7">
        <v>9740</v>
      </c>
      <c r="Q532" s="8">
        <v>0</v>
      </c>
      <c r="R532" s="7">
        <v>7620</v>
      </c>
      <c r="S532" s="7">
        <f>Table1_1[[#This Row],[Units Sold]]*Table1_1[[#This Row],[Unit Price]]*(1-Table1_1[[#This Row],[Discount %]])</f>
        <v>146100</v>
      </c>
      <c r="T532" s="7">
        <f>Table1_1[[#This Row],[Units Sold]]*Table1_1[[#This Row],[Unit Cost]]</f>
        <v>114300</v>
      </c>
      <c r="U532" s="7">
        <f>Table1_1[[#This Row],[Calculated sales]]-Table1_1[[#This Row],[Total cost]]</f>
        <v>31800</v>
      </c>
      <c r="V532" s="4">
        <f>IFERROR(Table1_1[[#This Row],[Profit/Loss]]/Table1_1[[#This Row],[Calculated sales]],0)</f>
        <v>0.21765913757700206</v>
      </c>
    </row>
    <row r="533" spans="1:22" x14ac:dyDescent="0.25">
      <c r="A533" s="4" t="s">
        <v>679</v>
      </c>
      <c r="B533" s="5">
        <v>45583</v>
      </c>
      <c r="C533" s="4">
        <f>YEAR(Table1_1[[#This Row],[Order Dates]])</f>
        <v>2024</v>
      </c>
      <c r="D533" s="6">
        <f>MONTH(Table1_1[[#This Row],[Order Dates]])</f>
        <v>10</v>
      </c>
      <c r="E533" s="4" t="s">
        <v>76</v>
      </c>
      <c r="F533" s="4" t="s">
        <v>112</v>
      </c>
      <c r="G533" s="4" t="s">
        <v>78</v>
      </c>
      <c r="H533" s="4" t="str">
        <f>TRIM(CLEAN(SUBSTITUTE(Table1_1[[#This Row],[Salesperson]],"   "," ")))</f>
        <v>Pooja Chouhan</v>
      </c>
      <c r="I533" s="4" t="s">
        <v>92</v>
      </c>
      <c r="J533" s="4" t="s">
        <v>27</v>
      </c>
      <c r="K533" s="4" t="s">
        <v>53</v>
      </c>
      <c r="L533" s="4" t="s">
        <v>1676</v>
      </c>
      <c r="M533" s="4" t="s">
        <v>40</v>
      </c>
      <c r="N533" s="4" t="s">
        <v>24</v>
      </c>
      <c r="O533" s="4">
        <v>2</v>
      </c>
      <c r="P533" s="7">
        <v>37260</v>
      </c>
      <c r="Q533" s="8">
        <v>0.1</v>
      </c>
      <c r="R533" s="7">
        <v>23230</v>
      </c>
      <c r="S533" s="7">
        <f>Table1_1[[#This Row],[Units Sold]]*Table1_1[[#This Row],[Unit Price]]*(1-Table1_1[[#This Row],[Discount %]])</f>
        <v>67068</v>
      </c>
      <c r="T533" s="7">
        <f>Table1_1[[#This Row],[Units Sold]]*Table1_1[[#This Row],[Unit Cost]]</f>
        <v>46460</v>
      </c>
      <c r="U533" s="7">
        <f>Table1_1[[#This Row],[Calculated sales]]-Table1_1[[#This Row],[Total cost]]</f>
        <v>20608</v>
      </c>
      <c r="V533" s="4">
        <f>IFERROR(Table1_1[[#This Row],[Profit/Loss]]/Table1_1[[#This Row],[Calculated sales]],0)</f>
        <v>0.30727023319615915</v>
      </c>
    </row>
    <row r="534" spans="1:22" x14ac:dyDescent="0.25">
      <c r="A534" s="4" t="s">
        <v>680</v>
      </c>
      <c r="B534" s="5">
        <v>45584</v>
      </c>
      <c r="C534" s="4">
        <f>YEAR(Table1_1[[#This Row],[Order Dates]])</f>
        <v>2024</v>
      </c>
      <c r="D534" s="6">
        <f>MONTH(Table1_1[[#This Row],[Order Dates]])</f>
        <v>10</v>
      </c>
      <c r="E534" s="4" t="s">
        <v>16</v>
      </c>
      <c r="F534" s="4" t="s">
        <v>82</v>
      </c>
      <c r="G534" s="4" t="s">
        <v>18</v>
      </c>
      <c r="H534" s="4" t="str">
        <f>TRIM(CLEAN(SUBSTITUTE(Table1_1[[#This Row],[Salesperson]],"   "," ")))</f>
        <v>Imran Sheikh</v>
      </c>
      <c r="I534" s="4" t="s">
        <v>19</v>
      </c>
      <c r="J534" s="4" t="s">
        <v>59</v>
      </c>
      <c r="K534" s="4" t="s">
        <v>73</v>
      </c>
      <c r="L534" s="4" t="s">
        <v>113</v>
      </c>
      <c r="M534" s="4" t="s">
        <v>40</v>
      </c>
      <c r="N534" s="4" t="s">
        <v>24</v>
      </c>
      <c r="O534" s="4">
        <v>3</v>
      </c>
      <c r="P534" s="7">
        <v>34340</v>
      </c>
      <c r="Q534" s="8">
        <v>0</v>
      </c>
      <c r="R534" s="7">
        <v>19400</v>
      </c>
      <c r="S534" s="7">
        <f>Table1_1[[#This Row],[Units Sold]]*Table1_1[[#This Row],[Unit Price]]*(1-Table1_1[[#This Row],[Discount %]])</f>
        <v>103020</v>
      </c>
      <c r="T534" s="7">
        <f>Table1_1[[#This Row],[Units Sold]]*Table1_1[[#This Row],[Unit Cost]]</f>
        <v>58200</v>
      </c>
      <c r="U534" s="7">
        <f>Table1_1[[#This Row],[Calculated sales]]-Table1_1[[#This Row],[Total cost]]</f>
        <v>44820</v>
      </c>
      <c r="V534" s="4">
        <f>IFERROR(Table1_1[[#This Row],[Profit/Loss]]/Table1_1[[#This Row],[Calculated sales]],0)</f>
        <v>0.43506115317414096</v>
      </c>
    </row>
    <row r="535" spans="1:22" x14ac:dyDescent="0.25">
      <c r="A535" s="4" t="s">
        <v>681</v>
      </c>
      <c r="B535" s="5">
        <v>45585</v>
      </c>
      <c r="C535" s="4">
        <f>YEAR(Table1_1[[#This Row],[Order Dates]])</f>
        <v>2024</v>
      </c>
      <c r="D535" s="6">
        <f>MONTH(Table1_1[[#This Row],[Order Dates]])</f>
        <v>10</v>
      </c>
      <c r="E535" s="4" t="s">
        <v>16</v>
      </c>
      <c r="F535" s="4" t="s">
        <v>17</v>
      </c>
      <c r="G535" s="4" t="s">
        <v>32</v>
      </c>
      <c r="H535" s="4" t="str">
        <f>TRIM(CLEAN(SUBSTITUTE(Table1_1[[#This Row],[Salesperson]],"   "," ")))</f>
        <v>Neha Deshpande</v>
      </c>
      <c r="I535" s="4" t="s">
        <v>52</v>
      </c>
      <c r="J535" s="4" t="s">
        <v>27</v>
      </c>
      <c r="K535" s="4" t="s">
        <v>53</v>
      </c>
      <c r="L535" s="4" t="s">
        <v>1676</v>
      </c>
      <c r="M535" s="4" t="s">
        <v>40</v>
      </c>
      <c r="N535" s="4" t="s">
        <v>24</v>
      </c>
      <c r="O535" s="4">
        <v>4</v>
      </c>
      <c r="P535" s="7">
        <v>35650</v>
      </c>
      <c r="Q535" s="8">
        <v>0.15</v>
      </c>
      <c r="R535" s="7">
        <v>22200</v>
      </c>
      <c r="S535" s="7">
        <f>Table1_1[[#This Row],[Units Sold]]*Table1_1[[#This Row],[Unit Price]]*(1-Table1_1[[#This Row],[Discount %]])</f>
        <v>121210</v>
      </c>
      <c r="T535" s="7">
        <f>Table1_1[[#This Row],[Units Sold]]*Table1_1[[#This Row],[Unit Cost]]</f>
        <v>88800</v>
      </c>
      <c r="U535" s="7">
        <f>Table1_1[[#This Row],[Calculated sales]]-Table1_1[[#This Row],[Total cost]]</f>
        <v>32410</v>
      </c>
      <c r="V535" s="4">
        <f>IFERROR(Table1_1[[#This Row],[Profit/Loss]]/Table1_1[[#This Row],[Calculated sales]],0)</f>
        <v>0.26738717927563732</v>
      </c>
    </row>
    <row r="536" spans="1:22" x14ac:dyDescent="0.25">
      <c r="A536" s="4" t="s">
        <v>682</v>
      </c>
      <c r="B536" s="5">
        <v>45585</v>
      </c>
      <c r="C536" s="4">
        <f>YEAR(Table1_1[[#This Row],[Order Dates]])</f>
        <v>2024</v>
      </c>
      <c r="D536" s="6">
        <f>MONTH(Table1_1[[#This Row],[Order Dates]])</f>
        <v>10</v>
      </c>
      <c r="E536" s="4" t="s">
        <v>56</v>
      </c>
      <c r="F536" s="4" t="s">
        <v>57</v>
      </c>
      <c r="G536" s="4" t="s">
        <v>58</v>
      </c>
      <c r="H536" s="4" t="str">
        <f>TRIM(CLEAN(SUBSTITUTE(Table1_1[[#This Row],[Salesperson]],"   "," ")))</f>
        <v>Karthik Raman</v>
      </c>
      <c r="I536" s="4" t="s">
        <v>45</v>
      </c>
      <c r="J536" s="4" t="s">
        <v>20</v>
      </c>
      <c r="K536" s="4" t="s">
        <v>21</v>
      </c>
      <c r="L536" s="4" t="s">
        <v>1667</v>
      </c>
      <c r="M536" s="4" t="s">
        <v>49</v>
      </c>
      <c r="N536" s="4" t="s">
        <v>24</v>
      </c>
      <c r="O536" s="4">
        <v>31</v>
      </c>
      <c r="P536" s="7">
        <v>1790</v>
      </c>
      <c r="Q536" s="8">
        <v>0.12</v>
      </c>
      <c r="R536" s="7">
        <v>1300</v>
      </c>
      <c r="S536" s="7">
        <f>Table1_1[[#This Row],[Units Sold]]*Table1_1[[#This Row],[Unit Price]]*(1-Table1_1[[#This Row],[Discount %]])</f>
        <v>48831.199999999997</v>
      </c>
      <c r="T536" s="7">
        <f>Table1_1[[#This Row],[Units Sold]]*Table1_1[[#This Row],[Unit Cost]]</f>
        <v>40300</v>
      </c>
      <c r="U536" s="7">
        <f>Table1_1[[#This Row],[Calculated sales]]-Table1_1[[#This Row],[Total cost]]</f>
        <v>8531.1999999999971</v>
      </c>
      <c r="V536" s="4">
        <f>IFERROR(Table1_1[[#This Row],[Profit/Loss]]/Table1_1[[#This Row],[Calculated sales]],0)</f>
        <v>0.1747079735906551</v>
      </c>
    </row>
    <row r="537" spans="1:22" x14ac:dyDescent="0.25">
      <c r="A537" s="4" t="s">
        <v>683</v>
      </c>
      <c r="B537" s="5">
        <v>45586</v>
      </c>
      <c r="C537" s="4">
        <f>YEAR(Table1_1[[#This Row],[Order Dates]])</f>
        <v>2024</v>
      </c>
      <c r="D537" s="6">
        <f>MONTH(Table1_1[[#This Row],[Order Dates]])</f>
        <v>10</v>
      </c>
      <c r="E537" s="4" t="s">
        <v>56</v>
      </c>
      <c r="F537" s="4" t="s">
        <v>133</v>
      </c>
      <c r="G537" s="4" t="s">
        <v>58</v>
      </c>
      <c r="H537" s="4" t="str">
        <f>TRIM(CLEAN(SUBSTITUTE(Table1_1[[#This Row],[Salesperson]],"   "," ")))</f>
        <v>Karthik Raman</v>
      </c>
      <c r="I537" s="4" t="s">
        <v>92</v>
      </c>
      <c r="J537" s="4" t="s">
        <v>20</v>
      </c>
      <c r="K537" s="4" t="s">
        <v>109</v>
      </c>
      <c r="L537" s="4" t="s">
        <v>159</v>
      </c>
      <c r="M537" s="4" t="s">
        <v>40</v>
      </c>
      <c r="N537" s="4" t="s">
        <v>119</v>
      </c>
      <c r="O537" s="4">
        <v>6</v>
      </c>
      <c r="P537" s="7">
        <v>17510</v>
      </c>
      <c r="Q537" s="8">
        <v>0</v>
      </c>
      <c r="R537" s="7">
        <v>10610</v>
      </c>
      <c r="S537" s="7">
        <f>Table1_1[[#This Row],[Units Sold]]*Table1_1[[#This Row],[Unit Price]]*(1-Table1_1[[#This Row],[Discount %]])</f>
        <v>105060</v>
      </c>
      <c r="T537" s="7">
        <f>Table1_1[[#This Row],[Units Sold]]*Table1_1[[#This Row],[Unit Cost]]</f>
        <v>63660</v>
      </c>
      <c r="U537" s="7">
        <f>Table1_1[[#This Row],[Calculated sales]]-Table1_1[[#This Row],[Total cost]]</f>
        <v>41400</v>
      </c>
      <c r="V537" s="4">
        <f>IFERROR(Table1_1[[#This Row],[Profit/Loss]]/Table1_1[[#This Row],[Calculated sales]],0)</f>
        <v>0.39406053683609366</v>
      </c>
    </row>
    <row r="538" spans="1:22" x14ac:dyDescent="0.25">
      <c r="A538" s="4" t="s">
        <v>684</v>
      </c>
      <c r="B538" s="5">
        <v>45586</v>
      </c>
      <c r="C538" s="4">
        <f>YEAR(Table1_1[[#This Row],[Order Dates]])</f>
        <v>2024</v>
      </c>
      <c r="D538" s="6">
        <f>MONTH(Table1_1[[#This Row],[Order Dates]])</f>
        <v>10</v>
      </c>
      <c r="E538" s="4" t="s">
        <v>76</v>
      </c>
      <c r="F538" s="4" t="s">
        <v>77</v>
      </c>
      <c r="G538" s="4" t="s">
        <v>78</v>
      </c>
      <c r="H538" s="4" t="str">
        <f>TRIM(CLEAN(SUBSTITUTE(Table1_1[[#This Row],[Salesperson]],"   "," ")))</f>
        <v>Pooja Chouhan</v>
      </c>
      <c r="I538" s="4" t="s">
        <v>19</v>
      </c>
      <c r="J538" s="4" t="s">
        <v>46</v>
      </c>
      <c r="K538" s="4" t="s">
        <v>100</v>
      </c>
      <c r="L538" s="4" t="s">
        <v>177</v>
      </c>
      <c r="M538" s="4" t="s">
        <v>49</v>
      </c>
      <c r="N538" s="4" t="s">
        <v>24</v>
      </c>
      <c r="O538" s="4">
        <v>34</v>
      </c>
      <c r="P538" s="7">
        <v>2410</v>
      </c>
      <c r="Q538" s="8">
        <v>0.15</v>
      </c>
      <c r="R538" s="7">
        <v>1660</v>
      </c>
      <c r="S538" s="7">
        <f>Table1_1[[#This Row],[Units Sold]]*Table1_1[[#This Row],[Unit Price]]*(1-Table1_1[[#This Row],[Discount %]])</f>
        <v>69649</v>
      </c>
      <c r="T538" s="7">
        <f>Table1_1[[#This Row],[Units Sold]]*Table1_1[[#This Row],[Unit Cost]]</f>
        <v>56440</v>
      </c>
      <c r="U538" s="7">
        <f>Table1_1[[#This Row],[Calculated sales]]-Table1_1[[#This Row],[Total cost]]</f>
        <v>13209</v>
      </c>
      <c r="V538" s="4">
        <f>IFERROR(Table1_1[[#This Row],[Profit/Loss]]/Table1_1[[#This Row],[Calculated sales]],0)</f>
        <v>0.18965096412008786</v>
      </c>
    </row>
    <row r="539" spans="1:22" x14ac:dyDescent="0.25">
      <c r="A539" s="4" t="s">
        <v>685</v>
      </c>
      <c r="B539" s="5">
        <v>45587</v>
      </c>
      <c r="C539" s="4">
        <f>YEAR(Table1_1[[#This Row],[Order Dates]])</f>
        <v>2024</v>
      </c>
      <c r="D539" s="6">
        <f>MONTH(Table1_1[[#This Row],[Order Dates]])</f>
        <v>10</v>
      </c>
      <c r="E539" s="4" t="s">
        <v>42</v>
      </c>
      <c r="F539" s="4" t="s">
        <v>123</v>
      </c>
      <c r="G539" s="4" t="s">
        <v>64</v>
      </c>
      <c r="H539" s="4" t="str">
        <f>TRIM(CLEAN(SUBSTITUTE(Table1_1[[#This Row],[Salesperson]],"   "," ")))</f>
        <v>Aditya Verma</v>
      </c>
      <c r="I539" s="4" t="s">
        <v>52</v>
      </c>
      <c r="J539" s="4" t="s">
        <v>27</v>
      </c>
      <c r="K539" s="4" t="s">
        <v>53</v>
      </c>
      <c r="L539" s="4" t="s">
        <v>1669</v>
      </c>
      <c r="M539" s="4" t="s">
        <v>23</v>
      </c>
      <c r="N539" s="4" t="s">
        <v>24</v>
      </c>
      <c r="O539" s="4">
        <v>4</v>
      </c>
      <c r="P539" s="7">
        <v>42580</v>
      </c>
      <c r="Q539" s="8">
        <v>0.1</v>
      </c>
      <c r="R539" s="7">
        <v>24140</v>
      </c>
      <c r="S539" s="7">
        <f>Table1_1[[#This Row],[Units Sold]]*Table1_1[[#This Row],[Unit Price]]*(1-Table1_1[[#This Row],[Discount %]])</f>
        <v>153288</v>
      </c>
      <c r="T539" s="7">
        <f>Table1_1[[#This Row],[Units Sold]]*Table1_1[[#This Row],[Unit Cost]]</f>
        <v>96560</v>
      </c>
      <c r="U539" s="7">
        <f>Table1_1[[#This Row],[Calculated sales]]-Table1_1[[#This Row],[Total cost]]</f>
        <v>56728</v>
      </c>
      <c r="V539" s="4">
        <f>IFERROR(Table1_1[[#This Row],[Profit/Loss]]/Table1_1[[#This Row],[Calculated sales]],0)</f>
        <v>0.3700746307603987</v>
      </c>
    </row>
    <row r="540" spans="1:22" x14ac:dyDescent="0.25">
      <c r="A540" s="4" t="s">
        <v>686</v>
      </c>
      <c r="B540" s="5">
        <v>45587</v>
      </c>
      <c r="C540" s="4">
        <f>YEAR(Table1_1[[#This Row],[Order Dates]])</f>
        <v>2024</v>
      </c>
      <c r="D540" s="6">
        <f>MONTH(Table1_1[[#This Row],[Order Dates]])</f>
        <v>10</v>
      </c>
      <c r="E540" s="4" t="s">
        <v>42</v>
      </c>
      <c r="F540" s="4" t="s">
        <v>146</v>
      </c>
      <c r="G540" s="4" t="s">
        <v>97</v>
      </c>
      <c r="H540" s="4" t="str">
        <f>TRIM(CLEAN(SUBSTITUTE(Table1_1[[#This Row],[Salesperson]],"   "," ")))</f>
        <v>Rohit Malhotra</v>
      </c>
      <c r="I540" s="4" t="s">
        <v>52</v>
      </c>
      <c r="J540" s="4" t="s">
        <v>20</v>
      </c>
      <c r="K540" s="4" t="s">
        <v>21</v>
      </c>
      <c r="L540" s="4" t="s">
        <v>1670</v>
      </c>
      <c r="M540" s="4" t="s">
        <v>23</v>
      </c>
      <c r="N540" s="4" t="s">
        <v>24</v>
      </c>
      <c r="O540" s="4">
        <v>7</v>
      </c>
      <c r="P540" s="7">
        <v>8110</v>
      </c>
      <c r="Q540" s="8">
        <v>0.12</v>
      </c>
      <c r="R540" s="7">
        <v>5810</v>
      </c>
      <c r="S540" s="7">
        <f>Table1_1[[#This Row],[Units Sold]]*Table1_1[[#This Row],[Unit Price]]*(1-Table1_1[[#This Row],[Discount %]])</f>
        <v>49957.599999999999</v>
      </c>
      <c r="T540" s="7">
        <f>Table1_1[[#This Row],[Units Sold]]*Table1_1[[#This Row],[Unit Cost]]</f>
        <v>40670</v>
      </c>
      <c r="U540" s="7">
        <f>Table1_1[[#This Row],[Calculated sales]]-Table1_1[[#This Row],[Total cost]]</f>
        <v>9287.5999999999985</v>
      </c>
      <c r="V540" s="4">
        <f>IFERROR(Table1_1[[#This Row],[Profit/Loss]]/Table1_1[[#This Row],[Calculated sales]],0)</f>
        <v>0.18590965138437393</v>
      </c>
    </row>
    <row r="541" spans="1:22" x14ac:dyDescent="0.25">
      <c r="A541" s="4" t="s">
        <v>687</v>
      </c>
      <c r="B541" s="5">
        <v>45587</v>
      </c>
      <c r="C541" s="4">
        <f>YEAR(Table1_1[[#This Row],[Order Dates]])</f>
        <v>2024</v>
      </c>
      <c r="D541" s="6">
        <f>MONTH(Table1_1[[#This Row],[Order Dates]])</f>
        <v>10</v>
      </c>
      <c r="E541" s="4" t="s">
        <v>56</v>
      </c>
      <c r="F541" s="4" t="s">
        <v>133</v>
      </c>
      <c r="G541" s="4" t="s">
        <v>91</v>
      </c>
      <c r="H541" s="4" t="str">
        <f>TRIM(CLEAN(SUBSTITUTE(Table1_1[[#This Row],[Salesperson]],"   "," ")))</f>
        <v>Anjali Menon</v>
      </c>
      <c r="I541" s="4" t="s">
        <v>19</v>
      </c>
      <c r="J541" s="4" t="s">
        <v>46</v>
      </c>
      <c r="K541" s="4" t="s">
        <v>179</v>
      </c>
      <c r="L541" s="4" t="s">
        <v>180</v>
      </c>
      <c r="M541" s="4" t="s">
        <v>23</v>
      </c>
      <c r="N541" s="4" t="s">
        <v>119</v>
      </c>
      <c r="O541" s="4">
        <v>11</v>
      </c>
      <c r="P541" s="7">
        <v>4030</v>
      </c>
      <c r="Q541" s="8">
        <v>0</v>
      </c>
      <c r="R541" s="7">
        <v>2730</v>
      </c>
      <c r="S541" s="7">
        <f>Table1_1[[#This Row],[Units Sold]]*Table1_1[[#This Row],[Unit Price]]*(1-Table1_1[[#This Row],[Discount %]])</f>
        <v>44330</v>
      </c>
      <c r="T541" s="7">
        <f>Table1_1[[#This Row],[Units Sold]]*Table1_1[[#This Row],[Unit Cost]]</f>
        <v>30030</v>
      </c>
      <c r="U541" s="7">
        <f>Table1_1[[#This Row],[Calculated sales]]-Table1_1[[#This Row],[Total cost]]</f>
        <v>14300</v>
      </c>
      <c r="V541" s="4">
        <f>IFERROR(Table1_1[[#This Row],[Profit/Loss]]/Table1_1[[#This Row],[Calculated sales]],0)</f>
        <v>0.32258064516129031</v>
      </c>
    </row>
    <row r="542" spans="1:22" x14ac:dyDescent="0.25">
      <c r="A542" s="4" t="s">
        <v>688</v>
      </c>
      <c r="B542" s="5">
        <v>45588</v>
      </c>
      <c r="C542" s="4">
        <f>YEAR(Table1_1[[#This Row],[Order Dates]])</f>
        <v>2024</v>
      </c>
      <c r="D542" s="6">
        <f>MONTH(Table1_1[[#This Row],[Order Dates]])</f>
        <v>10</v>
      </c>
      <c r="E542" s="4" t="s">
        <v>56</v>
      </c>
      <c r="F542" s="4" t="s">
        <v>57</v>
      </c>
      <c r="G542" s="4" t="s">
        <v>134</v>
      </c>
      <c r="H542" s="4" t="str">
        <f>TRIM(CLEAN(SUBSTITUTE(Table1_1[[#This Row],[Salesperson]],"   "," ")))</f>
        <v>Divya Nair</v>
      </c>
      <c r="I542" s="4" t="s">
        <v>19</v>
      </c>
      <c r="J542" s="4" t="s">
        <v>46</v>
      </c>
      <c r="K542" s="4" t="s">
        <v>179</v>
      </c>
      <c r="L542" s="4" t="s">
        <v>221</v>
      </c>
      <c r="M542" s="4" t="s">
        <v>23</v>
      </c>
      <c r="N542" s="4" t="s">
        <v>24</v>
      </c>
      <c r="O542" s="4">
        <v>11</v>
      </c>
      <c r="P542" s="7">
        <v>1660</v>
      </c>
      <c r="Q542" s="8">
        <v>0.1</v>
      </c>
      <c r="R542" s="7">
        <v>1220</v>
      </c>
      <c r="S542" s="7">
        <f>Table1_1[[#This Row],[Units Sold]]*Table1_1[[#This Row],[Unit Price]]*(1-Table1_1[[#This Row],[Discount %]])</f>
        <v>16434</v>
      </c>
      <c r="T542" s="7">
        <f>Table1_1[[#This Row],[Units Sold]]*Table1_1[[#This Row],[Unit Cost]]</f>
        <v>13420</v>
      </c>
      <c r="U542" s="7">
        <f>Table1_1[[#This Row],[Calculated sales]]-Table1_1[[#This Row],[Total cost]]</f>
        <v>3014</v>
      </c>
      <c r="V542" s="4">
        <f>IFERROR(Table1_1[[#This Row],[Profit/Loss]]/Table1_1[[#This Row],[Calculated sales]],0)</f>
        <v>0.18340026773761714</v>
      </c>
    </row>
    <row r="543" spans="1:22" x14ac:dyDescent="0.25">
      <c r="A543" s="4" t="s">
        <v>689</v>
      </c>
      <c r="B543" s="5">
        <v>45589</v>
      </c>
      <c r="C543" s="4">
        <f>YEAR(Table1_1[[#This Row],[Order Dates]])</f>
        <v>2024</v>
      </c>
      <c r="D543" s="6">
        <f>MONTH(Table1_1[[#This Row],[Order Dates]])</f>
        <v>10</v>
      </c>
      <c r="E543" s="4" t="s">
        <v>37</v>
      </c>
      <c r="F543" s="4" t="s">
        <v>213</v>
      </c>
      <c r="G543" s="4" t="s">
        <v>39</v>
      </c>
      <c r="H543" s="4" t="str">
        <f>TRIM(CLEAN(SUBSTITUTE(Table1_1[[#This Row],[Salesperson]],"   "," ")))</f>
        <v>Sourav Das</v>
      </c>
      <c r="I543" s="4" t="s">
        <v>92</v>
      </c>
      <c r="J543" s="4" t="s">
        <v>46</v>
      </c>
      <c r="K543" s="4" t="s">
        <v>179</v>
      </c>
      <c r="L543" s="4" t="s">
        <v>180</v>
      </c>
      <c r="M543" s="4" t="s">
        <v>40</v>
      </c>
      <c r="N543" s="4" t="s">
        <v>24</v>
      </c>
      <c r="O543" s="4">
        <v>30</v>
      </c>
      <c r="P543" s="7">
        <v>3850</v>
      </c>
      <c r="Q543" s="8">
        <v>0.15</v>
      </c>
      <c r="R543" s="7">
        <v>2170</v>
      </c>
      <c r="S543" s="7">
        <f>Table1_1[[#This Row],[Units Sold]]*Table1_1[[#This Row],[Unit Price]]*(1-Table1_1[[#This Row],[Discount %]])</f>
        <v>98175</v>
      </c>
      <c r="T543" s="7">
        <f>Table1_1[[#This Row],[Units Sold]]*Table1_1[[#This Row],[Unit Cost]]</f>
        <v>65100</v>
      </c>
      <c r="U543" s="7">
        <f>Table1_1[[#This Row],[Calculated sales]]-Table1_1[[#This Row],[Total cost]]</f>
        <v>33075</v>
      </c>
      <c r="V543" s="4">
        <f>IFERROR(Table1_1[[#This Row],[Profit/Loss]]/Table1_1[[#This Row],[Calculated sales]],0)</f>
        <v>0.33689839572192515</v>
      </c>
    </row>
    <row r="544" spans="1:22" x14ac:dyDescent="0.25">
      <c r="A544" s="4" t="s">
        <v>690</v>
      </c>
      <c r="B544" s="5">
        <v>45590</v>
      </c>
      <c r="C544" s="4">
        <f>YEAR(Table1_1[[#This Row],[Order Dates]])</f>
        <v>2024</v>
      </c>
      <c r="D544" s="6">
        <f>MONTH(Table1_1[[#This Row],[Order Dates]])</f>
        <v>10</v>
      </c>
      <c r="E544" s="4" t="s">
        <v>16</v>
      </c>
      <c r="F544" s="4" t="s">
        <v>51</v>
      </c>
      <c r="G544" s="4" t="s">
        <v>26</v>
      </c>
      <c r="H544" s="4" t="str">
        <f>TRIM(CLEAN(SUBSTITUTE(Table1_1[[#This Row],[Salesperson]],"   "," ")))</f>
        <v>Prateek Shah</v>
      </c>
      <c r="I544" s="4" t="s">
        <v>92</v>
      </c>
      <c r="J544" s="4" t="s">
        <v>59</v>
      </c>
      <c r="K544" s="4" t="s">
        <v>60</v>
      </c>
      <c r="L544" s="4" t="s">
        <v>200</v>
      </c>
      <c r="M544" s="4" t="s">
        <v>40</v>
      </c>
      <c r="N544" s="4" t="s">
        <v>24</v>
      </c>
      <c r="O544" s="4">
        <v>4</v>
      </c>
      <c r="P544" s="7">
        <v>8290</v>
      </c>
      <c r="Q544" s="8">
        <v>0.18</v>
      </c>
      <c r="R544" s="7">
        <v>5930</v>
      </c>
      <c r="S544" s="7">
        <f>Table1_1[[#This Row],[Units Sold]]*Table1_1[[#This Row],[Unit Price]]*(1-Table1_1[[#This Row],[Discount %]])</f>
        <v>27191.200000000001</v>
      </c>
      <c r="T544" s="7">
        <f>Table1_1[[#This Row],[Units Sold]]*Table1_1[[#This Row],[Unit Cost]]</f>
        <v>23720</v>
      </c>
      <c r="U544" s="7">
        <f>Table1_1[[#This Row],[Calculated sales]]-Table1_1[[#This Row],[Total cost]]</f>
        <v>3471.2000000000007</v>
      </c>
      <c r="V544" s="4">
        <f>IFERROR(Table1_1[[#This Row],[Profit/Loss]]/Table1_1[[#This Row],[Calculated sales]],0)</f>
        <v>0.12765894848333287</v>
      </c>
    </row>
    <row r="545" spans="1:22" x14ac:dyDescent="0.25">
      <c r="A545" s="4" t="s">
        <v>691</v>
      </c>
      <c r="B545" s="5">
        <v>45590</v>
      </c>
      <c r="C545" s="4">
        <f>YEAR(Table1_1[[#This Row],[Order Dates]])</f>
        <v>2024</v>
      </c>
      <c r="D545" s="6">
        <f>MONTH(Table1_1[[#This Row],[Order Dates]])</f>
        <v>10</v>
      </c>
      <c r="E545" s="4" t="s">
        <v>42</v>
      </c>
      <c r="F545" s="4" t="s">
        <v>43</v>
      </c>
      <c r="G545" s="4" t="s">
        <v>97</v>
      </c>
      <c r="H545" s="4" t="str">
        <f>TRIM(CLEAN(SUBSTITUTE(Table1_1[[#This Row],[Salesperson]],"   "," ")))</f>
        <v>Rohit Malhotra</v>
      </c>
      <c r="I545" s="4" t="s">
        <v>19</v>
      </c>
      <c r="J545" s="4" t="s">
        <v>59</v>
      </c>
      <c r="K545" s="4" t="s">
        <v>60</v>
      </c>
      <c r="L545" s="4" t="s">
        <v>200</v>
      </c>
      <c r="M545" s="4" t="s">
        <v>49</v>
      </c>
      <c r="N545" s="4" t="s">
        <v>94</v>
      </c>
      <c r="O545" s="4">
        <v>7</v>
      </c>
      <c r="P545" s="7">
        <v>9070</v>
      </c>
      <c r="Q545" s="8">
        <v>0</v>
      </c>
      <c r="R545" s="7">
        <v>6150</v>
      </c>
      <c r="S545" s="7">
        <f>Table1_1[[#This Row],[Units Sold]]*Table1_1[[#This Row],[Unit Price]]*(1-Table1_1[[#This Row],[Discount %]])</f>
        <v>63490</v>
      </c>
      <c r="T545" s="7">
        <f>Table1_1[[#This Row],[Units Sold]]*Table1_1[[#This Row],[Unit Cost]]</f>
        <v>43050</v>
      </c>
      <c r="U545" s="7">
        <f>Table1_1[[#This Row],[Calculated sales]]-Table1_1[[#This Row],[Total cost]]</f>
        <v>20440</v>
      </c>
      <c r="V545" s="4">
        <f>IFERROR(Table1_1[[#This Row],[Profit/Loss]]/Table1_1[[#This Row],[Calculated sales]],0)</f>
        <v>0.32194046306504959</v>
      </c>
    </row>
    <row r="546" spans="1:22" x14ac:dyDescent="0.25">
      <c r="A546" s="4" t="s">
        <v>692</v>
      </c>
      <c r="B546" s="5">
        <v>45591</v>
      </c>
      <c r="C546" s="4">
        <f>YEAR(Table1_1[[#This Row],[Order Dates]])</f>
        <v>2024</v>
      </c>
      <c r="D546" s="6">
        <f>MONTH(Table1_1[[#This Row],[Order Dates]])</f>
        <v>10</v>
      </c>
      <c r="E546" s="4" t="s">
        <v>16</v>
      </c>
      <c r="F546" s="4" t="s">
        <v>191</v>
      </c>
      <c r="G546" s="4" t="s">
        <v>32</v>
      </c>
      <c r="H546" s="4" t="str">
        <f>TRIM(CLEAN(SUBSTITUTE(Table1_1[[#This Row],[Salesperson]],"   "," ")))</f>
        <v>Neha Deshpande</v>
      </c>
      <c r="I546" s="4" t="s">
        <v>52</v>
      </c>
      <c r="J546" s="4" t="s">
        <v>27</v>
      </c>
      <c r="K546" s="4" t="s">
        <v>53</v>
      </c>
      <c r="L546" s="4" t="s">
        <v>1669</v>
      </c>
      <c r="M546" s="4" t="s">
        <v>23</v>
      </c>
      <c r="N546" s="4" t="s">
        <v>119</v>
      </c>
      <c r="O546" s="4">
        <v>1</v>
      </c>
      <c r="P546" s="7">
        <v>44430</v>
      </c>
      <c r="Q546" s="8">
        <v>0.15</v>
      </c>
      <c r="R546" s="7">
        <v>34550</v>
      </c>
      <c r="S546" s="7">
        <f>Table1_1[[#This Row],[Units Sold]]*Table1_1[[#This Row],[Unit Price]]*(1-Table1_1[[#This Row],[Discount %]])</f>
        <v>37765.5</v>
      </c>
      <c r="T546" s="7">
        <f>Table1_1[[#This Row],[Units Sold]]*Table1_1[[#This Row],[Unit Cost]]</f>
        <v>34550</v>
      </c>
      <c r="U546" s="7">
        <f>Table1_1[[#This Row],[Calculated sales]]-Table1_1[[#This Row],[Total cost]]</f>
        <v>3215.5</v>
      </c>
      <c r="V546" s="4">
        <f>IFERROR(Table1_1[[#This Row],[Profit/Loss]]/Table1_1[[#This Row],[Calculated sales]],0)</f>
        <v>8.5143848221260143E-2</v>
      </c>
    </row>
    <row r="547" spans="1:22" x14ac:dyDescent="0.25">
      <c r="A547" s="4" t="s">
        <v>693</v>
      </c>
      <c r="B547" s="5">
        <v>45591</v>
      </c>
      <c r="C547" s="4">
        <f>YEAR(Table1_1[[#This Row],[Order Dates]])</f>
        <v>2024</v>
      </c>
      <c r="D547" s="6">
        <f>MONTH(Table1_1[[#This Row],[Order Dates]])</f>
        <v>10</v>
      </c>
      <c r="E547" s="4" t="s">
        <v>76</v>
      </c>
      <c r="F547" s="4" t="s">
        <v>217</v>
      </c>
      <c r="G547" s="4" t="s">
        <v>170</v>
      </c>
      <c r="H547" s="4" t="str">
        <f>TRIM(CLEAN(SUBSTITUTE(Table1_1[[#This Row],[Salesperson]],"   "," ")))</f>
        <v>Manish Tiwari</v>
      </c>
      <c r="I547" s="4" t="s">
        <v>92</v>
      </c>
      <c r="J547" s="4" t="s">
        <v>27</v>
      </c>
      <c r="K547" s="4" t="s">
        <v>214</v>
      </c>
      <c r="L547" s="4" t="s">
        <v>1681</v>
      </c>
      <c r="M547" s="4" t="s">
        <v>40</v>
      </c>
      <c r="N547" s="4" t="s">
        <v>119</v>
      </c>
      <c r="O547" s="4">
        <v>16</v>
      </c>
      <c r="P547" s="7">
        <v>14890</v>
      </c>
      <c r="Q547" s="8">
        <v>0.1</v>
      </c>
      <c r="R547" s="7">
        <v>8440</v>
      </c>
      <c r="S547" s="7">
        <f>Table1_1[[#This Row],[Units Sold]]*Table1_1[[#This Row],[Unit Price]]*(1-Table1_1[[#This Row],[Discount %]])</f>
        <v>214416</v>
      </c>
      <c r="T547" s="7">
        <f>Table1_1[[#This Row],[Units Sold]]*Table1_1[[#This Row],[Unit Cost]]</f>
        <v>135040</v>
      </c>
      <c r="U547" s="7">
        <f>Table1_1[[#This Row],[Calculated sales]]-Table1_1[[#This Row],[Total cost]]</f>
        <v>79376</v>
      </c>
      <c r="V547" s="4">
        <f>IFERROR(Table1_1[[#This Row],[Profit/Loss]]/Table1_1[[#This Row],[Calculated sales]],0)</f>
        <v>0.37019625401089473</v>
      </c>
    </row>
    <row r="548" spans="1:22" x14ac:dyDescent="0.25">
      <c r="A548" s="4" t="s">
        <v>694</v>
      </c>
      <c r="B548" s="5">
        <v>45591</v>
      </c>
      <c r="C548" s="4">
        <f>YEAR(Table1_1[[#This Row],[Order Dates]])</f>
        <v>2024</v>
      </c>
      <c r="D548" s="6">
        <f>MONTH(Table1_1[[#This Row],[Order Dates]])</f>
        <v>10</v>
      </c>
      <c r="E548" s="4" t="s">
        <v>76</v>
      </c>
      <c r="F548" s="4" t="s">
        <v>77</v>
      </c>
      <c r="G548" s="4" t="s">
        <v>78</v>
      </c>
      <c r="H548" s="4" t="str">
        <f>TRIM(CLEAN(SUBSTITUTE(Table1_1[[#This Row],[Salesperson]],"   "," ")))</f>
        <v>Pooja Chouhan</v>
      </c>
      <c r="I548" s="4" t="s">
        <v>45</v>
      </c>
      <c r="J548" s="4" t="s">
        <v>27</v>
      </c>
      <c r="K548" s="4" t="s">
        <v>28</v>
      </c>
      <c r="L548" s="4" t="s">
        <v>1668</v>
      </c>
      <c r="M548" s="4" t="s">
        <v>40</v>
      </c>
      <c r="N548" s="4" t="s">
        <v>35</v>
      </c>
      <c r="O548" s="4">
        <v>1</v>
      </c>
      <c r="P548" s="7">
        <v>29450</v>
      </c>
      <c r="Q548" s="8">
        <v>0.1</v>
      </c>
      <c r="R548" s="7">
        <v>22800</v>
      </c>
      <c r="S548" s="7">
        <f>Table1_1[[#This Row],[Units Sold]]*Table1_1[[#This Row],[Unit Price]]*(1-Table1_1[[#This Row],[Discount %]])</f>
        <v>26505</v>
      </c>
      <c r="T548" s="7">
        <f>Table1_1[[#This Row],[Units Sold]]*Table1_1[[#This Row],[Unit Cost]]</f>
        <v>22800</v>
      </c>
      <c r="U548" s="7">
        <f>Table1_1[[#This Row],[Calculated sales]]-Table1_1[[#This Row],[Total cost]]</f>
        <v>3705</v>
      </c>
      <c r="V548" s="4">
        <f>IFERROR(Table1_1[[#This Row],[Profit/Loss]]/Table1_1[[#This Row],[Calculated sales]],0)</f>
        <v>0.13978494623655913</v>
      </c>
    </row>
    <row r="549" spans="1:22" x14ac:dyDescent="0.25">
      <c r="A549" s="4" t="s">
        <v>695</v>
      </c>
      <c r="B549" s="5">
        <v>45591</v>
      </c>
      <c r="C549" s="4">
        <f>YEAR(Table1_1[[#This Row],[Order Dates]])</f>
        <v>2024</v>
      </c>
      <c r="D549" s="6">
        <f>MONTH(Table1_1[[#This Row],[Order Dates]])</f>
        <v>10</v>
      </c>
      <c r="E549" s="4" t="s">
        <v>42</v>
      </c>
      <c r="F549" s="4" t="s">
        <v>265</v>
      </c>
      <c r="G549" s="4" t="s">
        <v>44</v>
      </c>
      <c r="H549" s="4" t="str">
        <f>TRIM(CLEAN(SUBSTITUTE(Table1_1[[#This Row],[Salesperson]],"   "," ")))</f>
        <v>Simran Kaur</v>
      </c>
      <c r="I549" s="4" t="s">
        <v>45</v>
      </c>
      <c r="J549" s="4" t="s">
        <v>83</v>
      </c>
      <c r="K549" s="4" t="s">
        <v>84</v>
      </c>
      <c r="L549" s="4" t="s">
        <v>292</v>
      </c>
      <c r="M549" s="4" t="s">
        <v>40</v>
      </c>
      <c r="N549" s="4" t="s">
        <v>24</v>
      </c>
      <c r="O549" s="4">
        <v>4</v>
      </c>
      <c r="P549" s="7">
        <v>40120</v>
      </c>
      <c r="Q549" s="8">
        <v>0.1</v>
      </c>
      <c r="R549" s="7">
        <v>29430</v>
      </c>
      <c r="S549" s="7">
        <f>Table1_1[[#This Row],[Units Sold]]*Table1_1[[#This Row],[Unit Price]]*(1-Table1_1[[#This Row],[Discount %]])</f>
        <v>144432</v>
      </c>
      <c r="T549" s="7">
        <f>Table1_1[[#This Row],[Units Sold]]*Table1_1[[#This Row],[Unit Cost]]</f>
        <v>117720</v>
      </c>
      <c r="U549" s="7">
        <f>Table1_1[[#This Row],[Calculated sales]]-Table1_1[[#This Row],[Total cost]]</f>
        <v>26712</v>
      </c>
      <c r="V549" s="4">
        <f>IFERROR(Table1_1[[#This Row],[Profit/Loss]]/Table1_1[[#This Row],[Calculated sales]],0)</f>
        <v>0.18494516450648055</v>
      </c>
    </row>
    <row r="550" spans="1:22" x14ac:dyDescent="0.25">
      <c r="A550" s="4" t="s">
        <v>696</v>
      </c>
      <c r="B550" s="5">
        <v>45593</v>
      </c>
      <c r="C550" s="4">
        <f>YEAR(Table1_1[[#This Row],[Order Dates]])</f>
        <v>2024</v>
      </c>
      <c r="D550" s="6">
        <f>MONTH(Table1_1[[#This Row],[Order Dates]])</f>
        <v>10</v>
      </c>
      <c r="E550" s="4" t="s">
        <v>76</v>
      </c>
      <c r="F550" s="4" t="s">
        <v>125</v>
      </c>
      <c r="G550" s="4" t="s">
        <v>78</v>
      </c>
      <c r="H550" s="4" t="str">
        <f>TRIM(CLEAN(SUBSTITUTE(Table1_1[[#This Row],[Salesperson]],"   "," ")))</f>
        <v>Pooja Chouhan</v>
      </c>
      <c r="I550" s="4" t="s">
        <v>92</v>
      </c>
      <c r="J550" s="4" t="s">
        <v>20</v>
      </c>
      <c r="K550" s="4" t="s">
        <v>87</v>
      </c>
      <c r="L550" s="4" t="s">
        <v>1672</v>
      </c>
      <c r="M550" s="4" t="s">
        <v>40</v>
      </c>
      <c r="N550" s="4" t="s">
        <v>24</v>
      </c>
      <c r="O550" s="4">
        <v>3</v>
      </c>
      <c r="P550" s="7">
        <v>31370</v>
      </c>
      <c r="Q550" s="8">
        <v>0.15</v>
      </c>
      <c r="R550" s="7">
        <v>22560</v>
      </c>
      <c r="S550" s="7">
        <f>Table1_1[[#This Row],[Units Sold]]*Table1_1[[#This Row],[Unit Price]]*(1-Table1_1[[#This Row],[Discount %]])</f>
        <v>79993.5</v>
      </c>
      <c r="T550" s="7">
        <f>Table1_1[[#This Row],[Units Sold]]*Table1_1[[#This Row],[Unit Cost]]</f>
        <v>67680</v>
      </c>
      <c r="U550" s="7">
        <f>Table1_1[[#This Row],[Calculated sales]]-Table1_1[[#This Row],[Total cost]]</f>
        <v>12313.5</v>
      </c>
      <c r="V550" s="4">
        <f>IFERROR(Table1_1[[#This Row],[Profit/Loss]]/Table1_1[[#This Row],[Calculated sales]],0)</f>
        <v>0.15393125691462431</v>
      </c>
    </row>
    <row r="551" spans="1:22" x14ac:dyDescent="0.25">
      <c r="A551" s="4" t="s">
        <v>697</v>
      </c>
      <c r="B551" s="5">
        <v>45593</v>
      </c>
      <c r="C551" s="4">
        <f>YEAR(Table1_1[[#This Row],[Order Dates]])</f>
        <v>2024</v>
      </c>
      <c r="D551" s="6">
        <f>MONTH(Table1_1[[#This Row],[Order Dates]])</f>
        <v>10</v>
      </c>
      <c r="E551" s="4" t="s">
        <v>56</v>
      </c>
      <c r="F551" s="4" t="s">
        <v>103</v>
      </c>
      <c r="G551" s="4" t="s">
        <v>58</v>
      </c>
      <c r="H551" s="4" t="str">
        <f>TRIM(CLEAN(SUBSTITUTE(Table1_1[[#This Row],[Salesperson]],"   "," ")))</f>
        <v>Karthik Raman</v>
      </c>
      <c r="I551" s="4" t="s">
        <v>92</v>
      </c>
      <c r="J551" s="4" t="s">
        <v>20</v>
      </c>
      <c r="K551" s="4" t="s">
        <v>87</v>
      </c>
      <c r="L551" s="4" t="s">
        <v>1674</v>
      </c>
      <c r="M551" s="4" t="s">
        <v>49</v>
      </c>
      <c r="N551" s="4" t="s">
        <v>24</v>
      </c>
      <c r="O551" s="4">
        <v>9</v>
      </c>
      <c r="P551" s="7">
        <v>51460</v>
      </c>
      <c r="Q551" s="8">
        <v>0.15</v>
      </c>
      <c r="R551" s="7">
        <v>29980</v>
      </c>
      <c r="S551" s="7">
        <f>Table1_1[[#This Row],[Units Sold]]*Table1_1[[#This Row],[Unit Price]]*(1-Table1_1[[#This Row],[Discount %]])</f>
        <v>393669</v>
      </c>
      <c r="T551" s="7">
        <f>Table1_1[[#This Row],[Units Sold]]*Table1_1[[#This Row],[Unit Cost]]</f>
        <v>269820</v>
      </c>
      <c r="U551" s="7">
        <f>Table1_1[[#This Row],[Calculated sales]]-Table1_1[[#This Row],[Total cost]]</f>
        <v>123849</v>
      </c>
      <c r="V551" s="4">
        <f>IFERROR(Table1_1[[#This Row],[Profit/Loss]]/Table1_1[[#This Row],[Calculated sales]],0)</f>
        <v>0.31460186095425346</v>
      </c>
    </row>
    <row r="552" spans="1:22" x14ac:dyDescent="0.25">
      <c r="A552" s="4" t="s">
        <v>698</v>
      </c>
      <c r="B552" s="5">
        <v>45593</v>
      </c>
      <c r="C552" s="4">
        <f>YEAR(Table1_1[[#This Row],[Order Dates]])</f>
        <v>2024</v>
      </c>
      <c r="D552" s="6">
        <f>MONTH(Table1_1[[#This Row],[Order Dates]])</f>
        <v>10</v>
      </c>
      <c r="E552" s="4" t="s">
        <v>42</v>
      </c>
      <c r="F552" s="4" t="s">
        <v>130</v>
      </c>
      <c r="G552" s="4" t="s">
        <v>44</v>
      </c>
      <c r="H552" s="4" t="str">
        <f>TRIM(CLEAN(SUBSTITUTE(Table1_1[[#This Row],[Salesperson]],"   "," ")))</f>
        <v>Simran Kaur</v>
      </c>
      <c r="I552" s="4" t="s">
        <v>19</v>
      </c>
      <c r="J552" s="4" t="s">
        <v>20</v>
      </c>
      <c r="K552" s="4" t="s">
        <v>87</v>
      </c>
      <c r="L552" s="4" t="s">
        <v>1674</v>
      </c>
      <c r="M552" s="4" t="s">
        <v>23</v>
      </c>
      <c r="N552" s="4" t="s">
        <v>35</v>
      </c>
      <c r="O552" s="4">
        <v>4</v>
      </c>
      <c r="P552" s="7">
        <v>51440</v>
      </c>
      <c r="Q552" s="8">
        <v>0.25</v>
      </c>
      <c r="R552" s="7">
        <v>37510</v>
      </c>
      <c r="S552" s="7">
        <f>Table1_1[[#This Row],[Units Sold]]*Table1_1[[#This Row],[Unit Price]]*(1-Table1_1[[#This Row],[Discount %]])</f>
        <v>154320</v>
      </c>
      <c r="T552" s="7">
        <f>Table1_1[[#This Row],[Units Sold]]*Table1_1[[#This Row],[Unit Cost]]</f>
        <v>150040</v>
      </c>
      <c r="U552" s="7">
        <f>Table1_1[[#This Row],[Calculated sales]]-Table1_1[[#This Row],[Total cost]]</f>
        <v>4280</v>
      </c>
      <c r="V552" s="4">
        <f>IFERROR(Table1_1[[#This Row],[Profit/Loss]]/Table1_1[[#This Row],[Calculated sales]],0)</f>
        <v>2.7734577501296008E-2</v>
      </c>
    </row>
    <row r="553" spans="1:22" x14ac:dyDescent="0.25">
      <c r="A553" s="4" t="s">
        <v>699</v>
      </c>
      <c r="B553" s="5">
        <v>45594</v>
      </c>
      <c r="C553" s="4">
        <f>YEAR(Table1_1[[#This Row],[Order Dates]])</f>
        <v>2024</v>
      </c>
      <c r="D553" s="6">
        <f>MONTH(Table1_1[[#This Row],[Order Dates]])</f>
        <v>10</v>
      </c>
      <c r="E553" s="4" t="s">
        <v>42</v>
      </c>
      <c r="F553" s="4" t="s">
        <v>265</v>
      </c>
      <c r="G553" s="4" t="s">
        <v>44</v>
      </c>
      <c r="H553" s="4" t="str">
        <f>TRIM(CLEAN(SUBSTITUTE(Table1_1[[#This Row],[Salesperson]],"   "," ")))</f>
        <v>Simran Kaur</v>
      </c>
      <c r="I553" s="4" t="s">
        <v>52</v>
      </c>
      <c r="J553" s="4" t="s">
        <v>27</v>
      </c>
      <c r="K553" s="4" t="s">
        <v>53</v>
      </c>
      <c r="L553" s="4" t="s">
        <v>1669</v>
      </c>
      <c r="M553" s="4" t="s">
        <v>23</v>
      </c>
      <c r="N553" s="4" t="s">
        <v>119</v>
      </c>
      <c r="O553" s="4">
        <v>4</v>
      </c>
      <c r="P553" s="7">
        <v>45210</v>
      </c>
      <c r="Q553" s="8">
        <v>0.05</v>
      </c>
      <c r="R553" s="7">
        <v>27930</v>
      </c>
      <c r="S553" s="7">
        <f>Table1_1[[#This Row],[Units Sold]]*Table1_1[[#This Row],[Unit Price]]*(1-Table1_1[[#This Row],[Discount %]])</f>
        <v>171798</v>
      </c>
      <c r="T553" s="7">
        <f>Table1_1[[#This Row],[Units Sold]]*Table1_1[[#This Row],[Unit Cost]]</f>
        <v>111720</v>
      </c>
      <c r="U553" s="7">
        <f>Table1_1[[#This Row],[Calculated sales]]-Table1_1[[#This Row],[Total cost]]</f>
        <v>60078</v>
      </c>
      <c r="V553" s="4">
        <f>IFERROR(Table1_1[[#This Row],[Profit/Loss]]/Table1_1[[#This Row],[Calculated sales]],0)</f>
        <v>0.34970139349701396</v>
      </c>
    </row>
    <row r="554" spans="1:22" x14ac:dyDescent="0.25">
      <c r="A554" s="4" t="s">
        <v>700</v>
      </c>
      <c r="B554" s="5">
        <v>45594</v>
      </c>
      <c r="C554" s="4">
        <f>YEAR(Table1_1[[#This Row],[Order Dates]])</f>
        <v>2024</v>
      </c>
      <c r="D554" s="6">
        <f>MONTH(Table1_1[[#This Row],[Order Dates]])</f>
        <v>10</v>
      </c>
      <c r="E554" s="4" t="s">
        <v>76</v>
      </c>
      <c r="F554" s="4" t="s">
        <v>125</v>
      </c>
      <c r="G554" s="4" t="s">
        <v>78</v>
      </c>
      <c r="H554" s="4" t="str">
        <f>TRIM(CLEAN(SUBSTITUTE(Table1_1[[#This Row],[Salesperson]],"   "," ")))</f>
        <v>Pooja Chouhan</v>
      </c>
      <c r="I554" s="4" t="s">
        <v>19</v>
      </c>
      <c r="J554" s="4" t="s">
        <v>59</v>
      </c>
      <c r="K554" s="4" t="s">
        <v>154</v>
      </c>
      <c r="L554" s="4" t="s">
        <v>155</v>
      </c>
      <c r="M554" s="4" t="s">
        <v>23</v>
      </c>
      <c r="N554" s="4" t="s">
        <v>119</v>
      </c>
      <c r="O554" s="4">
        <v>5</v>
      </c>
      <c r="P554" s="7">
        <v>12570</v>
      </c>
      <c r="Q554" s="8">
        <v>0.12</v>
      </c>
      <c r="R554" s="7">
        <v>8920</v>
      </c>
      <c r="S554" s="7">
        <f>Table1_1[[#This Row],[Units Sold]]*Table1_1[[#This Row],[Unit Price]]*(1-Table1_1[[#This Row],[Discount %]])</f>
        <v>55308</v>
      </c>
      <c r="T554" s="7">
        <f>Table1_1[[#This Row],[Units Sold]]*Table1_1[[#This Row],[Unit Cost]]</f>
        <v>44600</v>
      </c>
      <c r="U554" s="7">
        <f>Table1_1[[#This Row],[Calculated sales]]-Table1_1[[#This Row],[Total cost]]</f>
        <v>10708</v>
      </c>
      <c r="V554" s="4">
        <f>IFERROR(Table1_1[[#This Row],[Profit/Loss]]/Table1_1[[#This Row],[Calculated sales]],0)</f>
        <v>0.19360671150647285</v>
      </c>
    </row>
    <row r="555" spans="1:22" x14ac:dyDescent="0.25">
      <c r="A555" s="4" t="s">
        <v>701</v>
      </c>
      <c r="B555" s="5">
        <v>45596</v>
      </c>
      <c r="C555" s="4">
        <f>YEAR(Table1_1[[#This Row],[Order Dates]])</f>
        <v>2024</v>
      </c>
      <c r="D555" s="6">
        <f>MONTH(Table1_1[[#This Row],[Order Dates]])</f>
        <v>10</v>
      </c>
      <c r="E555" s="4" t="s">
        <v>16</v>
      </c>
      <c r="F555" s="4" t="s">
        <v>191</v>
      </c>
      <c r="G555" s="4" t="s">
        <v>18</v>
      </c>
      <c r="H555" s="4" t="str">
        <f>TRIM(CLEAN(SUBSTITUTE(Table1_1[[#This Row],[Salesperson]],"   "," ")))</f>
        <v>Imran Sheikh</v>
      </c>
      <c r="I555" s="4" t="s">
        <v>52</v>
      </c>
      <c r="J555" s="4" t="s">
        <v>27</v>
      </c>
      <c r="K555" s="4" t="s">
        <v>214</v>
      </c>
      <c r="L555" s="4" t="s">
        <v>1681</v>
      </c>
      <c r="M555" s="4" t="s">
        <v>23</v>
      </c>
      <c r="N555" s="4" t="s">
        <v>24</v>
      </c>
      <c r="O555" s="4">
        <v>5</v>
      </c>
      <c r="P555" s="7">
        <v>14370</v>
      </c>
      <c r="Q555" s="8">
        <v>0.12</v>
      </c>
      <c r="R555" s="7">
        <v>11090</v>
      </c>
      <c r="S555" s="7">
        <f>Table1_1[[#This Row],[Units Sold]]*Table1_1[[#This Row],[Unit Price]]*(1-Table1_1[[#This Row],[Discount %]])</f>
        <v>63228</v>
      </c>
      <c r="T555" s="7">
        <f>Table1_1[[#This Row],[Units Sold]]*Table1_1[[#This Row],[Unit Cost]]</f>
        <v>55450</v>
      </c>
      <c r="U555" s="7">
        <f>Table1_1[[#This Row],[Calculated sales]]-Table1_1[[#This Row],[Total cost]]</f>
        <v>7778</v>
      </c>
      <c r="V555" s="4">
        <f>IFERROR(Table1_1[[#This Row],[Profit/Loss]]/Table1_1[[#This Row],[Calculated sales]],0)</f>
        <v>0.12301511988359587</v>
      </c>
    </row>
    <row r="556" spans="1:22" x14ac:dyDescent="0.25">
      <c r="A556" s="4" t="s">
        <v>702</v>
      </c>
      <c r="B556" s="5">
        <v>45596</v>
      </c>
      <c r="C556" s="4">
        <f>YEAR(Table1_1[[#This Row],[Order Dates]])</f>
        <v>2024</v>
      </c>
      <c r="D556" s="6">
        <f>MONTH(Table1_1[[#This Row],[Order Dates]])</f>
        <v>10</v>
      </c>
      <c r="E556" s="4" t="s">
        <v>56</v>
      </c>
      <c r="F556" s="4" t="s">
        <v>103</v>
      </c>
      <c r="G556" s="4" t="s">
        <v>134</v>
      </c>
      <c r="H556" s="4" t="str">
        <f>TRIM(CLEAN(SUBSTITUTE(Table1_1[[#This Row],[Salesperson]],"   "," ")))</f>
        <v>Divya Nair</v>
      </c>
      <c r="I556" s="4" t="s">
        <v>52</v>
      </c>
      <c r="J556" s="4" t="s">
        <v>20</v>
      </c>
      <c r="K556" s="4" t="s">
        <v>109</v>
      </c>
      <c r="L556" s="4" t="s">
        <v>159</v>
      </c>
      <c r="M556" s="4" t="s">
        <v>40</v>
      </c>
      <c r="N556" s="4" t="s">
        <v>119</v>
      </c>
      <c r="O556" s="4">
        <v>1</v>
      </c>
      <c r="P556" s="7">
        <v>18110</v>
      </c>
      <c r="Q556" s="8">
        <v>0.15</v>
      </c>
      <c r="R556" s="7">
        <v>10630</v>
      </c>
      <c r="S556" s="7">
        <f>Table1_1[[#This Row],[Units Sold]]*Table1_1[[#This Row],[Unit Price]]*(1-Table1_1[[#This Row],[Discount %]])</f>
        <v>15393.5</v>
      </c>
      <c r="T556" s="7">
        <f>Table1_1[[#This Row],[Units Sold]]*Table1_1[[#This Row],[Unit Cost]]</f>
        <v>10630</v>
      </c>
      <c r="U556" s="7">
        <f>Table1_1[[#This Row],[Calculated sales]]-Table1_1[[#This Row],[Total cost]]</f>
        <v>4763.5</v>
      </c>
      <c r="V556" s="4">
        <f>IFERROR(Table1_1[[#This Row],[Profit/Loss]]/Table1_1[[#This Row],[Calculated sales]],0)</f>
        <v>0.30944879332185665</v>
      </c>
    </row>
    <row r="557" spans="1:22" x14ac:dyDescent="0.25">
      <c r="A557" s="4" t="s">
        <v>703</v>
      </c>
      <c r="B557" s="5">
        <v>45596</v>
      </c>
      <c r="C557" s="4">
        <f>YEAR(Table1_1[[#This Row],[Order Dates]])</f>
        <v>2024</v>
      </c>
      <c r="D557" s="6">
        <f>MONTH(Table1_1[[#This Row],[Order Dates]])</f>
        <v>10</v>
      </c>
      <c r="E557" s="4" t="s">
        <v>42</v>
      </c>
      <c r="F557" s="4" t="s">
        <v>130</v>
      </c>
      <c r="G557" s="4" t="s">
        <v>44</v>
      </c>
      <c r="H557" s="4" t="str">
        <f>TRIM(CLEAN(SUBSTITUTE(Table1_1[[#This Row],[Salesperson]],"   "," ")))</f>
        <v>Simran Kaur</v>
      </c>
      <c r="I557" s="4" t="s">
        <v>19</v>
      </c>
      <c r="J557" s="4" t="s">
        <v>27</v>
      </c>
      <c r="K557" s="4" t="s">
        <v>214</v>
      </c>
      <c r="L557" s="4" t="s">
        <v>1680</v>
      </c>
      <c r="M557" s="4" t="s">
        <v>23</v>
      </c>
      <c r="N557" s="4" t="s">
        <v>119</v>
      </c>
      <c r="O557" s="4">
        <v>3</v>
      </c>
      <c r="P557" s="7">
        <v>33570</v>
      </c>
      <c r="Q557" s="8">
        <v>0</v>
      </c>
      <c r="R557" s="7">
        <v>19670</v>
      </c>
      <c r="S557" s="7">
        <f>Table1_1[[#This Row],[Units Sold]]*Table1_1[[#This Row],[Unit Price]]*(1-Table1_1[[#This Row],[Discount %]])</f>
        <v>100710</v>
      </c>
      <c r="T557" s="7">
        <f>Table1_1[[#This Row],[Units Sold]]*Table1_1[[#This Row],[Unit Cost]]</f>
        <v>59010</v>
      </c>
      <c r="U557" s="7">
        <f>Table1_1[[#This Row],[Calculated sales]]-Table1_1[[#This Row],[Total cost]]</f>
        <v>41700</v>
      </c>
      <c r="V557" s="4">
        <f>IFERROR(Table1_1[[#This Row],[Profit/Loss]]/Table1_1[[#This Row],[Calculated sales]],0)</f>
        <v>0.41406017277330948</v>
      </c>
    </row>
    <row r="558" spans="1:22" x14ac:dyDescent="0.25">
      <c r="A558" s="4" t="s">
        <v>704</v>
      </c>
      <c r="B558" s="5">
        <v>45597</v>
      </c>
      <c r="C558" s="4">
        <f>YEAR(Table1_1[[#This Row],[Order Dates]])</f>
        <v>2024</v>
      </c>
      <c r="D558" s="6">
        <f>MONTH(Table1_1[[#This Row],[Order Dates]])</f>
        <v>11</v>
      </c>
      <c r="E558" s="4" t="s">
        <v>56</v>
      </c>
      <c r="F558" s="4" t="s">
        <v>57</v>
      </c>
      <c r="G558" s="4" t="s">
        <v>91</v>
      </c>
      <c r="H558" s="4" t="str">
        <f>TRIM(CLEAN(SUBSTITUTE(Table1_1[[#This Row],[Salesperson]],"   "," ")))</f>
        <v>Anjali Menon</v>
      </c>
      <c r="I558" s="4" t="s">
        <v>52</v>
      </c>
      <c r="J558" s="4" t="s">
        <v>46</v>
      </c>
      <c r="K558" s="4" t="s">
        <v>179</v>
      </c>
      <c r="L558" s="4" t="s">
        <v>236</v>
      </c>
      <c r="M558" s="4" t="s">
        <v>49</v>
      </c>
      <c r="N558" s="4" t="s">
        <v>24</v>
      </c>
      <c r="O558" s="4">
        <v>39</v>
      </c>
      <c r="P558" s="7">
        <v>2300</v>
      </c>
      <c r="Q558" s="8">
        <v>0.15</v>
      </c>
      <c r="R558" s="7">
        <v>1550</v>
      </c>
      <c r="S558" s="7">
        <f>Table1_1[[#This Row],[Units Sold]]*Table1_1[[#This Row],[Unit Price]]*(1-Table1_1[[#This Row],[Discount %]])</f>
        <v>76245</v>
      </c>
      <c r="T558" s="7">
        <f>Table1_1[[#This Row],[Units Sold]]*Table1_1[[#This Row],[Unit Cost]]</f>
        <v>60450</v>
      </c>
      <c r="U558" s="7">
        <f>Table1_1[[#This Row],[Calculated sales]]-Table1_1[[#This Row],[Total cost]]</f>
        <v>15795</v>
      </c>
      <c r="V558" s="4">
        <f>IFERROR(Table1_1[[#This Row],[Profit/Loss]]/Table1_1[[#This Row],[Calculated sales]],0)</f>
        <v>0.20716112531969311</v>
      </c>
    </row>
    <row r="559" spans="1:22" x14ac:dyDescent="0.25">
      <c r="A559" s="4" t="s">
        <v>705</v>
      </c>
      <c r="B559" s="5">
        <v>45597</v>
      </c>
      <c r="C559" s="4">
        <f>YEAR(Table1_1[[#This Row],[Order Dates]])</f>
        <v>2024</v>
      </c>
      <c r="D559" s="6">
        <f>MONTH(Table1_1[[#This Row],[Order Dates]])</f>
        <v>11</v>
      </c>
      <c r="E559" s="4" t="s">
        <v>42</v>
      </c>
      <c r="F559" s="4" t="s">
        <v>43</v>
      </c>
      <c r="G559" s="4" t="s">
        <v>64</v>
      </c>
      <c r="H559" s="4" t="str">
        <f>TRIM(CLEAN(SUBSTITUTE(Table1_1[[#This Row],[Salesperson]],"   "," ")))</f>
        <v>Aditya Verma</v>
      </c>
      <c r="I559" s="4" t="s">
        <v>92</v>
      </c>
      <c r="J559" s="4" t="s">
        <v>27</v>
      </c>
      <c r="K559" s="4" t="s">
        <v>53</v>
      </c>
      <c r="L559" s="4" t="s">
        <v>1669</v>
      </c>
      <c r="M559" s="4" t="s">
        <v>49</v>
      </c>
      <c r="N559" s="4" t="s">
        <v>119</v>
      </c>
      <c r="O559" s="4">
        <v>2</v>
      </c>
      <c r="P559" s="7">
        <v>40890</v>
      </c>
      <c r="Q559" s="8">
        <v>0.05</v>
      </c>
      <c r="R559" s="7">
        <v>29000</v>
      </c>
      <c r="S559" s="7">
        <f>Table1_1[[#This Row],[Units Sold]]*Table1_1[[#This Row],[Unit Price]]*(1-Table1_1[[#This Row],[Discount %]])</f>
        <v>77691</v>
      </c>
      <c r="T559" s="7">
        <f>Table1_1[[#This Row],[Units Sold]]*Table1_1[[#This Row],[Unit Cost]]</f>
        <v>58000</v>
      </c>
      <c r="U559" s="7">
        <f>Table1_1[[#This Row],[Calculated sales]]-Table1_1[[#This Row],[Total cost]]</f>
        <v>19691</v>
      </c>
      <c r="V559" s="4">
        <f>IFERROR(Table1_1[[#This Row],[Profit/Loss]]/Table1_1[[#This Row],[Calculated sales]],0)</f>
        <v>0.25345278088839118</v>
      </c>
    </row>
    <row r="560" spans="1:22" x14ac:dyDescent="0.25">
      <c r="A560" s="4" t="s">
        <v>706</v>
      </c>
      <c r="B560" s="5">
        <v>45597</v>
      </c>
      <c r="C560" s="4">
        <f>YEAR(Table1_1[[#This Row],[Order Dates]])</f>
        <v>2024</v>
      </c>
      <c r="D560" s="6">
        <f>MONTH(Table1_1[[#This Row],[Order Dates]])</f>
        <v>11</v>
      </c>
      <c r="E560" s="4" t="s">
        <v>37</v>
      </c>
      <c r="F560" s="4" t="s">
        <v>161</v>
      </c>
      <c r="G560" s="4" t="s">
        <v>39</v>
      </c>
      <c r="H560" s="4" t="str">
        <f>TRIM(CLEAN(SUBSTITUTE(Table1_1[[#This Row],[Salesperson]],"   "," ")))</f>
        <v>Sourav Das</v>
      </c>
      <c r="I560" s="4" t="s">
        <v>19</v>
      </c>
      <c r="J560" s="4" t="s">
        <v>20</v>
      </c>
      <c r="K560" s="4" t="s">
        <v>33</v>
      </c>
      <c r="L560" s="4" t="s">
        <v>1678</v>
      </c>
      <c r="M560" s="4" t="s">
        <v>49</v>
      </c>
      <c r="N560" s="4" t="s">
        <v>24</v>
      </c>
      <c r="O560" s="4">
        <v>2</v>
      </c>
      <c r="P560" s="7">
        <v>102140</v>
      </c>
      <c r="Q560" s="8">
        <v>0.05</v>
      </c>
      <c r="R560" s="7">
        <v>57430</v>
      </c>
      <c r="S560" s="7">
        <f>Table1_1[[#This Row],[Units Sold]]*Table1_1[[#This Row],[Unit Price]]*(1-Table1_1[[#This Row],[Discount %]])</f>
        <v>194066</v>
      </c>
      <c r="T560" s="7">
        <f>Table1_1[[#This Row],[Units Sold]]*Table1_1[[#This Row],[Unit Cost]]</f>
        <v>114860</v>
      </c>
      <c r="U560" s="7">
        <f>Table1_1[[#This Row],[Calculated sales]]-Table1_1[[#This Row],[Total cost]]</f>
        <v>79206</v>
      </c>
      <c r="V560" s="4">
        <f>IFERROR(Table1_1[[#This Row],[Profit/Loss]]/Table1_1[[#This Row],[Calculated sales]],0)</f>
        <v>0.40813949893335255</v>
      </c>
    </row>
    <row r="561" spans="1:22" x14ac:dyDescent="0.25">
      <c r="A561" s="4" t="s">
        <v>707</v>
      </c>
      <c r="B561" s="5">
        <v>45598</v>
      </c>
      <c r="C561" s="4">
        <f>YEAR(Table1_1[[#This Row],[Order Dates]])</f>
        <v>2024</v>
      </c>
      <c r="D561" s="6">
        <f>MONTH(Table1_1[[#This Row],[Order Dates]])</f>
        <v>11</v>
      </c>
      <c r="E561" s="4" t="s">
        <v>42</v>
      </c>
      <c r="F561" s="4" t="s">
        <v>265</v>
      </c>
      <c r="G561" s="4" t="s">
        <v>64</v>
      </c>
      <c r="H561" s="4" t="str">
        <f>TRIM(CLEAN(SUBSTITUTE(Table1_1[[#This Row],[Salesperson]],"   "," ")))</f>
        <v>Aditya Verma</v>
      </c>
      <c r="I561" s="4" t="s">
        <v>92</v>
      </c>
      <c r="J561" s="4" t="s">
        <v>20</v>
      </c>
      <c r="K561" s="4" t="s">
        <v>33</v>
      </c>
      <c r="L561" s="4" t="s">
        <v>1678</v>
      </c>
      <c r="M561" s="4" t="s">
        <v>49</v>
      </c>
      <c r="N561" s="4" t="s">
        <v>24</v>
      </c>
      <c r="O561" s="4">
        <v>2</v>
      </c>
      <c r="P561" s="7">
        <v>108360</v>
      </c>
      <c r="Q561" s="8">
        <v>0.12</v>
      </c>
      <c r="R561" s="7">
        <v>66440</v>
      </c>
      <c r="S561" s="7">
        <f>Table1_1[[#This Row],[Units Sold]]*Table1_1[[#This Row],[Unit Price]]*(1-Table1_1[[#This Row],[Discount %]])</f>
        <v>190713.60000000001</v>
      </c>
      <c r="T561" s="7">
        <f>Table1_1[[#This Row],[Units Sold]]*Table1_1[[#This Row],[Unit Cost]]</f>
        <v>132880</v>
      </c>
      <c r="U561" s="7">
        <f>Table1_1[[#This Row],[Calculated sales]]-Table1_1[[#This Row],[Total cost]]</f>
        <v>57833.600000000006</v>
      </c>
      <c r="V561" s="4">
        <f>IFERROR(Table1_1[[#This Row],[Profit/Loss]]/Table1_1[[#This Row],[Calculated sales]],0)</f>
        <v>0.30324843115540789</v>
      </c>
    </row>
    <row r="562" spans="1:22" x14ac:dyDescent="0.25">
      <c r="A562" s="4" t="s">
        <v>708</v>
      </c>
      <c r="B562" s="5">
        <v>45599</v>
      </c>
      <c r="C562" s="4">
        <f>YEAR(Table1_1[[#This Row],[Order Dates]])</f>
        <v>2024</v>
      </c>
      <c r="D562" s="6">
        <f>MONTH(Table1_1[[#This Row],[Order Dates]])</f>
        <v>11</v>
      </c>
      <c r="E562" s="4" t="s">
        <v>16</v>
      </c>
      <c r="F562" s="4" t="s">
        <v>191</v>
      </c>
      <c r="G562" s="4" t="s">
        <v>32</v>
      </c>
      <c r="H562" s="4" t="str">
        <f>TRIM(CLEAN(SUBSTITUTE(Table1_1[[#This Row],[Salesperson]],"   "," ")))</f>
        <v>Neha Deshpande</v>
      </c>
      <c r="I562" s="4" t="s">
        <v>19</v>
      </c>
      <c r="J562" s="4" t="s">
        <v>20</v>
      </c>
      <c r="K562" s="4" t="s">
        <v>87</v>
      </c>
      <c r="L562" s="4" t="s">
        <v>1674</v>
      </c>
      <c r="M562" s="4" t="s">
        <v>40</v>
      </c>
      <c r="N562" s="4" t="s">
        <v>24</v>
      </c>
      <c r="O562" s="4">
        <v>3</v>
      </c>
      <c r="P562" s="7">
        <v>52050</v>
      </c>
      <c r="Q562" s="8">
        <v>0</v>
      </c>
      <c r="R562" s="7">
        <v>38650</v>
      </c>
      <c r="S562" s="7">
        <f>Table1_1[[#This Row],[Units Sold]]*Table1_1[[#This Row],[Unit Price]]*(1-Table1_1[[#This Row],[Discount %]])</f>
        <v>156150</v>
      </c>
      <c r="T562" s="7">
        <f>Table1_1[[#This Row],[Units Sold]]*Table1_1[[#This Row],[Unit Cost]]</f>
        <v>115950</v>
      </c>
      <c r="U562" s="7">
        <f>Table1_1[[#This Row],[Calculated sales]]-Table1_1[[#This Row],[Total cost]]</f>
        <v>40200</v>
      </c>
      <c r="V562" s="4">
        <f>IFERROR(Table1_1[[#This Row],[Profit/Loss]]/Table1_1[[#This Row],[Calculated sales]],0)</f>
        <v>0.2574447646493756</v>
      </c>
    </row>
    <row r="563" spans="1:22" x14ac:dyDescent="0.25">
      <c r="A563" s="4" t="s">
        <v>709</v>
      </c>
      <c r="B563" s="5">
        <v>45600</v>
      </c>
      <c r="C563" s="4">
        <f>YEAR(Table1_1[[#This Row],[Order Dates]])</f>
        <v>2024</v>
      </c>
      <c r="D563" s="6">
        <f>MONTH(Table1_1[[#This Row],[Order Dates]])</f>
        <v>11</v>
      </c>
      <c r="E563" s="4" t="s">
        <v>37</v>
      </c>
      <c r="F563" s="4" t="s">
        <v>161</v>
      </c>
      <c r="G563" s="4" t="s">
        <v>68</v>
      </c>
      <c r="H563" s="4" t="str">
        <f>TRIM(CLEAN(SUBSTITUTE(Table1_1[[#This Row],[Salesperson]],"   "," ")))</f>
        <v>Ritika Ghosh</v>
      </c>
      <c r="I563" s="4" t="s">
        <v>19</v>
      </c>
      <c r="J563" s="4" t="s">
        <v>59</v>
      </c>
      <c r="K563" s="4" t="s">
        <v>154</v>
      </c>
      <c r="L563" s="4" t="s">
        <v>155</v>
      </c>
      <c r="M563" s="4" t="s">
        <v>40</v>
      </c>
      <c r="N563" s="4" t="s">
        <v>119</v>
      </c>
      <c r="O563" s="4">
        <v>8</v>
      </c>
      <c r="P563" s="7">
        <v>11870</v>
      </c>
      <c r="Q563" s="8">
        <v>0.1</v>
      </c>
      <c r="R563" s="7">
        <v>8110</v>
      </c>
      <c r="S563" s="7">
        <f>Table1_1[[#This Row],[Units Sold]]*Table1_1[[#This Row],[Unit Price]]*(1-Table1_1[[#This Row],[Discount %]])</f>
        <v>85464</v>
      </c>
      <c r="T563" s="7">
        <f>Table1_1[[#This Row],[Units Sold]]*Table1_1[[#This Row],[Unit Cost]]</f>
        <v>64880</v>
      </c>
      <c r="U563" s="7">
        <f>Table1_1[[#This Row],[Calculated sales]]-Table1_1[[#This Row],[Total cost]]</f>
        <v>20584</v>
      </c>
      <c r="V563" s="4">
        <f>IFERROR(Table1_1[[#This Row],[Profit/Loss]]/Table1_1[[#This Row],[Calculated sales]],0)</f>
        <v>0.24084994851633437</v>
      </c>
    </row>
    <row r="564" spans="1:22" x14ac:dyDescent="0.25">
      <c r="A564" s="4" t="s">
        <v>710</v>
      </c>
      <c r="B564" s="5">
        <v>45600</v>
      </c>
      <c r="C564" s="4">
        <f>YEAR(Table1_1[[#This Row],[Order Dates]])</f>
        <v>2024</v>
      </c>
      <c r="D564" s="6">
        <f>MONTH(Table1_1[[#This Row],[Order Dates]])</f>
        <v>11</v>
      </c>
      <c r="E564" s="4" t="s">
        <v>76</v>
      </c>
      <c r="F564" s="4" t="s">
        <v>150</v>
      </c>
      <c r="G564" s="4" t="s">
        <v>78</v>
      </c>
      <c r="H564" s="4" t="str">
        <f>TRIM(CLEAN(SUBSTITUTE(Table1_1[[#This Row],[Salesperson]],"   "," ")))</f>
        <v>Pooja Chouhan</v>
      </c>
      <c r="I564" s="4" t="s">
        <v>52</v>
      </c>
      <c r="J564" s="4" t="s">
        <v>46</v>
      </c>
      <c r="K564" s="4" t="s">
        <v>47</v>
      </c>
      <c r="L564" s="4" t="s">
        <v>259</v>
      </c>
      <c r="M564" s="4" t="s">
        <v>23</v>
      </c>
      <c r="N564" s="4" t="s">
        <v>94</v>
      </c>
      <c r="O564" s="4">
        <v>18</v>
      </c>
      <c r="P564" s="7">
        <v>2820</v>
      </c>
      <c r="Q564" s="8">
        <v>0.1</v>
      </c>
      <c r="R564" s="7">
        <v>2140</v>
      </c>
      <c r="S564" s="7">
        <f>Table1_1[[#This Row],[Units Sold]]*Table1_1[[#This Row],[Unit Price]]*(1-Table1_1[[#This Row],[Discount %]])</f>
        <v>45684</v>
      </c>
      <c r="T564" s="7">
        <f>Table1_1[[#This Row],[Units Sold]]*Table1_1[[#This Row],[Unit Cost]]</f>
        <v>38520</v>
      </c>
      <c r="U564" s="7">
        <f>Table1_1[[#This Row],[Calculated sales]]-Table1_1[[#This Row],[Total cost]]</f>
        <v>7164</v>
      </c>
      <c r="V564" s="4">
        <f>IFERROR(Table1_1[[#This Row],[Profit/Loss]]/Table1_1[[#This Row],[Calculated sales]],0)</f>
        <v>0.15681639085894405</v>
      </c>
    </row>
    <row r="565" spans="1:22" x14ac:dyDescent="0.25">
      <c r="A565" s="4" t="s">
        <v>711</v>
      </c>
      <c r="B565" s="5">
        <v>45600</v>
      </c>
      <c r="C565" s="4">
        <f>YEAR(Table1_1[[#This Row],[Order Dates]])</f>
        <v>2024</v>
      </c>
      <c r="D565" s="6">
        <f>MONTH(Table1_1[[#This Row],[Order Dates]])</f>
        <v>11</v>
      </c>
      <c r="E565" s="4" t="s">
        <v>56</v>
      </c>
      <c r="F565" s="4" t="s">
        <v>72</v>
      </c>
      <c r="G565" s="4" t="s">
        <v>91</v>
      </c>
      <c r="H565" s="4" t="str">
        <f>TRIM(CLEAN(SUBSTITUTE(Table1_1[[#This Row],[Salesperson]],"   "," ")))</f>
        <v>Anjali Menon</v>
      </c>
      <c r="I565" s="4" t="s">
        <v>19</v>
      </c>
      <c r="J565" s="4" t="s">
        <v>20</v>
      </c>
      <c r="K565" s="4" t="s">
        <v>21</v>
      </c>
      <c r="L565" s="4" t="s">
        <v>1670</v>
      </c>
      <c r="M565" s="4" t="s">
        <v>23</v>
      </c>
      <c r="N565" s="4" t="s">
        <v>24</v>
      </c>
      <c r="O565" s="4">
        <v>3</v>
      </c>
      <c r="P565" s="7">
        <v>9070</v>
      </c>
      <c r="Q565" s="8">
        <v>0.12</v>
      </c>
      <c r="R565" s="7">
        <v>6990</v>
      </c>
      <c r="S565" s="7">
        <f>Table1_1[[#This Row],[Units Sold]]*Table1_1[[#This Row],[Unit Price]]*(1-Table1_1[[#This Row],[Discount %]])</f>
        <v>23944.799999999999</v>
      </c>
      <c r="T565" s="7">
        <f>Table1_1[[#This Row],[Units Sold]]*Table1_1[[#This Row],[Unit Cost]]</f>
        <v>20970</v>
      </c>
      <c r="U565" s="7">
        <f>Table1_1[[#This Row],[Calculated sales]]-Table1_1[[#This Row],[Total cost]]</f>
        <v>2974.7999999999993</v>
      </c>
      <c r="V565" s="4">
        <f>IFERROR(Table1_1[[#This Row],[Profit/Loss]]/Table1_1[[#This Row],[Calculated sales]],0)</f>
        <v>0.12423574220707626</v>
      </c>
    </row>
    <row r="566" spans="1:22" x14ac:dyDescent="0.25">
      <c r="A566" s="4" t="s">
        <v>712</v>
      </c>
      <c r="B566" s="5">
        <v>45600</v>
      </c>
      <c r="C566" s="4">
        <f>YEAR(Table1_1[[#This Row],[Order Dates]])</f>
        <v>2024</v>
      </c>
      <c r="D566" s="6">
        <f>MONTH(Table1_1[[#This Row],[Order Dates]])</f>
        <v>11</v>
      </c>
      <c r="E566" s="4" t="s">
        <v>42</v>
      </c>
      <c r="F566" s="4" t="s">
        <v>123</v>
      </c>
      <c r="G566" s="4" t="s">
        <v>44</v>
      </c>
      <c r="H566" s="4" t="str">
        <f>TRIM(CLEAN(SUBSTITUTE(Table1_1[[#This Row],[Salesperson]],"   "," ")))</f>
        <v>Simran Kaur</v>
      </c>
      <c r="I566" s="4" t="s">
        <v>92</v>
      </c>
      <c r="J566" s="4" t="s">
        <v>46</v>
      </c>
      <c r="K566" s="4" t="s">
        <v>47</v>
      </c>
      <c r="L566" s="4" t="s">
        <v>48</v>
      </c>
      <c r="M566" s="4" t="s">
        <v>23</v>
      </c>
      <c r="N566" s="4" t="s">
        <v>24</v>
      </c>
      <c r="O566" s="4">
        <v>38</v>
      </c>
      <c r="P566" s="7">
        <v>1830</v>
      </c>
      <c r="Q566" s="8">
        <v>0.1</v>
      </c>
      <c r="R566" s="7">
        <v>1380</v>
      </c>
      <c r="S566" s="7">
        <f>Table1_1[[#This Row],[Units Sold]]*Table1_1[[#This Row],[Unit Price]]*(1-Table1_1[[#This Row],[Discount %]])</f>
        <v>62586</v>
      </c>
      <c r="T566" s="7">
        <f>Table1_1[[#This Row],[Units Sold]]*Table1_1[[#This Row],[Unit Cost]]</f>
        <v>52440</v>
      </c>
      <c r="U566" s="7">
        <f>Table1_1[[#This Row],[Calculated sales]]-Table1_1[[#This Row],[Total cost]]</f>
        <v>10146</v>
      </c>
      <c r="V566" s="4">
        <f>IFERROR(Table1_1[[#This Row],[Profit/Loss]]/Table1_1[[#This Row],[Calculated sales]],0)</f>
        <v>0.16211293260473589</v>
      </c>
    </row>
    <row r="567" spans="1:22" x14ac:dyDescent="0.25">
      <c r="A567" s="4" t="s">
        <v>713</v>
      </c>
      <c r="B567" s="5">
        <v>45601</v>
      </c>
      <c r="C567" s="4">
        <f>YEAR(Table1_1[[#This Row],[Order Dates]])</f>
        <v>2024</v>
      </c>
      <c r="D567" s="6">
        <f>MONTH(Table1_1[[#This Row],[Order Dates]])</f>
        <v>11</v>
      </c>
      <c r="E567" s="4" t="s">
        <v>56</v>
      </c>
      <c r="F567" s="4" t="s">
        <v>103</v>
      </c>
      <c r="G567" s="4" t="s">
        <v>58</v>
      </c>
      <c r="H567" s="4" t="str">
        <f>TRIM(CLEAN(SUBSTITUTE(Table1_1[[#This Row],[Salesperson]],"   "," ")))</f>
        <v>Karthik Raman</v>
      </c>
      <c r="I567" s="4" t="s">
        <v>19</v>
      </c>
      <c r="J567" s="4" t="s">
        <v>46</v>
      </c>
      <c r="K567" s="4" t="s">
        <v>47</v>
      </c>
      <c r="L567" s="4" t="s">
        <v>48</v>
      </c>
      <c r="M567" s="4" t="s">
        <v>49</v>
      </c>
      <c r="N567" s="4" t="s">
        <v>24</v>
      </c>
      <c r="O567" s="4">
        <v>8</v>
      </c>
      <c r="P567" s="7">
        <v>1890</v>
      </c>
      <c r="Q567" s="8">
        <v>0</v>
      </c>
      <c r="R567" s="7">
        <v>1370</v>
      </c>
      <c r="S567" s="7">
        <f>Table1_1[[#This Row],[Units Sold]]*Table1_1[[#This Row],[Unit Price]]*(1-Table1_1[[#This Row],[Discount %]])</f>
        <v>15120</v>
      </c>
      <c r="T567" s="7">
        <f>Table1_1[[#This Row],[Units Sold]]*Table1_1[[#This Row],[Unit Cost]]</f>
        <v>10960</v>
      </c>
      <c r="U567" s="7">
        <f>Table1_1[[#This Row],[Calculated sales]]-Table1_1[[#This Row],[Total cost]]</f>
        <v>4160</v>
      </c>
      <c r="V567" s="4">
        <f>IFERROR(Table1_1[[#This Row],[Profit/Loss]]/Table1_1[[#This Row],[Calculated sales]],0)</f>
        <v>0.27513227513227512</v>
      </c>
    </row>
    <row r="568" spans="1:22" x14ac:dyDescent="0.25">
      <c r="A568" s="4" t="s">
        <v>714</v>
      </c>
      <c r="B568" s="5">
        <v>45601</v>
      </c>
      <c r="C568" s="4">
        <f>YEAR(Table1_1[[#This Row],[Order Dates]])</f>
        <v>2024</v>
      </c>
      <c r="D568" s="6">
        <f>MONTH(Table1_1[[#This Row],[Order Dates]])</f>
        <v>11</v>
      </c>
      <c r="E568" s="4" t="s">
        <v>16</v>
      </c>
      <c r="F568" s="4" t="s">
        <v>191</v>
      </c>
      <c r="G568" s="4" t="s">
        <v>32</v>
      </c>
      <c r="H568" s="4" t="str">
        <f>TRIM(CLEAN(SUBSTITUTE(Table1_1[[#This Row],[Salesperson]],"   "," ")))</f>
        <v>Neha Deshpande</v>
      </c>
      <c r="I568" s="4" t="s">
        <v>52</v>
      </c>
      <c r="J568" s="4" t="s">
        <v>27</v>
      </c>
      <c r="K568" s="4" t="s">
        <v>28</v>
      </c>
      <c r="L568" s="4" t="s">
        <v>1668</v>
      </c>
      <c r="M568" s="4" t="s">
        <v>23</v>
      </c>
      <c r="N568" s="4" t="s">
        <v>94</v>
      </c>
      <c r="O568" s="4">
        <v>6</v>
      </c>
      <c r="P568" s="7">
        <v>27270</v>
      </c>
      <c r="Q568" s="8">
        <v>0</v>
      </c>
      <c r="R568" s="7">
        <v>21040</v>
      </c>
      <c r="S568" s="7">
        <f>Table1_1[[#This Row],[Units Sold]]*Table1_1[[#This Row],[Unit Price]]*(1-Table1_1[[#This Row],[Discount %]])</f>
        <v>163620</v>
      </c>
      <c r="T568" s="7">
        <f>Table1_1[[#This Row],[Units Sold]]*Table1_1[[#This Row],[Unit Cost]]</f>
        <v>126240</v>
      </c>
      <c r="U568" s="7">
        <f>Table1_1[[#This Row],[Calculated sales]]-Table1_1[[#This Row],[Total cost]]</f>
        <v>37380</v>
      </c>
      <c r="V568" s="4">
        <f>IFERROR(Table1_1[[#This Row],[Profit/Loss]]/Table1_1[[#This Row],[Calculated sales]],0)</f>
        <v>0.22845617895122847</v>
      </c>
    </row>
    <row r="569" spans="1:22" x14ac:dyDescent="0.25">
      <c r="A569" s="4" t="s">
        <v>715</v>
      </c>
      <c r="B569" s="5">
        <v>45601</v>
      </c>
      <c r="C569" s="4">
        <f>YEAR(Table1_1[[#This Row],[Order Dates]])</f>
        <v>2024</v>
      </c>
      <c r="D569" s="6">
        <f>MONTH(Table1_1[[#This Row],[Order Dates]])</f>
        <v>11</v>
      </c>
      <c r="E569" s="4" t="s">
        <v>16</v>
      </c>
      <c r="F569" s="4" t="s">
        <v>17</v>
      </c>
      <c r="G569" s="4" t="s">
        <v>32</v>
      </c>
      <c r="H569" s="4" t="str">
        <f>TRIM(CLEAN(SUBSTITUTE(Table1_1[[#This Row],[Salesperson]],"   "," ")))</f>
        <v>Neha Deshpande</v>
      </c>
      <c r="I569" s="4" t="s">
        <v>52</v>
      </c>
      <c r="J569" s="4" t="s">
        <v>20</v>
      </c>
      <c r="K569" s="4" t="s">
        <v>87</v>
      </c>
      <c r="L569" s="4" t="s">
        <v>1672</v>
      </c>
      <c r="M569" s="4" t="s">
        <v>49</v>
      </c>
      <c r="N569" s="4" t="s">
        <v>24</v>
      </c>
      <c r="O569" s="4">
        <v>3</v>
      </c>
      <c r="P569" s="7">
        <v>30820</v>
      </c>
      <c r="Q569" s="8">
        <v>0</v>
      </c>
      <c r="R569" s="7">
        <v>23050</v>
      </c>
      <c r="S569" s="7">
        <f>Table1_1[[#This Row],[Units Sold]]*Table1_1[[#This Row],[Unit Price]]*(1-Table1_1[[#This Row],[Discount %]])</f>
        <v>92460</v>
      </c>
      <c r="T569" s="7">
        <f>Table1_1[[#This Row],[Units Sold]]*Table1_1[[#This Row],[Unit Cost]]</f>
        <v>69150</v>
      </c>
      <c r="U569" s="7">
        <f>Table1_1[[#This Row],[Calculated sales]]-Table1_1[[#This Row],[Total cost]]</f>
        <v>23310</v>
      </c>
      <c r="V569" s="4">
        <f>IFERROR(Table1_1[[#This Row],[Profit/Loss]]/Table1_1[[#This Row],[Calculated sales]],0)</f>
        <v>0.25210902011680725</v>
      </c>
    </row>
    <row r="570" spans="1:22" x14ac:dyDescent="0.25">
      <c r="A570" s="4" t="s">
        <v>716</v>
      </c>
      <c r="B570" s="5">
        <v>45602</v>
      </c>
      <c r="C570" s="4">
        <f>YEAR(Table1_1[[#This Row],[Order Dates]])</f>
        <v>2024</v>
      </c>
      <c r="D570" s="6">
        <f>MONTH(Table1_1[[#This Row],[Order Dates]])</f>
        <v>11</v>
      </c>
      <c r="E570" s="4" t="s">
        <v>56</v>
      </c>
      <c r="F570" s="4" t="s">
        <v>103</v>
      </c>
      <c r="G570" s="4" t="s">
        <v>58</v>
      </c>
      <c r="H570" s="4" t="str">
        <f>TRIM(CLEAN(SUBSTITUTE(Table1_1[[#This Row],[Salesperson]],"   "," ")))</f>
        <v>Karthik Raman</v>
      </c>
      <c r="I570" s="4" t="s">
        <v>19</v>
      </c>
      <c r="J570" s="4" t="s">
        <v>20</v>
      </c>
      <c r="K570" s="4" t="s">
        <v>87</v>
      </c>
      <c r="L570" s="4" t="s">
        <v>1674</v>
      </c>
      <c r="M570" s="4" t="s">
        <v>23</v>
      </c>
      <c r="N570" s="4" t="s">
        <v>94</v>
      </c>
      <c r="O570" s="4">
        <v>2</v>
      </c>
      <c r="P570" s="7">
        <v>50030</v>
      </c>
      <c r="Q570" s="8">
        <v>0.2</v>
      </c>
      <c r="R570" s="7">
        <v>37220</v>
      </c>
      <c r="S570" s="7">
        <f>Table1_1[[#This Row],[Units Sold]]*Table1_1[[#This Row],[Unit Price]]*(1-Table1_1[[#This Row],[Discount %]])</f>
        <v>80048</v>
      </c>
      <c r="T570" s="7">
        <f>Table1_1[[#This Row],[Units Sold]]*Table1_1[[#This Row],[Unit Cost]]</f>
        <v>74440</v>
      </c>
      <c r="U570" s="7">
        <f>Table1_1[[#This Row],[Calculated sales]]-Table1_1[[#This Row],[Total cost]]</f>
        <v>5608</v>
      </c>
      <c r="V570" s="4">
        <f>IFERROR(Table1_1[[#This Row],[Profit/Loss]]/Table1_1[[#This Row],[Calculated sales]],0)</f>
        <v>7.0057965220867477E-2</v>
      </c>
    </row>
    <row r="571" spans="1:22" x14ac:dyDescent="0.25">
      <c r="A571" s="4" t="s">
        <v>717</v>
      </c>
      <c r="B571" s="5">
        <v>45602</v>
      </c>
      <c r="C571" s="4">
        <f>YEAR(Table1_1[[#This Row],[Order Dates]])</f>
        <v>2024</v>
      </c>
      <c r="D571" s="6">
        <f>MONTH(Table1_1[[#This Row],[Order Dates]])</f>
        <v>11</v>
      </c>
      <c r="E571" s="4" t="s">
        <v>16</v>
      </c>
      <c r="F571" s="4" t="s">
        <v>17</v>
      </c>
      <c r="G571" s="4" t="s">
        <v>18</v>
      </c>
      <c r="H571" s="4" t="str">
        <f>TRIM(CLEAN(SUBSTITUTE(Table1_1[[#This Row],[Salesperson]],"   "," ")))</f>
        <v>Imran Sheikh</v>
      </c>
      <c r="I571" s="4" t="s">
        <v>19</v>
      </c>
      <c r="J571" s="4" t="s">
        <v>20</v>
      </c>
      <c r="K571" s="4" t="s">
        <v>21</v>
      </c>
      <c r="L571" s="4" t="s">
        <v>1682</v>
      </c>
      <c r="M571" s="4" t="s">
        <v>49</v>
      </c>
      <c r="N571" s="4" t="s">
        <v>24</v>
      </c>
      <c r="O571" s="4">
        <v>12</v>
      </c>
      <c r="P571" s="7">
        <v>9340</v>
      </c>
      <c r="Q571" s="8">
        <v>0.15</v>
      </c>
      <c r="R571" s="7">
        <v>7210</v>
      </c>
      <c r="S571" s="7">
        <f>Table1_1[[#This Row],[Units Sold]]*Table1_1[[#This Row],[Unit Price]]*(1-Table1_1[[#This Row],[Discount %]])</f>
        <v>95268</v>
      </c>
      <c r="T571" s="7">
        <f>Table1_1[[#This Row],[Units Sold]]*Table1_1[[#This Row],[Unit Cost]]</f>
        <v>86520</v>
      </c>
      <c r="U571" s="7">
        <f>Table1_1[[#This Row],[Calculated sales]]-Table1_1[[#This Row],[Total cost]]</f>
        <v>8748</v>
      </c>
      <c r="V571" s="4">
        <f>IFERROR(Table1_1[[#This Row],[Profit/Loss]]/Table1_1[[#This Row],[Calculated sales]],0)</f>
        <v>9.1825166897594152E-2</v>
      </c>
    </row>
    <row r="572" spans="1:22" x14ac:dyDescent="0.25">
      <c r="A572" s="4" t="s">
        <v>718</v>
      </c>
      <c r="B572" s="5">
        <v>45602</v>
      </c>
      <c r="C572" s="4">
        <f>YEAR(Table1_1[[#This Row],[Order Dates]])</f>
        <v>2024</v>
      </c>
      <c r="D572" s="6">
        <f>MONTH(Table1_1[[#This Row],[Order Dates]])</f>
        <v>11</v>
      </c>
      <c r="E572" s="4" t="s">
        <v>56</v>
      </c>
      <c r="F572" s="4" t="s">
        <v>127</v>
      </c>
      <c r="G572" s="4" t="s">
        <v>134</v>
      </c>
      <c r="H572" s="4" t="str">
        <f>TRIM(CLEAN(SUBSTITUTE(Table1_1[[#This Row],[Salesperson]],"   "," ")))</f>
        <v>Divya Nair</v>
      </c>
      <c r="I572" s="4" t="s">
        <v>19</v>
      </c>
      <c r="J572" s="4" t="s">
        <v>27</v>
      </c>
      <c r="K572" s="4" t="s">
        <v>214</v>
      </c>
      <c r="L572" s="4" t="s">
        <v>1680</v>
      </c>
      <c r="M572" s="4" t="s">
        <v>40</v>
      </c>
      <c r="N572" s="4" t="s">
        <v>24</v>
      </c>
      <c r="O572" s="4">
        <v>4</v>
      </c>
      <c r="P572" s="7">
        <v>33880</v>
      </c>
      <c r="Q572" s="8">
        <v>0.15</v>
      </c>
      <c r="R572" s="7">
        <v>19820</v>
      </c>
      <c r="S572" s="7">
        <f>Table1_1[[#This Row],[Units Sold]]*Table1_1[[#This Row],[Unit Price]]*(1-Table1_1[[#This Row],[Discount %]])</f>
        <v>115192</v>
      </c>
      <c r="T572" s="7">
        <f>Table1_1[[#This Row],[Units Sold]]*Table1_1[[#This Row],[Unit Cost]]</f>
        <v>79280</v>
      </c>
      <c r="U572" s="7">
        <f>Table1_1[[#This Row],[Calculated sales]]-Table1_1[[#This Row],[Total cost]]</f>
        <v>35912</v>
      </c>
      <c r="V572" s="4">
        <f>IFERROR(Table1_1[[#This Row],[Profit/Loss]]/Table1_1[[#This Row],[Calculated sales]],0)</f>
        <v>0.31175776095562191</v>
      </c>
    </row>
    <row r="573" spans="1:22" x14ac:dyDescent="0.25">
      <c r="A573" s="4" t="s">
        <v>719</v>
      </c>
      <c r="B573" s="5">
        <v>45604</v>
      </c>
      <c r="C573" s="4">
        <f>YEAR(Table1_1[[#This Row],[Order Dates]])</f>
        <v>2024</v>
      </c>
      <c r="D573" s="6">
        <f>MONTH(Table1_1[[#This Row],[Order Dates]])</f>
        <v>11</v>
      </c>
      <c r="E573" s="4" t="s">
        <v>56</v>
      </c>
      <c r="F573" s="4" t="s">
        <v>57</v>
      </c>
      <c r="G573" s="4" t="s">
        <v>58</v>
      </c>
      <c r="H573" s="4" t="str">
        <f>TRIM(CLEAN(SUBSTITUTE(Table1_1[[#This Row],[Salesperson]],"   "," ")))</f>
        <v>Karthik Raman</v>
      </c>
      <c r="I573" s="4" t="s">
        <v>45</v>
      </c>
      <c r="J573" s="4" t="s">
        <v>20</v>
      </c>
      <c r="K573" s="4" t="s">
        <v>33</v>
      </c>
      <c r="L573" s="4" t="s">
        <v>34</v>
      </c>
      <c r="M573" s="4" t="s">
        <v>40</v>
      </c>
      <c r="N573" s="4" t="s">
        <v>24</v>
      </c>
      <c r="O573" s="4">
        <v>2</v>
      </c>
      <c r="P573" s="7">
        <v>58880</v>
      </c>
      <c r="Q573" s="8">
        <v>0.1</v>
      </c>
      <c r="R573" s="7">
        <v>40400</v>
      </c>
      <c r="S573" s="7">
        <f>Table1_1[[#This Row],[Units Sold]]*Table1_1[[#This Row],[Unit Price]]*(1-Table1_1[[#This Row],[Discount %]])</f>
        <v>105984</v>
      </c>
      <c r="T573" s="7">
        <f>Table1_1[[#This Row],[Units Sold]]*Table1_1[[#This Row],[Unit Cost]]</f>
        <v>80800</v>
      </c>
      <c r="U573" s="7">
        <f>Table1_1[[#This Row],[Calculated sales]]-Table1_1[[#This Row],[Total cost]]</f>
        <v>25184</v>
      </c>
      <c r="V573" s="4">
        <f>IFERROR(Table1_1[[#This Row],[Profit/Loss]]/Table1_1[[#This Row],[Calculated sales]],0)</f>
        <v>0.2376207729468599</v>
      </c>
    </row>
    <row r="574" spans="1:22" x14ac:dyDescent="0.25">
      <c r="A574" s="4" t="s">
        <v>720</v>
      </c>
      <c r="B574" s="5">
        <v>45604</v>
      </c>
      <c r="C574" s="4">
        <f>YEAR(Table1_1[[#This Row],[Order Dates]])</f>
        <v>2024</v>
      </c>
      <c r="D574" s="6">
        <f>MONTH(Table1_1[[#This Row],[Order Dates]])</f>
        <v>11</v>
      </c>
      <c r="E574" s="4" t="s">
        <v>42</v>
      </c>
      <c r="F574" s="4" t="s">
        <v>123</v>
      </c>
      <c r="G574" s="4" t="s">
        <v>64</v>
      </c>
      <c r="H574" s="4" t="str">
        <f>TRIM(CLEAN(SUBSTITUTE(Table1_1[[#This Row],[Salesperson]],"   "," ")))</f>
        <v>Aditya Verma</v>
      </c>
      <c r="I574" s="4" t="s">
        <v>92</v>
      </c>
      <c r="J574" s="4" t="s">
        <v>59</v>
      </c>
      <c r="K574" s="4" t="s">
        <v>69</v>
      </c>
      <c r="L574" s="4" t="s">
        <v>121</v>
      </c>
      <c r="M574" s="4" t="s">
        <v>40</v>
      </c>
      <c r="N574" s="4" t="s">
        <v>24</v>
      </c>
      <c r="O574" s="4">
        <v>12</v>
      </c>
      <c r="P574" s="7">
        <v>3630</v>
      </c>
      <c r="Q574" s="8">
        <v>0.18</v>
      </c>
      <c r="R574" s="7">
        <v>2200</v>
      </c>
      <c r="S574" s="7">
        <f>Table1_1[[#This Row],[Units Sold]]*Table1_1[[#This Row],[Unit Price]]*(1-Table1_1[[#This Row],[Discount %]])</f>
        <v>35719.200000000004</v>
      </c>
      <c r="T574" s="7">
        <f>Table1_1[[#This Row],[Units Sold]]*Table1_1[[#This Row],[Unit Cost]]</f>
        <v>26400</v>
      </c>
      <c r="U574" s="7">
        <f>Table1_1[[#This Row],[Calculated sales]]-Table1_1[[#This Row],[Total cost]]</f>
        <v>9319.2000000000044</v>
      </c>
      <c r="V574" s="4">
        <f>IFERROR(Table1_1[[#This Row],[Profit/Loss]]/Table1_1[[#This Row],[Calculated sales]],0)</f>
        <v>0.26090169992609025</v>
      </c>
    </row>
    <row r="575" spans="1:22" x14ac:dyDescent="0.25">
      <c r="A575" s="4" t="s">
        <v>721</v>
      </c>
      <c r="B575" s="5">
        <v>45604</v>
      </c>
      <c r="C575" s="4">
        <f>YEAR(Table1_1[[#This Row],[Order Dates]])</f>
        <v>2024</v>
      </c>
      <c r="D575" s="6">
        <f>MONTH(Table1_1[[#This Row],[Order Dates]])</f>
        <v>11</v>
      </c>
      <c r="E575" s="4" t="s">
        <v>42</v>
      </c>
      <c r="F575" s="4" t="s">
        <v>43</v>
      </c>
      <c r="G575" s="4" t="s">
        <v>97</v>
      </c>
      <c r="H575" s="4" t="str">
        <f>TRIM(CLEAN(SUBSTITUTE(Table1_1[[#This Row],[Salesperson]],"   "," ")))</f>
        <v>Rohit Malhotra</v>
      </c>
      <c r="I575" s="4" t="s">
        <v>19</v>
      </c>
      <c r="J575" s="4" t="s">
        <v>27</v>
      </c>
      <c r="K575" s="4" t="s">
        <v>53</v>
      </c>
      <c r="L575" s="4" t="s">
        <v>1669</v>
      </c>
      <c r="M575" s="4" t="s">
        <v>40</v>
      </c>
      <c r="N575" s="4" t="s">
        <v>94</v>
      </c>
      <c r="O575" s="4">
        <v>1</v>
      </c>
      <c r="P575" s="7">
        <v>44660</v>
      </c>
      <c r="Q575" s="8">
        <v>0</v>
      </c>
      <c r="R575" s="7">
        <v>32700</v>
      </c>
      <c r="S575" s="7">
        <f>Table1_1[[#This Row],[Units Sold]]*Table1_1[[#This Row],[Unit Price]]*(1-Table1_1[[#This Row],[Discount %]])</f>
        <v>44660</v>
      </c>
      <c r="T575" s="7">
        <f>Table1_1[[#This Row],[Units Sold]]*Table1_1[[#This Row],[Unit Cost]]</f>
        <v>32700</v>
      </c>
      <c r="U575" s="7">
        <f>Table1_1[[#This Row],[Calculated sales]]-Table1_1[[#This Row],[Total cost]]</f>
        <v>11960</v>
      </c>
      <c r="V575" s="4">
        <f>IFERROR(Table1_1[[#This Row],[Profit/Loss]]/Table1_1[[#This Row],[Calculated sales]],0)</f>
        <v>0.26780116435288848</v>
      </c>
    </row>
    <row r="576" spans="1:22" x14ac:dyDescent="0.25">
      <c r="A576" s="4" t="s">
        <v>722</v>
      </c>
      <c r="B576" s="5">
        <v>45604</v>
      </c>
      <c r="C576" s="4">
        <f>YEAR(Table1_1[[#This Row],[Order Dates]])</f>
        <v>2024</v>
      </c>
      <c r="D576" s="6">
        <f>MONTH(Table1_1[[#This Row],[Order Dates]])</f>
        <v>11</v>
      </c>
      <c r="E576" s="4" t="s">
        <v>42</v>
      </c>
      <c r="F576" s="4" t="s">
        <v>146</v>
      </c>
      <c r="G576" s="4" t="s">
        <v>64</v>
      </c>
      <c r="H576" s="4" t="str">
        <f>TRIM(CLEAN(SUBSTITUTE(Table1_1[[#This Row],[Salesperson]],"   "," ")))</f>
        <v>Aditya Verma</v>
      </c>
      <c r="I576" s="4" t="s">
        <v>19</v>
      </c>
      <c r="J576" s="4" t="s">
        <v>83</v>
      </c>
      <c r="K576" s="4" t="s">
        <v>136</v>
      </c>
      <c r="L576" s="4" t="s">
        <v>307</v>
      </c>
      <c r="M576" s="4" t="s">
        <v>49</v>
      </c>
      <c r="N576" s="4" t="s">
        <v>24</v>
      </c>
      <c r="O576" s="4">
        <v>16</v>
      </c>
      <c r="P576" s="7">
        <v>940</v>
      </c>
      <c r="Q576" s="8">
        <v>0.12</v>
      </c>
      <c r="R576" s="7">
        <v>580</v>
      </c>
      <c r="S576" s="7">
        <f>Table1_1[[#This Row],[Units Sold]]*Table1_1[[#This Row],[Unit Price]]*(1-Table1_1[[#This Row],[Discount %]])</f>
        <v>13235.2</v>
      </c>
      <c r="T576" s="7">
        <f>Table1_1[[#This Row],[Units Sold]]*Table1_1[[#This Row],[Unit Cost]]</f>
        <v>9280</v>
      </c>
      <c r="U576" s="7">
        <f>Table1_1[[#This Row],[Calculated sales]]-Table1_1[[#This Row],[Total cost]]</f>
        <v>3955.2000000000007</v>
      </c>
      <c r="V576" s="4">
        <f>IFERROR(Table1_1[[#This Row],[Profit/Loss]]/Table1_1[[#This Row],[Calculated sales]],0)</f>
        <v>0.29883945841392656</v>
      </c>
    </row>
    <row r="577" spans="1:22" x14ac:dyDescent="0.25">
      <c r="A577" s="4" t="s">
        <v>723</v>
      </c>
      <c r="B577" s="5">
        <v>45604</v>
      </c>
      <c r="C577" s="4">
        <f>YEAR(Table1_1[[#This Row],[Order Dates]])</f>
        <v>2024</v>
      </c>
      <c r="D577" s="6">
        <f>MONTH(Table1_1[[#This Row],[Order Dates]])</f>
        <v>11</v>
      </c>
      <c r="E577" s="4" t="s">
        <v>16</v>
      </c>
      <c r="F577" s="4" t="s">
        <v>82</v>
      </c>
      <c r="G577" s="4" t="s">
        <v>32</v>
      </c>
      <c r="H577" s="4" t="str">
        <f>TRIM(CLEAN(SUBSTITUTE(Table1_1[[#This Row],[Salesperson]],"   "," ")))</f>
        <v>Neha Deshpande</v>
      </c>
      <c r="I577" s="4" t="s">
        <v>19</v>
      </c>
      <c r="J577" s="4" t="s">
        <v>83</v>
      </c>
      <c r="K577" s="4" t="s">
        <v>184</v>
      </c>
      <c r="L577" s="4" t="s">
        <v>196</v>
      </c>
      <c r="M577" s="4" t="s">
        <v>23</v>
      </c>
      <c r="N577" s="4" t="s">
        <v>24</v>
      </c>
      <c r="O577" s="4">
        <v>7</v>
      </c>
      <c r="P577" s="7">
        <v>3140</v>
      </c>
      <c r="Q577" s="8">
        <v>0.15</v>
      </c>
      <c r="R577" s="7">
        <v>1900</v>
      </c>
      <c r="S577" s="7">
        <f>Table1_1[[#This Row],[Units Sold]]*Table1_1[[#This Row],[Unit Price]]*(1-Table1_1[[#This Row],[Discount %]])</f>
        <v>18683</v>
      </c>
      <c r="T577" s="7">
        <f>Table1_1[[#This Row],[Units Sold]]*Table1_1[[#This Row],[Unit Cost]]</f>
        <v>13300</v>
      </c>
      <c r="U577" s="7">
        <f>Table1_1[[#This Row],[Calculated sales]]-Table1_1[[#This Row],[Total cost]]</f>
        <v>5383</v>
      </c>
      <c r="V577" s="4">
        <f>IFERROR(Table1_1[[#This Row],[Profit/Loss]]/Table1_1[[#This Row],[Calculated sales]],0)</f>
        <v>0.28812289246908956</v>
      </c>
    </row>
    <row r="578" spans="1:22" x14ac:dyDescent="0.25">
      <c r="A578" s="4" t="s">
        <v>724</v>
      </c>
      <c r="B578" s="5">
        <v>45604</v>
      </c>
      <c r="C578" s="4">
        <f>YEAR(Table1_1[[#This Row],[Order Dates]])</f>
        <v>2024</v>
      </c>
      <c r="D578" s="6">
        <f>MONTH(Table1_1[[#This Row],[Order Dates]])</f>
        <v>11</v>
      </c>
      <c r="E578" s="4" t="s">
        <v>56</v>
      </c>
      <c r="F578" s="4" t="s">
        <v>143</v>
      </c>
      <c r="G578" s="4" t="s">
        <v>58</v>
      </c>
      <c r="H578" s="4" t="str">
        <f>TRIM(CLEAN(SUBSTITUTE(Table1_1[[#This Row],[Salesperson]],"   "," ")))</f>
        <v>Karthik Raman</v>
      </c>
      <c r="I578" s="4" t="s">
        <v>19</v>
      </c>
      <c r="J578" s="4" t="s">
        <v>59</v>
      </c>
      <c r="K578" s="4" t="s">
        <v>73</v>
      </c>
      <c r="L578" s="4" t="s">
        <v>74</v>
      </c>
      <c r="M578" s="4" t="s">
        <v>49</v>
      </c>
      <c r="N578" s="4" t="s">
        <v>24</v>
      </c>
      <c r="O578" s="4">
        <v>1</v>
      </c>
      <c r="P578" s="7">
        <v>45570</v>
      </c>
      <c r="Q578" s="8">
        <v>0.2</v>
      </c>
      <c r="R578" s="7">
        <v>26000</v>
      </c>
      <c r="S578" s="7">
        <f>Table1_1[[#This Row],[Units Sold]]*Table1_1[[#This Row],[Unit Price]]*(1-Table1_1[[#This Row],[Discount %]])</f>
        <v>36456</v>
      </c>
      <c r="T578" s="7">
        <f>Table1_1[[#This Row],[Units Sold]]*Table1_1[[#This Row],[Unit Cost]]</f>
        <v>26000</v>
      </c>
      <c r="U578" s="7">
        <f>Table1_1[[#This Row],[Calculated sales]]-Table1_1[[#This Row],[Total cost]]</f>
        <v>10456</v>
      </c>
      <c r="V578" s="4">
        <f>IFERROR(Table1_1[[#This Row],[Profit/Loss]]/Table1_1[[#This Row],[Calculated sales]],0)</f>
        <v>0.28681149879306561</v>
      </c>
    </row>
    <row r="579" spans="1:22" x14ac:dyDescent="0.25">
      <c r="A579" s="4" t="s">
        <v>725</v>
      </c>
      <c r="B579" s="5">
        <v>45604</v>
      </c>
      <c r="C579" s="4">
        <f>YEAR(Table1_1[[#This Row],[Order Dates]])</f>
        <v>2024</v>
      </c>
      <c r="D579" s="6">
        <f>MONTH(Table1_1[[#This Row],[Order Dates]])</f>
        <v>11</v>
      </c>
      <c r="E579" s="4" t="s">
        <v>76</v>
      </c>
      <c r="F579" s="4" t="s">
        <v>125</v>
      </c>
      <c r="G579" s="4" t="s">
        <v>78</v>
      </c>
      <c r="H579" s="4" t="str">
        <f>TRIM(CLEAN(SUBSTITUTE(Table1_1[[#This Row],[Salesperson]],"   "," ")))</f>
        <v>Pooja Chouhan</v>
      </c>
      <c r="I579" s="4" t="s">
        <v>19</v>
      </c>
      <c r="J579" s="4" t="s">
        <v>83</v>
      </c>
      <c r="K579" s="4" t="s">
        <v>84</v>
      </c>
      <c r="L579" s="4" t="s">
        <v>1671</v>
      </c>
      <c r="M579" s="4" t="s">
        <v>49</v>
      </c>
      <c r="N579" s="4" t="s">
        <v>35</v>
      </c>
      <c r="O579" s="4">
        <v>4</v>
      </c>
      <c r="P579" s="7">
        <v>2590</v>
      </c>
      <c r="Q579" s="8">
        <v>0.12</v>
      </c>
      <c r="R579" s="7">
        <v>1820</v>
      </c>
      <c r="S579" s="7">
        <f>Table1_1[[#This Row],[Units Sold]]*Table1_1[[#This Row],[Unit Price]]*(1-Table1_1[[#This Row],[Discount %]])</f>
        <v>9116.7999999999993</v>
      </c>
      <c r="T579" s="7">
        <f>Table1_1[[#This Row],[Units Sold]]*Table1_1[[#This Row],[Unit Cost]]</f>
        <v>7280</v>
      </c>
      <c r="U579" s="7">
        <f>Table1_1[[#This Row],[Calculated sales]]-Table1_1[[#This Row],[Total cost]]</f>
        <v>1836.7999999999993</v>
      </c>
      <c r="V579" s="4">
        <f>IFERROR(Table1_1[[#This Row],[Profit/Loss]]/Table1_1[[#This Row],[Calculated sales]],0)</f>
        <v>0.20147420147420142</v>
      </c>
    </row>
    <row r="580" spans="1:22" x14ac:dyDescent="0.25">
      <c r="A580" s="4" t="s">
        <v>726</v>
      </c>
      <c r="B580" s="5">
        <v>45606</v>
      </c>
      <c r="C580" s="4">
        <f>YEAR(Table1_1[[#This Row],[Order Dates]])</f>
        <v>2024</v>
      </c>
      <c r="D580" s="6">
        <f>MONTH(Table1_1[[#This Row],[Order Dates]])</f>
        <v>11</v>
      </c>
      <c r="E580" s="4" t="s">
        <v>16</v>
      </c>
      <c r="F580" s="4" t="s">
        <v>82</v>
      </c>
      <c r="G580" s="4" t="s">
        <v>18</v>
      </c>
      <c r="H580" s="4" t="str">
        <f>TRIM(CLEAN(SUBSTITUTE(Table1_1[[#This Row],[Salesperson]],"   "," ")))</f>
        <v>Imran Sheikh</v>
      </c>
      <c r="I580" s="4" t="s">
        <v>45</v>
      </c>
      <c r="J580" s="4" t="s">
        <v>83</v>
      </c>
      <c r="K580" s="4" t="s">
        <v>184</v>
      </c>
      <c r="L580" s="4" t="s">
        <v>1679</v>
      </c>
      <c r="M580" s="4" t="s">
        <v>23</v>
      </c>
      <c r="N580" s="4" t="s">
        <v>24</v>
      </c>
      <c r="O580" s="4">
        <v>19</v>
      </c>
      <c r="P580" s="7">
        <v>4820</v>
      </c>
      <c r="Q580" s="8">
        <v>0.15</v>
      </c>
      <c r="R580" s="7">
        <v>3490</v>
      </c>
      <c r="S580" s="7">
        <f>Table1_1[[#This Row],[Units Sold]]*Table1_1[[#This Row],[Unit Price]]*(1-Table1_1[[#This Row],[Discount %]])</f>
        <v>77843</v>
      </c>
      <c r="T580" s="7">
        <f>Table1_1[[#This Row],[Units Sold]]*Table1_1[[#This Row],[Unit Cost]]</f>
        <v>66310</v>
      </c>
      <c r="U580" s="7">
        <f>Table1_1[[#This Row],[Calculated sales]]-Table1_1[[#This Row],[Total cost]]</f>
        <v>11533</v>
      </c>
      <c r="V580" s="4">
        <f>IFERROR(Table1_1[[#This Row],[Profit/Loss]]/Table1_1[[#This Row],[Calculated sales]],0)</f>
        <v>0.14815718818647791</v>
      </c>
    </row>
    <row r="581" spans="1:22" x14ac:dyDescent="0.25">
      <c r="A581" s="4" t="s">
        <v>727</v>
      </c>
      <c r="B581" s="5">
        <v>45606</v>
      </c>
      <c r="C581" s="4">
        <f>YEAR(Table1_1[[#This Row],[Order Dates]])</f>
        <v>2024</v>
      </c>
      <c r="D581" s="6">
        <f>MONTH(Table1_1[[#This Row],[Order Dates]])</f>
        <v>11</v>
      </c>
      <c r="E581" s="4" t="s">
        <v>37</v>
      </c>
      <c r="F581" s="4" t="s">
        <v>115</v>
      </c>
      <c r="G581" s="4" t="s">
        <v>39</v>
      </c>
      <c r="H581" s="4" t="str">
        <f>TRIM(CLEAN(SUBSTITUTE(Table1_1[[#This Row],[Salesperson]],"   "," ")))</f>
        <v>Sourav Das</v>
      </c>
      <c r="I581" s="4" t="s">
        <v>45</v>
      </c>
      <c r="J581" s="4" t="s">
        <v>46</v>
      </c>
      <c r="K581" s="4" t="s">
        <v>100</v>
      </c>
      <c r="L581" s="4" t="s">
        <v>101</v>
      </c>
      <c r="M581" s="4" t="s">
        <v>40</v>
      </c>
      <c r="N581" s="4" t="s">
        <v>119</v>
      </c>
      <c r="O581" s="4">
        <v>74</v>
      </c>
      <c r="P581" s="7">
        <v>1840</v>
      </c>
      <c r="Q581" s="8">
        <v>0.1</v>
      </c>
      <c r="R581" s="7">
        <v>1370</v>
      </c>
      <c r="S581" s="7">
        <f>Table1_1[[#This Row],[Units Sold]]*Table1_1[[#This Row],[Unit Price]]*(1-Table1_1[[#This Row],[Discount %]])</f>
        <v>122544</v>
      </c>
      <c r="T581" s="7">
        <f>Table1_1[[#This Row],[Units Sold]]*Table1_1[[#This Row],[Unit Cost]]</f>
        <v>101380</v>
      </c>
      <c r="U581" s="7">
        <f>Table1_1[[#This Row],[Calculated sales]]-Table1_1[[#This Row],[Total cost]]</f>
        <v>21164</v>
      </c>
      <c r="V581" s="4">
        <f>IFERROR(Table1_1[[#This Row],[Profit/Loss]]/Table1_1[[#This Row],[Calculated sales]],0)</f>
        <v>0.17270531400966183</v>
      </c>
    </row>
    <row r="582" spans="1:22" x14ac:dyDescent="0.25">
      <c r="A582" s="4" t="s">
        <v>728</v>
      </c>
      <c r="B582" s="5">
        <v>45606</v>
      </c>
      <c r="C582" s="4">
        <f>YEAR(Table1_1[[#This Row],[Order Dates]])</f>
        <v>2024</v>
      </c>
      <c r="D582" s="6">
        <f>MONTH(Table1_1[[#This Row],[Order Dates]])</f>
        <v>11</v>
      </c>
      <c r="E582" s="4" t="s">
        <v>76</v>
      </c>
      <c r="F582" s="4" t="s">
        <v>125</v>
      </c>
      <c r="G582" s="4" t="s">
        <v>170</v>
      </c>
      <c r="H582" s="4" t="str">
        <f>TRIM(CLEAN(SUBSTITUTE(Table1_1[[#This Row],[Salesperson]],"   "," ")))</f>
        <v>Manish Tiwari</v>
      </c>
      <c r="I582" s="4" t="s">
        <v>52</v>
      </c>
      <c r="J582" s="4" t="s">
        <v>27</v>
      </c>
      <c r="K582" s="4" t="s">
        <v>214</v>
      </c>
      <c r="L582" s="4" t="s">
        <v>1681</v>
      </c>
      <c r="M582" s="4" t="s">
        <v>40</v>
      </c>
      <c r="N582" s="4" t="s">
        <v>24</v>
      </c>
      <c r="O582" s="4">
        <v>1</v>
      </c>
      <c r="P582" s="7">
        <v>14930</v>
      </c>
      <c r="Q582" s="8">
        <v>0.1</v>
      </c>
      <c r="R582" s="7">
        <v>11620</v>
      </c>
      <c r="S582" s="7">
        <f>Table1_1[[#This Row],[Units Sold]]*Table1_1[[#This Row],[Unit Price]]*(1-Table1_1[[#This Row],[Discount %]])</f>
        <v>13437</v>
      </c>
      <c r="T582" s="7">
        <f>Table1_1[[#This Row],[Units Sold]]*Table1_1[[#This Row],[Unit Cost]]</f>
        <v>11620</v>
      </c>
      <c r="U582" s="7">
        <f>Table1_1[[#This Row],[Calculated sales]]-Table1_1[[#This Row],[Total cost]]</f>
        <v>1817</v>
      </c>
      <c r="V582" s="4">
        <f>IFERROR(Table1_1[[#This Row],[Profit/Loss]]/Table1_1[[#This Row],[Calculated sales]],0)</f>
        <v>0.13522363622832478</v>
      </c>
    </row>
    <row r="583" spans="1:22" x14ac:dyDescent="0.25">
      <c r="A583" s="4" t="s">
        <v>729</v>
      </c>
      <c r="B583" s="5">
        <v>45606</v>
      </c>
      <c r="C583" s="4">
        <f>YEAR(Table1_1[[#This Row],[Order Dates]])</f>
        <v>2024</v>
      </c>
      <c r="D583" s="6">
        <f>MONTH(Table1_1[[#This Row],[Order Dates]])</f>
        <v>11</v>
      </c>
      <c r="E583" s="4" t="s">
        <v>42</v>
      </c>
      <c r="F583" s="4" t="s">
        <v>43</v>
      </c>
      <c r="G583" s="4" t="s">
        <v>97</v>
      </c>
      <c r="H583" s="4" t="str">
        <f>TRIM(CLEAN(SUBSTITUTE(Table1_1[[#This Row],[Salesperson]],"   "," ")))</f>
        <v>Rohit Malhotra</v>
      </c>
      <c r="I583" s="4" t="s">
        <v>92</v>
      </c>
      <c r="J583" s="4" t="s">
        <v>46</v>
      </c>
      <c r="K583" s="4" t="s">
        <v>100</v>
      </c>
      <c r="L583" s="4" t="s">
        <v>177</v>
      </c>
      <c r="M583" s="4" t="s">
        <v>40</v>
      </c>
      <c r="N583" s="4" t="s">
        <v>24</v>
      </c>
      <c r="O583" s="4">
        <v>85</v>
      </c>
      <c r="P583" s="7">
        <v>2520</v>
      </c>
      <c r="Q583" s="8">
        <v>0.05</v>
      </c>
      <c r="R583" s="7">
        <v>1570</v>
      </c>
      <c r="S583" s="7">
        <f>Table1_1[[#This Row],[Units Sold]]*Table1_1[[#This Row],[Unit Price]]*(1-Table1_1[[#This Row],[Discount %]])</f>
        <v>203490</v>
      </c>
      <c r="T583" s="7">
        <f>Table1_1[[#This Row],[Units Sold]]*Table1_1[[#This Row],[Unit Cost]]</f>
        <v>133450</v>
      </c>
      <c r="U583" s="7">
        <f>Table1_1[[#This Row],[Calculated sales]]-Table1_1[[#This Row],[Total cost]]</f>
        <v>70040</v>
      </c>
      <c r="V583" s="4">
        <f>IFERROR(Table1_1[[#This Row],[Profit/Loss]]/Table1_1[[#This Row],[Calculated sales]],0)</f>
        <v>0.34419381787802839</v>
      </c>
    </row>
    <row r="584" spans="1:22" x14ac:dyDescent="0.25">
      <c r="A584" s="4" t="s">
        <v>730</v>
      </c>
      <c r="B584" s="5">
        <v>45607</v>
      </c>
      <c r="C584" s="4">
        <f>YEAR(Table1_1[[#This Row],[Order Dates]])</f>
        <v>2024</v>
      </c>
      <c r="D584" s="6">
        <f>MONTH(Table1_1[[#This Row],[Order Dates]])</f>
        <v>11</v>
      </c>
      <c r="E584" s="4" t="s">
        <v>76</v>
      </c>
      <c r="F584" s="4" t="s">
        <v>77</v>
      </c>
      <c r="G584" s="4" t="s">
        <v>170</v>
      </c>
      <c r="H584" s="4" t="str">
        <f>TRIM(CLEAN(SUBSTITUTE(Table1_1[[#This Row],[Salesperson]],"   "," ")))</f>
        <v>Manish Tiwari</v>
      </c>
      <c r="I584" s="4" t="s">
        <v>19</v>
      </c>
      <c r="J584" s="4" t="s">
        <v>46</v>
      </c>
      <c r="K584" s="4" t="s">
        <v>100</v>
      </c>
      <c r="L584" s="4" t="s">
        <v>177</v>
      </c>
      <c r="M584" s="4" t="s">
        <v>40</v>
      </c>
      <c r="N584" s="4" t="s">
        <v>24</v>
      </c>
      <c r="O584" s="4">
        <v>18</v>
      </c>
      <c r="P584" s="7">
        <v>2430</v>
      </c>
      <c r="Q584" s="8">
        <v>0.2</v>
      </c>
      <c r="R584" s="7">
        <v>1750</v>
      </c>
      <c r="S584" s="7">
        <f>Table1_1[[#This Row],[Units Sold]]*Table1_1[[#This Row],[Unit Price]]*(1-Table1_1[[#This Row],[Discount %]])</f>
        <v>34992</v>
      </c>
      <c r="T584" s="7">
        <f>Table1_1[[#This Row],[Units Sold]]*Table1_1[[#This Row],[Unit Cost]]</f>
        <v>31500</v>
      </c>
      <c r="U584" s="7">
        <f>Table1_1[[#This Row],[Calculated sales]]-Table1_1[[#This Row],[Total cost]]</f>
        <v>3492</v>
      </c>
      <c r="V584" s="4">
        <f>IFERROR(Table1_1[[#This Row],[Profit/Loss]]/Table1_1[[#This Row],[Calculated sales]],0)</f>
        <v>9.9794238683127576E-2</v>
      </c>
    </row>
    <row r="585" spans="1:22" x14ac:dyDescent="0.25">
      <c r="A585" s="4" t="s">
        <v>731</v>
      </c>
      <c r="B585" s="5">
        <v>45607</v>
      </c>
      <c r="C585" s="4">
        <f>YEAR(Table1_1[[#This Row],[Order Dates]])</f>
        <v>2024</v>
      </c>
      <c r="D585" s="6">
        <f>MONTH(Table1_1[[#This Row],[Order Dates]])</f>
        <v>11</v>
      </c>
      <c r="E585" s="4" t="s">
        <v>56</v>
      </c>
      <c r="F585" s="4" t="s">
        <v>57</v>
      </c>
      <c r="G585" s="4" t="s">
        <v>134</v>
      </c>
      <c r="H585" s="4" t="str">
        <f>TRIM(CLEAN(SUBSTITUTE(Table1_1[[#This Row],[Salesperson]],"   "," ")))</f>
        <v>Divya Nair</v>
      </c>
      <c r="I585" s="4" t="s">
        <v>19</v>
      </c>
      <c r="J585" s="4" t="s">
        <v>83</v>
      </c>
      <c r="K585" s="4" t="s">
        <v>136</v>
      </c>
      <c r="L585" s="4" t="s">
        <v>307</v>
      </c>
      <c r="M585" s="4" t="s">
        <v>40</v>
      </c>
      <c r="N585" s="4" t="s">
        <v>24</v>
      </c>
      <c r="O585" s="4">
        <v>32</v>
      </c>
      <c r="P585" s="7">
        <v>910</v>
      </c>
      <c r="Q585" s="8">
        <v>0.15</v>
      </c>
      <c r="R585" s="7">
        <v>600</v>
      </c>
      <c r="S585" s="7">
        <f>Table1_1[[#This Row],[Units Sold]]*Table1_1[[#This Row],[Unit Price]]*(1-Table1_1[[#This Row],[Discount %]])</f>
        <v>24752</v>
      </c>
      <c r="T585" s="7">
        <f>Table1_1[[#This Row],[Units Sold]]*Table1_1[[#This Row],[Unit Cost]]</f>
        <v>19200</v>
      </c>
      <c r="U585" s="7">
        <f>Table1_1[[#This Row],[Calculated sales]]-Table1_1[[#This Row],[Total cost]]</f>
        <v>5552</v>
      </c>
      <c r="V585" s="4">
        <f>IFERROR(Table1_1[[#This Row],[Profit/Loss]]/Table1_1[[#This Row],[Calculated sales]],0)</f>
        <v>0.22430510665804784</v>
      </c>
    </row>
    <row r="586" spans="1:22" x14ac:dyDescent="0.25">
      <c r="A586" s="4" t="s">
        <v>732</v>
      </c>
      <c r="B586" s="5">
        <v>45607</v>
      </c>
      <c r="C586" s="4">
        <f>YEAR(Table1_1[[#This Row],[Order Dates]])</f>
        <v>2024</v>
      </c>
      <c r="D586" s="6">
        <f>MONTH(Table1_1[[#This Row],[Order Dates]])</f>
        <v>11</v>
      </c>
      <c r="E586" s="4" t="s">
        <v>42</v>
      </c>
      <c r="F586" s="4" t="s">
        <v>43</v>
      </c>
      <c r="G586" s="4" t="s">
        <v>97</v>
      </c>
      <c r="H586" s="4" t="str">
        <f>TRIM(CLEAN(SUBSTITUTE(Table1_1[[#This Row],[Salesperson]],"   "," ")))</f>
        <v>Rohit Malhotra</v>
      </c>
      <c r="I586" s="4" t="s">
        <v>19</v>
      </c>
      <c r="J586" s="4" t="s">
        <v>27</v>
      </c>
      <c r="K586" s="4" t="s">
        <v>79</v>
      </c>
      <c r="L586" s="4" t="s">
        <v>80</v>
      </c>
      <c r="M586" s="4" t="s">
        <v>40</v>
      </c>
      <c r="N586" s="4" t="s">
        <v>35</v>
      </c>
      <c r="O586" s="4">
        <v>11</v>
      </c>
      <c r="P586" s="7">
        <v>4810</v>
      </c>
      <c r="Q586" s="8">
        <v>0.1</v>
      </c>
      <c r="R586" s="7">
        <v>2890</v>
      </c>
      <c r="S586" s="7">
        <f>Table1_1[[#This Row],[Units Sold]]*Table1_1[[#This Row],[Unit Price]]*(1-Table1_1[[#This Row],[Discount %]])</f>
        <v>47619</v>
      </c>
      <c r="T586" s="7">
        <f>Table1_1[[#This Row],[Units Sold]]*Table1_1[[#This Row],[Unit Cost]]</f>
        <v>31790</v>
      </c>
      <c r="U586" s="7">
        <f>Table1_1[[#This Row],[Calculated sales]]-Table1_1[[#This Row],[Total cost]]</f>
        <v>15829</v>
      </c>
      <c r="V586" s="4">
        <f>IFERROR(Table1_1[[#This Row],[Profit/Loss]]/Table1_1[[#This Row],[Calculated sales]],0)</f>
        <v>0.3324093324093324</v>
      </c>
    </row>
    <row r="587" spans="1:22" x14ac:dyDescent="0.25">
      <c r="A587" s="4" t="s">
        <v>733</v>
      </c>
      <c r="B587" s="5">
        <v>45607</v>
      </c>
      <c r="C587" s="4">
        <f>YEAR(Table1_1[[#This Row],[Order Dates]])</f>
        <v>2024</v>
      </c>
      <c r="D587" s="6">
        <f>MONTH(Table1_1[[#This Row],[Order Dates]])</f>
        <v>11</v>
      </c>
      <c r="E587" s="4" t="s">
        <v>56</v>
      </c>
      <c r="F587" s="4" t="s">
        <v>133</v>
      </c>
      <c r="G587" s="4" t="s">
        <v>91</v>
      </c>
      <c r="H587" s="4" t="str">
        <f>TRIM(CLEAN(SUBSTITUTE(Table1_1[[#This Row],[Salesperson]],"   "," ")))</f>
        <v>Anjali Menon</v>
      </c>
      <c r="I587" s="4" t="s">
        <v>92</v>
      </c>
      <c r="J587" s="4" t="s">
        <v>46</v>
      </c>
      <c r="K587" s="4" t="s">
        <v>179</v>
      </c>
      <c r="L587" s="4" t="s">
        <v>236</v>
      </c>
      <c r="M587" s="4" t="s">
        <v>23</v>
      </c>
      <c r="N587" s="4" t="s">
        <v>24</v>
      </c>
      <c r="O587" s="4">
        <v>11</v>
      </c>
      <c r="P587" s="7">
        <v>2290</v>
      </c>
      <c r="Q587" s="8">
        <v>0.18</v>
      </c>
      <c r="R587" s="7">
        <v>1590</v>
      </c>
      <c r="S587" s="7">
        <f>Table1_1[[#This Row],[Units Sold]]*Table1_1[[#This Row],[Unit Price]]*(1-Table1_1[[#This Row],[Discount %]])</f>
        <v>20655.800000000003</v>
      </c>
      <c r="T587" s="7">
        <f>Table1_1[[#This Row],[Units Sold]]*Table1_1[[#This Row],[Unit Cost]]</f>
        <v>17490</v>
      </c>
      <c r="U587" s="7">
        <f>Table1_1[[#This Row],[Calculated sales]]-Table1_1[[#This Row],[Total cost]]</f>
        <v>3165.8000000000029</v>
      </c>
      <c r="V587" s="4">
        <f>IFERROR(Table1_1[[#This Row],[Profit/Loss]]/Table1_1[[#This Row],[Calculated sales]],0)</f>
        <v>0.15326445840877634</v>
      </c>
    </row>
    <row r="588" spans="1:22" x14ac:dyDescent="0.25">
      <c r="A588" s="4" t="s">
        <v>734</v>
      </c>
      <c r="B588" s="5">
        <v>45607</v>
      </c>
      <c r="C588" s="4">
        <f>YEAR(Table1_1[[#This Row],[Order Dates]])</f>
        <v>2024</v>
      </c>
      <c r="D588" s="6">
        <f>MONTH(Table1_1[[#This Row],[Order Dates]])</f>
        <v>11</v>
      </c>
      <c r="E588" s="4" t="s">
        <v>76</v>
      </c>
      <c r="F588" s="4" t="s">
        <v>125</v>
      </c>
      <c r="G588" s="4" t="s">
        <v>170</v>
      </c>
      <c r="H588" s="4" t="str">
        <f>TRIM(CLEAN(SUBSTITUTE(Table1_1[[#This Row],[Salesperson]],"   "," ")))</f>
        <v>Manish Tiwari</v>
      </c>
      <c r="I588" s="4" t="s">
        <v>52</v>
      </c>
      <c r="J588" s="4" t="s">
        <v>83</v>
      </c>
      <c r="K588" s="4" t="s">
        <v>184</v>
      </c>
      <c r="L588" s="4" t="s">
        <v>196</v>
      </c>
      <c r="M588" s="4" t="s">
        <v>23</v>
      </c>
      <c r="N588" s="4" t="s">
        <v>24</v>
      </c>
      <c r="O588" s="4">
        <v>3</v>
      </c>
      <c r="P588" s="7">
        <v>3450</v>
      </c>
      <c r="Q588" s="8">
        <v>0.15</v>
      </c>
      <c r="R588" s="7">
        <v>2230</v>
      </c>
      <c r="S588" s="7">
        <f>Table1_1[[#This Row],[Units Sold]]*Table1_1[[#This Row],[Unit Price]]*(1-Table1_1[[#This Row],[Discount %]])</f>
        <v>8797.5</v>
      </c>
      <c r="T588" s="7">
        <f>Table1_1[[#This Row],[Units Sold]]*Table1_1[[#This Row],[Unit Cost]]</f>
        <v>6690</v>
      </c>
      <c r="U588" s="7">
        <f>Table1_1[[#This Row],[Calculated sales]]-Table1_1[[#This Row],[Total cost]]</f>
        <v>2107.5</v>
      </c>
      <c r="V588" s="4">
        <f>IFERROR(Table1_1[[#This Row],[Profit/Loss]]/Table1_1[[#This Row],[Calculated sales]],0)</f>
        <v>0.23955669224211423</v>
      </c>
    </row>
    <row r="589" spans="1:22" x14ac:dyDescent="0.25">
      <c r="A589" s="4" t="s">
        <v>735</v>
      </c>
      <c r="B589" s="5">
        <v>45608</v>
      </c>
      <c r="C589" s="4">
        <f>YEAR(Table1_1[[#This Row],[Order Dates]])</f>
        <v>2024</v>
      </c>
      <c r="D589" s="6">
        <f>MONTH(Table1_1[[#This Row],[Order Dates]])</f>
        <v>11</v>
      </c>
      <c r="E589" s="4" t="s">
        <v>76</v>
      </c>
      <c r="F589" s="4" t="s">
        <v>77</v>
      </c>
      <c r="G589" s="4" t="s">
        <v>78</v>
      </c>
      <c r="H589" s="4" t="str">
        <f>TRIM(CLEAN(SUBSTITUTE(Table1_1[[#This Row],[Salesperson]],"   "," ")))</f>
        <v>Pooja Chouhan</v>
      </c>
      <c r="I589" s="4" t="s">
        <v>19</v>
      </c>
      <c r="J589" s="4" t="s">
        <v>27</v>
      </c>
      <c r="K589" s="4" t="s">
        <v>28</v>
      </c>
      <c r="L589" s="4" t="s">
        <v>1668</v>
      </c>
      <c r="M589" s="4" t="s">
        <v>23</v>
      </c>
      <c r="N589" s="4" t="s">
        <v>24</v>
      </c>
      <c r="O589" s="4">
        <v>8</v>
      </c>
      <c r="P589" s="7">
        <v>29970</v>
      </c>
      <c r="Q589" s="8">
        <v>0.1</v>
      </c>
      <c r="R589" s="7">
        <v>22410</v>
      </c>
      <c r="S589" s="7">
        <f>Table1_1[[#This Row],[Units Sold]]*Table1_1[[#This Row],[Unit Price]]*(1-Table1_1[[#This Row],[Discount %]])</f>
        <v>215784</v>
      </c>
      <c r="T589" s="7">
        <f>Table1_1[[#This Row],[Units Sold]]*Table1_1[[#This Row],[Unit Cost]]</f>
        <v>179280</v>
      </c>
      <c r="U589" s="7">
        <f>Table1_1[[#This Row],[Calculated sales]]-Table1_1[[#This Row],[Total cost]]</f>
        <v>36504</v>
      </c>
      <c r="V589" s="4">
        <f>IFERROR(Table1_1[[#This Row],[Profit/Loss]]/Table1_1[[#This Row],[Calculated sales]],0)</f>
        <v>0.16916916916916916</v>
      </c>
    </row>
    <row r="590" spans="1:22" x14ac:dyDescent="0.25">
      <c r="A590" s="4" t="s">
        <v>736</v>
      </c>
      <c r="B590" s="5">
        <v>45608</v>
      </c>
      <c r="C590" s="4">
        <f>YEAR(Table1_1[[#This Row],[Order Dates]])</f>
        <v>2024</v>
      </c>
      <c r="D590" s="6">
        <f>MONTH(Table1_1[[#This Row],[Order Dates]])</f>
        <v>11</v>
      </c>
      <c r="E590" s="4" t="s">
        <v>56</v>
      </c>
      <c r="F590" s="4" t="s">
        <v>127</v>
      </c>
      <c r="G590" s="4" t="s">
        <v>58</v>
      </c>
      <c r="H590" s="4" t="str">
        <f>TRIM(CLEAN(SUBSTITUTE(Table1_1[[#This Row],[Salesperson]],"   "," ")))</f>
        <v>Karthik Raman</v>
      </c>
      <c r="I590" s="4" t="s">
        <v>52</v>
      </c>
      <c r="J590" s="4" t="s">
        <v>83</v>
      </c>
      <c r="K590" s="4" t="s">
        <v>84</v>
      </c>
      <c r="L590" s="4" t="s">
        <v>292</v>
      </c>
      <c r="M590" s="4" t="s">
        <v>40</v>
      </c>
      <c r="N590" s="4" t="s">
        <v>24</v>
      </c>
      <c r="O590" s="4">
        <v>2</v>
      </c>
      <c r="P590" s="7">
        <v>41490</v>
      </c>
      <c r="Q590" s="8">
        <v>0.1</v>
      </c>
      <c r="R590" s="7">
        <v>28320</v>
      </c>
      <c r="S590" s="7">
        <f>Table1_1[[#This Row],[Units Sold]]*Table1_1[[#This Row],[Unit Price]]*(1-Table1_1[[#This Row],[Discount %]])</f>
        <v>74682</v>
      </c>
      <c r="T590" s="7">
        <f>Table1_1[[#This Row],[Units Sold]]*Table1_1[[#This Row],[Unit Cost]]</f>
        <v>56640</v>
      </c>
      <c r="U590" s="7">
        <f>Table1_1[[#This Row],[Calculated sales]]-Table1_1[[#This Row],[Total cost]]</f>
        <v>18042</v>
      </c>
      <c r="V590" s="4">
        <f>IFERROR(Table1_1[[#This Row],[Profit/Loss]]/Table1_1[[#This Row],[Calculated sales]],0)</f>
        <v>0.24158431750622639</v>
      </c>
    </row>
    <row r="591" spans="1:22" x14ac:dyDescent="0.25">
      <c r="A591" s="4" t="s">
        <v>737</v>
      </c>
      <c r="B591" s="5">
        <v>45608</v>
      </c>
      <c r="C591" s="4">
        <f>YEAR(Table1_1[[#This Row],[Order Dates]])</f>
        <v>2024</v>
      </c>
      <c r="D591" s="6">
        <f>MONTH(Table1_1[[#This Row],[Order Dates]])</f>
        <v>11</v>
      </c>
      <c r="E591" s="4" t="s">
        <v>56</v>
      </c>
      <c r="F591" s="4" t="s">
        <v>127</v>
      </c>
      <c r="G591" s="4" t="s">
        <v>91</v>
      </c>
      <c r="H591" s="4" t="str">
        <f>TRIM(CLEAN(SUBSTITUTE(Table1_1[[#This Row],[Salesperson]],"   "," ")))</f>
        <v>Anjali Menon</v>
      </c>
      <c r="I591" s="4" t="s">
        <v>52</v>
      </c>
      <c r="J591" s="4" t="s">
        <v>20</v>
      </c>
      <c r="K591" s="4" t="s">
        <v>87</v>
      </c>
      <c r="L591" s="4" t="s">
        <v>1674</v>
      </c>
      <c r="M591" s="4" t="s">
        <v>49</v>
      </c>
      <c r="N591" s="4" t="s">
        <v>24</v>
      </c>
      <c r="O591" s="4">
        <v>3</v>
      </c>
      <c r="P591" s="7">
        <v>52220</v>
      </c>
      <c r="Q591" s="8">
        <v>0</v>
      </c>
      <c r="R591" s="7">
        <v>36510</v>
      </c>
      <c r="S591" s="7">
        <f>Table1_1[[#This Row],[Units Sold]]*Table1_1[[#This Row],[Unit Price]]*(1-Table1_1[[#This Row],[Discount %]])</f>
        <v>156660</v>
      </c>
      <c r="T591" s="7">
        <f>Table1_1[[#This Row],[Units Sold]]*Table1_1[[#This Row],[Unit Cost]]</f>
        <v>109530</v>
      </c>
      <c r="U591" s="7">
        <f>Table1_1[[#This Row],[Calculated sales]]-Table1_1[[#This Row],[Total cost]]</f>
        <v>47130</v>
      </c>
      <c r="V591" s="4">
        <f>IFERROR(Table1_1[[#This Row],[Profit/Loss]]/Table1_1[[#This Row],[Calculated sales]],0)</f>
        <v>0.30084258904634242</v>
      </c>
    </row>
    <row r="592" spans="1:22" x14ac:dyDescent="0.25">
      <c r="A592" s="4" t="s">
        <v>738</v>
      </c>
      <c r="B592" s="5">
        <v>45609</v>
      </c>
      <c r="C592" s="4">
        <f>YEAR(Table1_1[[#This Row],[Order Dates]])</f>
        <v>2024</v>
      </c>
      <c r="D592" s="6">
        <f>MONTH(Table1_1[[#This Row],[Order Dates]])</f>
        <v>11</v>
      </c>
      <c r="E592" s="4" t="s">
        <v>37</v>
      </c>
      <c r="F592" s="4" t="s">
        <v>115</v>
      </c>
      <c r="G592" s="4" t="s">
        <v>39</v>
      </c>
      <c r="H592" s="4" t="str">
        <f>TRIM(CLEAN(SUBSTITUTE(Table1_1[[#This Row],[Salesperson]],"   "," ")))</f>
        <v>Sourav Das</v>
      </c>
      <c r="I592" s="4" t="s">
        <v>92</v>
      </c>
      <c r="J592" s="4" t="s">
        <v>20</v>
      </c>
      <c r="K592" s="4" t="s">
        <v>87</v>
      </c>
      <c r="L592" s="4" t="s">
        <v>1674</v>
      </c>
      <c r="M592" s="4" t="s">
        <v>23</v>
      </c>
      <c r="N592" s="4" t="s">
        <v>24</v>
      </c>
      <c r="O592" s="4">
        <v>6</v>
      </c>
      <c r="P592" s="7">
        <v>55800</v>
      </c>
      <c r="Q592" s="8">
        <v>0.15</v>
      </c>
      <c r="R592" s="7">
        <v>42310</v>
      </c>
      <c r="S592" s="7">
        <f>Table1_1[[#This Row],[Units Sold]]*Table1_1[[#This Row],[Unit Price]]*(1-Table1_1[[#This Row],[Discount %]])</f>
        <v>284580</v>
      </c>
      <c r="T592" s="7">
        <f>Table1_1[[#This Row],[Units Sold]]*Table1_1[[#This Row],[Unit Cost]]</f>
        <v>253860</v>
      </c>
      <c r="U592" s="7">
        <f>Table1_1[[#This Row],[Calculated sales]]-Table1_1[[#This Row],[Total cost]]</f>
        <v>30720</v>
      </c>
      <c r="V592" s="4">
        <f>IFERROR(Table1_1[[#This Row],[Profit/Loss]]/Table1_1[[#This Row],[Calculated sales]],0)</f>
        <v>0.10794855576639258</v>
      </c>
    </row>
    <row r="593" spans="1:22" x14ac:dyDescent="0.25">
      <c r="A593" s="4" t="s">
        <v>739</v>
      </c>
      <c r="B593" s="5">
        <v>45609</v>
      </c>
      <c r="C593" s="4">
        <f>YEAR(Table1_1[[#This Row],[Order Dates]])</f>
        <v>2024</v>
      </c>
      <c r="D593" s="6">
        <f>MONTH(Table1_1[[#This Row],[Order Dates]])</f>
        <v>11</v>
      </c>
      <c r="E593" s="4" t="s">
        <v>37</v>
      </c>
      <c r="F593" s="4" t="s">
        <v>38</v>
      </c>
      <c r="G593" s="4" t="s">
        <v>39</v>
      </c>
      <c r="H593" s="4" t="str">
        <f>TRIM(CLEAN(SUBSTITUTE(Table1_1[[#This Row],[Salesperson]],"   "," ")))</f>
        <v>Sourav Das</v>
      </c>
      <c r="I593" s="4" t="s">
        <v>92</v>
      </c>
      <c r="J593" s="4" t="s">
        <v>27</v>
      </c>
      <c r="K593" s="4" t="s">
        <v>53</v>
      </c>
      <c r="L593" s="4" t="s">
        <v>1669</v>
      </c>
      <c r="M593" s="4" t="s">
        <v>40</v>
      </c>
      <c r="N593" s="4" t="s">
        <v>24</v>
      </c>
      <c r="O593" s="4">
        <v>5</v>
      </c>
      <c r="P593" s="7">
        <v>41460</v>
      </c>
      <c r="Q593" s="8">
        <v>0</v>
      </c>
      <c r="R593" s="7">
        <v>29110</v>
      </c>
      <c r="S593" s="7">
        <f>Table1_1[[#This Row],[Units Sold]]*Table1_1[[#This Row],[Unit Price]]*(1-Table1_1[[#This Row],[Discount %]])</f>
        <v>207300</v>
      </c>
      <c r="T593" s="7">
        <f>Table1_1[[#This Row],[Units Sold]]*Table1_1[[#This Row],[Unit Cost]]</f>
        <v>145550</v>
      </c>
      <c r="U593" s="7">
        <f>Table1_1[[#This Row],[Calculated sales]]-Table1_1[[#This Row],[Total cost]]</f>
        <v>61750</v>
      </c>
      <c r="V593" s="4">
        <f>IFERROR(Table1_1[[#This Row],[Profit/Loss]]/Table1_1[[#This Row],[Calculated sales]],0)</f>
        <v>0.29787747226242162</v>
      </c>
    </row>
    <row r="594" spans="1:22" x14ac:dyDescent="0.25">
      <c r="A594" s="4" t="s">
        <v>740</v>
      </c>
      <c r="B594" s="5">
        <v>45609</v>
      </c>
      <c r="C594" s="4">
        <f>YEAR(Table1_1[[#This Row],[Order Dates]])</f>
        <v>2024</v>
      </c>
      <c r="D594" s="6">
        <f>MONTH(Table1_1[[#This Row],[Order Dates]])</f>
        <v>11</v>
      </c>
      <c r="E594" s="4" t="s">
        <v>16</v>
      </c>
      <c r="F594" s="4" t="s">
        <v>51</v>
      </c>
      <c r="G594" s="4" t="s">
        <v>32</v>
      </c>
      <c r="H594" s="4" t="str">
        <f>TRIM(CLEAN(SUBSTITUTE(Table1_1[[#This Row],[Salesperson]],"   "," ")))</f>
        <v>Neha Deshpande</v>
      </c>
      <c r="I594" s="4" t="s">
        <v>45</v>
      </c>
      <c r="J594" s="4" t="s">
        <v>20</v>
      </c>
      <c r="K594" s="4" t="s">
        <v>109</v>
      </c>
      <c r="L594" s="4" t="s">
        <v>171</v>
      </c>
      <c r="M594" s="4" t="s">
        <v>40</v>
      </c>
      <c r="N594" s="4" t="s">
        <v>24</v>
      </c>
      <c r="O594" s="4">
        <v>2</v>
      </c>
      <c r="P594" s="7">
        <v>21840</v>
      </c>
      <c r="Q594" s="8">
        <v>0.2</v>
      </c>
      <c r="R594" s="7">
        <v>15930</v>
      </c>
      <c r="S594" s="7">
        <f>Table1_1[[#This Row],[Units Sold]]*Table1_1[[#This Row],[Unit Price]]*(1-Table1_1[[#This Row],[Discount %]])</f>
        <v>34944</v>
      </c>
      <c r="T594" s="7">
        <f>Table1_1[[#This Row],[Units Sold]]*Table1_1[[#This Row],[Unit Cost]]</f>
        <v>31860</v>
      </c>
      <c r="U594" s="7">
        <f>Table1_1[[#This Row],[Calculated sales]]-Table1_1[[#This Row],[Total cost]]</f>
        <v>3084</v>
      </c>
      <c r="V594" s="4">
        <f>IFERROR(Table1_1[[#This Row],[Profit/Loss]]/Table1_1[[#This Row],[Calculated sales]],0)</f>
        <v>8.8255494505494511E-2</v>
      </c>
    </row>
    <row r="595" spans="1:22" x14ac:dyDescent="0.25">
      <c r="A595" s="4" t="s">
        <v>741</v>
      </c>
      <c r="B595" s="5">
        <v>45609</v>
      </c>
      <c r="C595" s="4">
        <f>YEAR(Table1_1[[#This Row],[Order Dates]])</f>
        <v>2024</v>
      </c>
      <c r="D595" s="6">
        <f>MONTH(Table1_1[[#This Row],[Order Dates]])</f>
        <v>11</v>
      </c>
      <c r="E595" s="4" t="s">
        <v>16</v>
      </c>
      <c r="F595" s="4" t="s">
        <v>51</v>
      </c>
      <c r="G595" s="4" t="s">
        <v>32</v>
      </c>
      <c r="H595" s="4" t="str">
        <f>TRIM(CLEAN(SUBSTITUTE(Table1_1[[#This Row],[Salesperson]],"   "," ")))</f>
        <v>Neha Deshpande</v>
      </c>
      <c r="I595" s="4" t="s">
        <v>52</v>
      </c>
      <c r="J595" s="4" t="s">
        <v>46</v>
      </c>
      <c r="K595" s="4" t="s">
        <v>100</v>
      </c>
      <c r="L595" s="4" t="s">
        <v>101</v>
      </c>
      <c r="M595" s="4" t="s">
        <v>23</v>
      </c>
      <c r="N595" s="4" t="s">
        <v>24</v>
      </c>
      <c r="O595" s="4">
        <v>26</v>
      </c>
      <c r="P595" s="7">
        <v>1940</v>
      </c>
      <c r="Q595" s="8">
        <v>0.08</v>
      </c>
      <c r="R595" s="7">
        <v>1300</v>
      </c>
      <c r="S595" s="7">
        <f>Table1_1[[#This Row],[Units Sold]]*Table1_1[[#This Row],[Unit Price]]*(1-Table1_1[[#This Row],[Discount %]])</f>
        <v>46404.800000000003</v>
      </c>
      <c r="T595" s="7">
        <f>Table1_1[[#This Row],[Units Sold]]*Table1_1[[#This Row],[Unit Cost]]</f>
        <v>33800</v>
      </c>
      <c r="U595" s="7">
        <f>Table1_1[[#This Row],[Calculated sales]]-Table1_1[[#This Row],[Total cost]]</f>
        <v>12604.800000000003</v>
      </c>
      <c r="V595" s="4">
        <f>IFERROR(Table1_1[[#This Row],[Profit/Loss]]/Table1_1[[#This Row],[Calculated sales]],0)</f>
        <v>0.27162707306140749</v>
      </c>
    </row>
    <row r="596" spans="1:22" x14ac:dyDescent="0.25">
      <c r="A596" s="4" t="s">
        <v>742</v>
      </c>
      <c r="B596" s="5">
        <v>45610</v>
      </c>
      <c r="C596" s="4">
        <f>YEAR(Table1_1[[#This Row],[Order Dates]])</f>
        <v>2024</v>
      </c>
      <c r="D596" s="6">
        <f>MONTH(Table1_1[[#This Row],[Order Dates]])</f>
        <v>11</v>
      </c>
      <c r="E596" s="4" t="s">
        <v>42</v>
      </c>
      <c r="F596" s="4" t="s">
        <v>146</v>
      </c>
      <c r="G596" s="4" t="s">
        <v>44</v>
      </c>
      <c r="H596" s="4" t="str">
        <f>TRIM(CLEAN(SUBSTITUTE(Table1_1[[#This Row],[Salesperson]],"   "," ")))</f>
        <v>Simran Kaur</v>
      </c>
      <c r="I596" s="4" t="s">
        <v>19</v>
      </c>
      <c r="J596" s="4" t="s">
        <v>20</v>
      </c>
      <c r="K596" s="4" t="s">
        <v>21</v>
      </c>
      <c r="L596" s="4" t="s">
        <v>1667</v>
      </c>
      <c r="M596" s="4" t="s">
        <v>23</v>
      </c>
      <c r="N596" s="4" t="s">
        <v>24</v>
      </c>
      <c r="O596" s="4">
        <v>29</v>
      </c>
      <c r="P596" s="7">
        <v>1770</v>
      </c>
      <c r="Q596" s="8">
        <v>0.08</v>
      </c>
      <c r="R596" s="7">
        <v>1220</v>
      </c>
      <c r="S596" s="7">
        <f>Table1_1[[#This Row],[Units Sold]]*Table1_1[[#This Row],[Unit Price]]*(1-Table1_1[[#This Row],[Discount %]])</f>
        <v>47223.6</v>
      </c>
      <c r="T596" s="7">
        <f>Table1_1[[#This Row],[Units Sold]]*Table1_1[[#This Row],[Unit Cost]]</f>
        <v>35380</v>
      </c>
      <c r="U596" s="7">
        <f>Table1_1[[#This Row],[Calculated sales]]-Table1_1[[#This Row],[Total cost]]</f>
        <v>11843.599999999999</v>
      </c>
      <c r="V596" s="4">
        <f>IFERROR(Table1_1[[#This Row],[Profit/Loss]]/Table1_1[[#This Row],[Calculated sales]],0)</f>
        <v>0.25079832964873494</v>
      </c>
    </row>
    <row r="597" spans="1:22" x14ac:dyDescent="0.25">
      <c r="A597" s="4" t="s">
        <v>743</v>
      </c>
      <c r="B597" s="5">
        <v>45610</v>
      </c>
      <c r="C597" s="4">
        <f>YEAR(Table1_1[[#This Row],[Order Dates]])</f>
        <v>2024</v>
      </c>
      <c r="D597" s="6">
        <f>MONTH(Table1_1[[#This Row],[Order Dates]])</f>
        <v>11</v>
      </c>
      <c r="E597" s="4" t="s">
        <v>42</v>
      </c>
      <c r="F597" s="4" t="s">
        <v>96</v>
      </c>
      <c r="G597" s="4" t="s">
        <v>97</v>
      </c>
      <c r="H597" s="4" t="str">
        <f>TRIM(CLEAN(SUBSTITUTE(Table1_1[[#This Row],[Salesperson]],"   "," ")))</f>
        <v>Rohit Malhotra</v>
      </c>
      <c r="I597" s="4" t="s">
        <v>92</v>
      </c>
      <c r="J597" s="4" t="s">
        <v>83</v>
      </c>
      <c r="K597" s="4" t="s">
        <v>184</v>
      </c>
      <c r="L597" s="4" t="s">
        <v>1679</v>
      </c>
      <c r="M597" s="4" t="s">
        <v>23</v>
      </c>
      <c r="N597" s="4" t="s">
        <v>119</v>
      </c>
      <c r="O597" s="4">
        <v>22</v>
      </c>
      <c r="P597" s="7">
        <v>4860</v>
      </c>
      <c r="Q597" s="8">
        <v>0.15</v>
      </c>
      <c r="R597" s="7">
        <v>3570</v>
      </c>
      <c r="S597" s="7">
        <f>Table1_1[[#This Row],[Units Sold]]*Table1_1[[#This Row],[Unit Price]]*(1-Table1_1[[#This Row],[Discount %]])</f>
        <v>90882</v>
      </c>
      <c r="T597" s="7">
        <f>Table1_1[[#This Row],[Units Sold]]*Table1_1[[#This Row],[Unit Cost]]</f>
        <v>78540</v>
      </c>
      <c r="U597" s="7">
        <f>Table1_1[[#This Row],[Calculated sales]]-Table1_1[[#This Row],[Total cost]]</f>
        <v>12342</v>
      </c>
      <c r="V597" s="4">
        <f>IFERROR(Table1_1[[#This Row],[Profit/Loss]]/Table1_1[[#This Row],[Calculated sales]],0)</f>
        <v>0.13580246913580246</v>
      </c>
    </row>
    <row r="598" spans="1:22" x14ac:dyDescent="0.25">
      <c r="A598" s="4" t="s">
        <v>744</v>
      </c>
      <c r="B598" s="5">
        <v>45610</v>
      </c>
      <c r="C598" s="4">
        <f>YEAR(Table1_1[[#This Row],[Order Dates]])</f>
        <v>2024</v>
      </c>
      <c r="D598" s="6">
        <f>MONTH(Table1_1[[#This Row],[Order Dates]])</f>
        <v>11</v>
      </c>
      <c r="E598" s="4" t="s">
        <v>16</v>
      </c>
      <c r="F598" s="4" t="s">
        <v>153</v>
      </c>
      <c r="G598" s="4" t="s">
        <v>18</v>
      </c>
      <c r="H598" s="4" t="str">
        <f>TRIM(CLEAN(SUBSTITUTE(Table1_1[[#This Row],[Salesperson]],"   "," ")))</f>
        <v>Imran Sheikh</v>
      </c>
      <c r="I598" s="4" t="s">
        <v>92</v>
      </c>
      <c r="J598" s="4" t="s">
        <v>83</v>
      </c>
      <c r="K598" s="4" t="s">
        <v>84</v>
      </c>
      <c r="L598" s="4" t="s">
        <v>1671</v>
      </c>
      <c r="M598" s="4" t="s">
        <v>23</v>
      </c>
      <c r="N598" s="4" t="s">
        <v>24</v>
      </c>
      <c r="O598" s="4">
        <v>52</v>
      </c>
      <c r="P598" s="7">
        <v>2440</v>
      </c>
      <c r="Q598" s="8">
        <v>0.2</v>
      </c>
      <c r="R598" s="7">
        <v>1870</v>
      </c>
      <c r="S598" s="7">
        <f>Table1_1[[#This Row],[Units Sold]]*Table1_1[[#This Row],[Unit Price]]*(1-Table1_1[[#This Row],[Discount %]])</f>
        <v>101504</v>
      </c>
      <c r="T598" s="7">
        <f>Table1_1[[#This Row],[Units Sold]]*Table1_1[[#This Row],[Unit Cost]]</f>
        <v>97240</v>
      </c>
      <c r="U598" s="7">
        <f>Table1_1[[#This Row],[Calculated sales]]-Table1_1[[#This Row],[Total cost]]</f>
        <v>4264</v>
      </c>
      <c r="V598" s="4">
        <f>IFERROR(Table1_1[[#This Row],[Profit/Loss]]/Table1_1[[#This Row],[Calculated sales]],0)</f>
        <v>4.2008196721311473E-2</v>
      </c>
    </row>
    <row r="599" spans="1:22" x14ac:dyDescent="0.25">
      <c r="A599" s="4" t="s">
        <v>745</v>
      </c>
      <c r="B599" s="5">
        <v>45611</v>
      </c>
      <c r="C599" s="4">
        <f>YEAR(Table1_1[[#This Row],[Order Dates]])</f>
        <v>2024</v>
      </c>
      <c r="D599" s="6">
        <f>MONTH(Table1_1[[#This Row],[Order Dates]])</f>
        <v>11</v>
      </c>
      <c r="E599" s="4" t="s">
        <v>56</v>
      </c>
      <c r="F599" s="4" t="s">
        <v>143</v>
      </c>
      <c r="G599" s="4" t="s">
        <v>91</v>
      </c>
      <c r="H599" s="4" t="str">
        <f>TRIM(CLEAN(SUBSTITUTE(Table1_1[[#This Row],[Salesperson]],"   "," ")))</f>
        <v>Anjali Menon</v>
      </c>
      <c r="I599" s="4" t="s">
        <v>45</v>
      </c>
      <c r="J599" s="4" t="s">
        <v>59</v>
      </c>
      <c r="K599" s="4" t="s">
        <v>154</v>
      </c>
      <c r="L599" s="4" t="s">
        <v>249</v>
      </c>
      <c r="M599" s="4" t="s">
        <v>23</v>
      </c>
      <c r="N599" s="4" t="s">
        <v>119</v>
      </c>
      <c r="O599" s="4">
        <v>9</v>
      </c>
      <c r="P599" s="7">
        <v>6190</v>
      </c>
      <c r="Q599" s="8">
        <v>0.08</v>
      </c>
      <c r="R599" s="7">
        <v>3870</v>
      </c>
      <c r="S599" s="7">
        <f>Table1_1[[#This Row],[Units Sold]]*Table1_1[[#This Row],[Unit Price]]*(1-Table1_1[[#This Row],[Discount %]])</f>
        <v>51253.200000000004</v>
      </c>
      <c r="T599" s="7">
        <f>Table1_1[[#This Row],[Units Sold]]*Table1_1[[#This Row],[Unit Cost]]</f>
        <v>34830</v>
      </c>
      <c r="U599" s="7">
        <f>Table1_1[[#This Row],[Calculated sales]]-Table1_1[[#This Row],[Total cost]]</f>
        <v>16423.200000000004</v>
      </c>
      <c r="V599" s="4">
        <f>IFERROR(Table1_1[[#This Row],[Profit/Loss]]/Table1_1[[#This Row],[Calculated sales]],0)</f>
        <v>0.32043267542319315</v>
      </c>
    </row>
    <row r="600" spans="1:22" x14ac:dyDescent="0.25">
      <c r="A600" s="4" t="s">
        <v>746</v>
      </c>
      <c r="B600" s="5">
        <v>45611</v>
      </c>
      <c r="C600" s="4">
        <f>YEAR(Table1_1[[#This Row],[Order Dates]])</f>
        <v>2024</v>
      </c>
      <c r="D600" s="6">
        <f>MONTH(Table1_1[[#This Row],[Order Dates]])</f>
        <v>11</v>
      </c>
      <c r="E600" s="4" t="s">
        <v>42</v>
      </c>
      <c r="F600" s="4" t="s">
        <v>146</v>
      </c>
      <c r="G600" s="4" t="s">
        <v>44</v>
      </c>
      <c r="H600" s="4" t="str">
        <f>TRIM(CLEAN(SUBSTITUTE(Table1_1[[#This Row],[Salesperson]],"   "," ")))</f>
        <v>Simran Kaur</v>
      </c>
      <c r="I600" s="4" t="s">
        <v>19</v>
      </c>
      <c r="J600" s="4" t="s">
        <v>27</v>
      </c>
      <c r="K600" s="4" t="s">
        <v>53</v>
      </c>
      <c r="L600" s="4" t="s">
        <v>1676</v>
      </c>
      <c r="M600" s="4" t="s">
        <v>23</v>
      </c>
      <c r="N600" s="4" t="s">
        <v>24</v>
      </c>
      <c r="O600" s="4">
        <v>2</v>
      </c>
      <c r="P600" s="7">
        <v>34660</v>
      </c>
      <c r="Q600" s="8">
        <v>0.15</v>
      </c>
      <c r="R600" s="7">
        <v>25730</v>
      </c>
      <c r="S600" s="7">
        <f>Table1_1[[#This Row],[Units Sold]]*Table1_1[[#This Row],[Unit Price]]*(1-Table1_1[[#This Row],[Discount %]])</f>
        <v>58922</v>
      </c>
      <c r="T600" s="7">
        <f>Table1_1[[#This Row],[Units Sold]]*Table1_1[[#This Row],[Unit Cost]]</f>
        <v>51460</v>
      </c>
      <c r="U600" s="7">
        <f>Table1_1[[#This Row],[Calculated sales]]-Table1_1[[#This Row],[Total cost]]</f>
        <v>7462</v>
      </c>
      <c r="V600" s="4">
        <f>IFERROR(Table1_1[[#This Row],[Profit/Loss]]/Table1_1[[#This Row],[Calculated sales]],0)</f>
        <v>0.12664200128984079</v>
      </c>
    </row>
    <row r="601" spans="1:22" x14ac:dyDescent="0.25">
      <c r="A601" s="4" t="s">
        <v>747</v>
      </c>
      <c r="B601" s="5">
        <v>45612</v>
      </c>
      <c r="C601" s="4">
        <f>YEAR(Table1_1[[#This Row],[Order Dates]])</f>
        <v>2024</v>
      </c>
      <c r="D601" s="6">
        <f>MONTH(Table1_1[[#This Row],[Order Dates]])</f>
        <v>11</v>
      </c>
      <c r="E601" s="4" t="s">
        <v>56</v>
      </c>
      <c r="F601" s="4" t="s">
        <v>57</v>
      </c>
      <c r="G601" s="4" t="s">
        <v>134</v>
      </c>
      <c r="H601" s="4" t="str">
        <f>TRIM(CLEAN(SUBSTITUTE(Table1_1[[#This Row],[Salesperson]],"   "," ")))</f>
        <v>Divya Nair</v>
      </c>
      <c r="I601" s="4" t="s">
        <v>19</v>
      </c>
      <c r="J601" s="4" t="s">
        <v>83</v>
      </c>
      <c r="K601" s="4" t="s">
        <v>136</v>
      </c>
      <c r="L601" s="4" t="s">
        <v>307</v>
      </c>
      <c r="M601" s="4" t="s">
        <v>49</v>
      </c>
      <c r="N601" s="4" t="s">
        <v>24</v>
      </c>
      <c r="O601" s="4">
        <v>39</v>
      </c>
      <c r="P601" s="7">
        <v>870</v>
      </c>
      <c r="Q601" s="8">
        <v>0.05</v>
      </c>
      <c r="R601" s="7">
        <v>520</v>
      </c>
      <c r="S601" s="7">
        <f>Table1_1[[#This Row],[Units Sold]]*Table1_1[[#This Row],[Unit Price]]*(1-Table1_1[[#This Row],[Discount %]])</f>
        <v>32233.5</v>
      </c>
      <c r="T601" s="7">
        <f>Table1_1[[#This Row],[Units Sold]]*Table1_1[[#This Row],[Unit Cost]]</f>
        <v>20280</v>
      </c>
      <c r="U601" s="7">
        <f>Table1_1[[#This Row],[Calculated sales]]-Table1_1[[#This Row],[Total cost]]</f>
        <v>11953.5</v>
      </c>
      <c r="V601" s="4">
        <f>IFERROR(Table1_1[[#This Row],[Profit/Loss]]/Table1_1[[#This Row],[Calculated sales]],0)</f>
        <v>0.37084089534180276</v>
      </c>
    </row>
    <row r="602" spans="1:22" x14ac:dyDescent="0.25">
      <c r="A602" s="4" t="s">
        <v>748</v>
      </c>
      <c r="B602" s="5">
        <v>45612</v>
      </c>
      <c r="C602" s="4">
        <f>YEAR(Table1_1[[#This Row],[Order Dates]])</f>
        <v>2024</v>
      </c>
      <c r="D602" s="6">
        <f>MONTH(Table1_1[[#This Row],[Order Dates]])</f>
        <v>11</v>
      </c>
      <c r="E602" s="4" t="s">
        <v>76</v>
      </c>
      <c r="F602" s="4" t="s">
        <v>125</v>
      </c>
      <c r="G602" s="4" t="s">
        <v>78</v>
      </c>
      <c r="H602" s="4" t="str">
        <f>TRIM(CLEAN(SUBSTITUTE(Table1_1[[#This Row],[Salesperson]],"   "," ")))</f>
        <v>Pooja Chouhan</v>
      </c>
      <c r="I602" s="4" t="s">
        <v>52</v>
      </c>
      <c r="J602" s="4" t="s">
        <v>20</v>
      </c>
      <c r="K602" s="4" t="s">
        <v>21</v>
      </c>
      <c r="L602" s="4" t="s">
        <v>1670</v>
      </c>
      <c r="M602" s="4" t="s">
        <v>40</v>
      </c>
      <c r="N602" s="4" t="s">
        <v>24</v>
      </c>
      <c r="O602" s="4">
        <v>9</v>
      </c>
      <c r="P602" s="7">
        <v>9040</v>
      </c>
      <c r="Q602" s="8">
        <v>0</v>
      </c>
      <c r="R602" s="7">
        <v>5620</v>
      </c>
      <c r="S602" s="7">
        <f>Table1_1[[#This Row],[Units Sold]]*Table1_1[[#This Row],[Unit Price]]*(1-Table1_1[[#This Row],[Discount %]])</f>
        <v>81360</v>
      </c>
      <c r="T602" s="7">
        <f>Table1_1[[#This Row],[Units Sold]]*Table1_1[[#This Row],[Unit Cost]]</f>
        <v>50580</v>
      </c>
      <c r="U602" s="7">
        <f>Table1_1[[#This Row],[Calculated sales]]-Table1_1[[#This Row],[Total cost]]</f>
        <v>30780</v>
      </c>
      <c r="V602" s="4">
        <f>IFERROR(Table1_1[[#This Row],[Profit/Loss]]/Table1_1[[#This Row],[Calculated sales]],0)</f>
        <v>0.37831858407079644</v>
      </c>
    </row>
    <row r="603" spans="1:22" x14ac:dyDescent="0.25">
      <c r="A603" s="4" t="s">
        <v>749</v>
      </c>
      <c r="B603" s="5">
        <v>45612</v>
      </c>
      <c r="C603" s="4">
        <f>YEAR(Table1_1[[#This Row],[Order Dates]])</f>
        <v>2024</v>
      </c>
      <c r="D603" s="6">
        <f>MONTH(Table1_1[[#This Row],[Order Dates]])</f>
        <v>11</v>
      </c>
      <c r="E603" s="4" t="s">
        <v>37</v>
      </c>
      <c r="F603" s="4" t="s">
        <v>67</v>
      </c>
      <c r="G603" s="4" t="s">
        <v>39</v>
      </c>
      <c r="H603" s="4" t="str">
        <f>TRIM(CLEAN(SUBSTITUTE(Table1_1[[#This Row],[Salesperson]],"   "," ")))</f>
        <v>Sourav Das</v>
      </c>
      <c r="I603" s="4" t="s">
        <v>19</v>
      </c>
      <c r="J603" s="4" t="s">
        <v>27</v>
      </c>
      <c r="K603" s="4" t="s">
        <v>214</v>
      </c>
      <c r="L603" s="4" t="s">
        <v>1680</v>
      </c>
      <c r="M603" s="4" t="s">
        <v>40</v>
      </c>
      <c r="N603" s="4" t="s">
        <v>24</v>
      </c>
      <c r="O603" s="4">
        <v>4</v>
      </c>
      <c r="P603" s="7">
        <v>36470</v>
      </c>
      <c r="Q603" s="8">
        <v>0.12</v>
      </c>
      <c r="R603" s="7">
        <v>22360</v>
      </c>
      <c r="S603" s="7">
        <f>Table1_1[[#This Row],[Units Sold]]*Table1_1[[#This Row],[Unit Price]]*(1-Table1_1[[#This Row],[Discount %]])</f>
        <v>128374.39999999999</v>
      </c>
      <c r="T603" s="7">
        <f>Table1_1[[#This Row],[Units Sold]]*Table1_1[[#This Row],[Unit Cost]]</f>
        <v>89440</v>
      </c>
      <c r="U603" s="7">
        <f>Table1_1[[#This Row],[Calculated sales]]-Table1_1[[#This Row],[Total cost]]</f>
        <v>38934.399999999994</v>
      </c>
      <c r="V603" s="4">
        <f>IFERROR(Table1_1[[#This Row],[Profit/Loss]]/Table1_1[[#This Row],[Calculated sales]],0)</f>
        <v>0.30328788294239345</v>
      </c>
    </row>
    <row r="604" spans="1:22" x14ac:dyDescent="0.25">
      <c r="A604" s="4" t="s">
        <v>750</v>
      </c>
      <c r="B604" s="5">
        <v>45612</v>
      </c>
      <c r="C604" s="4">
        <f>YEAR(Table1_1[[#This Row],[Order Dates]])</f>
        <v>2024</v>
      </c>
      <c r="D604" s="6">
        <f>MONTH(Table1_1[[#This Row],[Order Dates]])</f>
        <v>11</v>
      </c>
      <c r="E604" s="4" t="s">
        <v>76</v>
      </c>
      <c r="F604" s="4" t="s">
        <v>150</v>
      </c>
      <c r="G604" s="4" t="s">
        <v>170</v>
      </c>
      <c r="H604" s="4" t="str">
        <f>TRIM(CLEAN(SUBSTITUTE(Table1_1[[#This Row],[Salesperson]],"   "," ")))</f>
        <v>Manish Tiwari</v>
      </c>
      <c r="I604" s="4" t="s">
        <v>52</v>
      </c>
      <c r="J604" s="4" t="s">
        <v>20</v>
      </c>
      <c r="K604" s="4" t="s">
        <v>21</v>
      </c>
      <c r="L604" s="4" t="s">
        <v>1667</v>
      </c>
      <c r="M604" s="4" t="s">
        <v>49</v>
      </c>
      <c r="N604" s="4" t="s">
        <v>24</v>
      </c>
      <c r="O604" s="4">
        <v>18</v>
      </c>
      <c r="P604" s="7">
        <v>1770</v>
      </c>
      <c r="Q604" s="8">
        <v>0.08</v>
      </c>
      <c r="R604" s="7">
        <v>1110</v>
      </c>
      <c r="S604" s="7">
        <f>Table1_1[[#This Row],[Units Sold]]*Table1_1[[#This Row],[Unit Price]]*(1-Table1_1[[#This Row],[Discount %]])</f>
        <v>29311.200000000001</v>
      </c>
      <c r="T604" s="7">
        <f>Table1_1[[#This Row],[Units Sold]]*Table1_1[[#This Row],[Unit Cost]]</f>
        <v>19980</v>
      </c>
      <c r="U604" s="7">
        <f>Table1_1[[#This Row],[Calculated sales]]-Table1_1[[#This Row],[Total cost]]</f>
        <v>9331.2000000000007</v>
      </c>
      <c r="V604" s="4">
        <f>IFERROR(Table1_1[[#This Row],[Profit/Loss]]/Table1_1[[#This Row],[Calculated sales]],0)</f>
        <v>0.31834929992630806</v>
      </c>
    </row>
    <row r="605" spans="1:22" x14ac:dyDescent="0.25">
      <c r="A605" s="4" t="s">
        <v>751</v>
      </c>
      <c r="B605" s="5">
        <v>45613</v>
      </c>
      <c r="C605" s="4">
        <f>YEAR(Table1_1[[#This Row],[Order Dates]])</f>
        <v>2024</v>
      </c>
      <c r="D605" s="6">
        <f>MONTH(Table1_1[[#This Row],[Order Dates]])</f>
        <v>11</v>
      </c>
      <c r="E605" s="4" t="s">
        <v>37</v>
      </c>
      <c r="F605" s="4" t="s">
        <v>67</v>
      </c>
      <c r="G605" s="4" t="s">
        <v>39</v>
      </c>
      <c r="H605" s="4" t="str">
        <f>TRIM(CLEAN(SUBSTITUTE(Table1_1[[#This Row],[Salesperson]],"   "," ")))</f>
        <v>Sourav Das</v>
      </c>
      <c r="I605" s="4" t="s">
        <v>19</v>
      </c>
      <c r="J605" s="4" t="s">
        <v>83</v>
      </c>
      <c r="K605" s="4" t="s">
        <v>184</v>
      </c>
      <c r="L605" s="4" t="s">
        <v>1679</v>
      </c>
      <c r="M605" s="4" t="s">
        <v>23</v>
      </c>
      <c r="N605" s="4" t="s">
        <v>24</v>
      </c>
      <c r="O605" s="4">
        <v>11</v>
      </c>
      <c r="P605" s="7">
        <v>4620</v>
      </c>
      <c r="Q605" s="8">
        <v>0</v>
      </c>
      <c r="R605" s="7">
        <v>3630</v>
      </c>
      <c r="S605" s="7">
        <f>Table1_1[[#This Row],[Units Sold]]*Table1_1[[#This Row],[Unit Price]]*(1-Table1_1[[#This Row],[Discount %]])</f>
        <v>50820</v>
      </c>
      <c r="T605" s="7">
        <f>Table1_1[[#This Row],[Units Sold]]*Table1_1[[#This Row],[Unit Cost]]</f>
        <v>39930</v>
      </c>
      <c r="U605" s="7">
        <f>Table1_1[[#This Row],[Calculated sales]]-Table1_1[[#This Row],[Total cost]]</f>
        <v>10890</v>
      </c>
      <c r="V605" s="4">
        <f>IFERROR(Table1_1[[#This Row],[Profit/Loss]]/Table1_1[[#This Row],[Calculated sales]],0)</f>
        <v>0.21428571428571427</v>
      </c>
    </row>
    <row r="606" spans="1:22" x14ac:dyDescent="0.25">
      <c r="A606" s="4" t="s">
        <v>752</v>
      </c>
      <c r="B606" s="5">
        <v>45613</v>
      </c>
      <c r="C606" s="4">
        <f>YEAR(Table1_1[[#This Row],[Order Dates]])</f>
        <v>2024</v>
      </c>
      <c r="D606" s="6">
        <f>MONTH(Table1_1[[#This Row],[Order Dates]])</f>
        <v>11</v>
      </c>
      <c r="E606" s="4" t="s">
        <v>16</v>
      </c>
      <c r="F606" s="4" t="s">
        <v>82</v>
      </c>
      <c r="G606" s="4" t="s">
        <v>32</v>
      </c>
      <c r="H606" s="4" t="str">
        <f>TRIM(CLEAN(SUBSTITUTE(Table1_1[[#This Row],[Salesperson]],"   "," ")))</f>
        <v>Neha Deshpande</v>
      </c>
      <c r="I606" s="4" t="s">
        <v>45</v>
      </c>
      <c r="J606" s="4" t="s">
        <v>59</v>
      </c>
      <c r="K606" s="4" t="s">
        <v>154</v>
      </c>
      <c r="L606" s="4" t="s">
        <v>249</v>
      </c>
      <c r="M606" s="4" t="s">
        <v>23</v>
      </c>
      <c r="N606" s="4" t="s">
        <v>24</v>
      </c>
      <c r="O606" s="4">
        <v>21</v>
      </c>
      <c r="P606" s="7">
        <v>6410</v>
      </c>
      <c r="Q606" s="8">
        <v>0.1</v>
      </c>
      <c r="R606" s="7">
        <v>4620</v>
      </c>
      <c r="S606" s="7">
        <f>Table1_1[[#This Row],[Units Sold]]*Table1_1[[#This Row],[Unit Price]]*(1-Table1_1[[#This Row],[Discount %]])</f>
        <v>121149</v>
      </c>
      <c r="T606" s="7">
        <f>Table1_1[[#This Row],[Units Sold]]*Table1_1[[#This Row],[Unit Cost]]</f>
        <v>97020</v>
      </c>
      <c r="U606" s="7">
        <f>Table1_1[[#This Row],[Calculated sales]]-Table1_1[[#This Row],[Total cost]]</f>
        <v>24129</v>
      </c>
      <c r="V606" s="4">
        <f>IFERROR(Table1_1[[#This Row],[Profit/Loss]]/Table1_1[[#This Row],[Calculated sales]],0)</f>
        <v>0.19916796671866874</v>
      </c>
    </row>
    <row r="607" spans="1:22" x14ac:dyDescent="0.25">
      <c r="A607" s="4" t="s">
        <v>753</v>
      </c>
      <c r="B607" s="5">
        <v>45613</v>
      </c>
      <c r="C607" s="4">
        <f>YEAR(Table1_1[[#This Row],[Order Dates]])</f>
        <v>2024</v>
      </c>
      <c r="D607" s="6">
        <f>MONTH(Table1_1[[#This Row],[Order Dates]])</f>
        <v>11</v>
      </c>
      <c r="E607" s="4" t="s">
        <v>37</v>
      </c>
      <c r="F607" s="4" t="s">
        <v>213</v>
      </c>
      <c r="G607" s="4" t="s">
        <v>68</v>
      </c>
      <c r="H607" s="4" t="str">
        <f>TRIM(CLEAN(SUBSTITUTE(Table1_1[[#This Row],[Salesperson]],"   "," ")))</f>
        <v>Ritika Ghosh</v>
      </c>
      <c r="I607" s="4" t="s">
        <v>52</v>
      </c>
      <c r="J607" s="4" t="s">
        <v>83</v>
      </c>
      <c r="K607" s="4" t="s">
        <v>184</v>
      </c>
      <c r="L607" s="4" t="s">
        <v>1679</v>
      </c>
      <c r="M607" s="4" t="s">
        <v>23</v>
      </c>
      <c r="N607" s="4" t="s">
        <v>24</v>
      </c>
      <c r="O607" s="4">
        <v>8</v>
      </c>
      <c r="P607" s="7">
        <v>4410</v>
      </c>
      <c r="Q607" s="8">
        <v>0.1</v>
      </c>
      <c r="R607" s="7">
        <v>3190</v>
      </c>
      <c r="S607" s="7">
        <f>Table1_1[[#This Row],[Units Sold]]*Table1_1[[#This Row],[Unit Price]]*(1-Table1_1[[#This Row],[Discount %]])</f>
        <v>31752</v>
      </c>
      <c r="T607" s="7">
        <f>Table1_1[[#This Row],[Units Sold]]*Table1_1[[#This Row],[Unit Cost]]</f>
        <v>25520</v>
      </c>
      <c r="U607" s="7">
        <f>Table1_1[[#This Row],[Calculated sales]]-Table1_1[[#This Row],[Total cost]]</f>
        <v>6232</v>
      </c>
      <c r="V607" s="4">
        <f>IFERROR(Table1_1[[#This Row],[Profit/Loss]]/Table1_1[[#This Row],[Calculated sales]],0)</f>
        <v>0.1962711010330058</v>
      </c>
    </row>
    <row r="608" spans="1:22" x14ac:dyDescent="0.25">
      <c r="A608" s="4" t="s">
        <v>754</v>
      </c>
      <c r="B608" s="5">
        <v>45613</v>
      </c>
      <c r="C608" s="4">
        <f>YEAR(Table1_1[[#This Row],[Order Dates]])</f>
        <v>2024</v>
      </c>
      <c r="D608" s="6">
        <f>MONTH(Table1_1[[#This Row],[Order Dates]])</f>
        <v>11</v>
      </c>
      <c r="E608" s="4" t="s">
        <v>76</v>
      </c>
      <c r="F608" s="4" t="s">
        <v>125</v>
      </c>
      <c r="G608" s="4" t="s">
        <v>78</v>
      </c>
      <c r="H608" s="4" t="str">
        <f>TRIM(CLEAN(SUBSTITUTE(Table1_1[[#This Row],[Salesperson]],"   "," ")))</f>
        <v>Pooja Chouhan</v>
      </c>
      <c r="I608" s="4" t="s">
        <v>52</v>
      </c>
      <c r="J608" s="4" t="s">
        <v>59</v>
      </c>
      <c r="K608" s="4" t="s">
        <v>154</v>
      </c>
      <c r="L608" s="4" t="s">
        <v>155</v>
      </c>
      <c r="M608" s="4" t="s">
        <v>40</v>
      </c>
      <c r="N608" s="4" t="s">
        <v>24</v>
      </c>
      <c r="O608" s="4">
        <v>7</v>
      </c>
      <c r="P608" s="7">
        <v>12960</v>
      </c>
      <c r="Q608" s="8">
        <v>0.2</v>
      </c>
      <c r="R608" s="7">
        <v>7600</v>
      </c>
      <c r="S608" s="7">
        <f>Table1_1[[#This Row],[Units Sold]]*Table1_1[[#This Row],[Unit Price]]*(1-Table1_1[[#This Row],[Discount %]])</f>
        <v>72576</v>
      </c>
      <c r="T608" s="7">
        <f>Table1_1[[#This Row],[Units Sold]]*Table1_1[[#This Row],[Unit Cost]]</f>
        <v>53200</v>
      </c>
      <c r="U608" s="7">
        <f>Table1_1[[#This Row],[Calculated sales]]-Table1_1[[#This Row],[Total cost]]</f>
        <v>19376</v>
      </c>
      <c r="V608" s="4">
        <f>IFERROR(Table1_1[[#This Row],[Profit/Loss]]/Table1_1[[#This Row],[Calculated sales]],0)</f>
        <v>0.26697530864197533</v>
      </c>
    </row>
    <row r="609" spans="1:22" x14ac:dyDescent="0.25">
      <c r="A609" s="4" t="s">
        <v>755</v>
      </c>
      <c r="B609" s="5">
        <v>45614</v>
      </c>
      <c r="C609" s="4">
        <f>YEAR(Table1_1[[#This Row],[Order Dates]])</f>
        <v>2024</v>
      </c>
      <c r="D609" s="6">
        <f>MONTH(Table1_1[[#This Row],[Order Dates]])</f>
        <v>11</v>
      </c>
      <c r="E609" s="4" t="s">
        <v>37</v>
      </c>
      <c r="F609" s="4" t="s">
        <v>115</v>
      </c>
      <c r="G609" s="4" t="s">
        <v>68</v>
      </c>
      <c r="H609" s="4" t="str">
        <f>TRIM(CLEAN(SUBSTITUTE(Table1_1[[#This Row],[Salesperson]],"   "," ")))</f>
        <v>Ritika Ghosh</v>
      </c>
      <c r="I609" s="4" t="s">
        <v>19</v>
      </c>
      <c r="J609" s="4" t="s">
        <v>46</v>
      </c>
      <c r="K609" s="4" t="s">
        <v>47</v>
      </c>
      <c r="L609" s="4" t="s">
        <v>1673</v>
      </c>
      <c r="M609" s="4" t="s">
        <v>40</v>
      </c>
      <c r="N609" s="4" t="s">
        <v>94</v>
      </c>
      <c r="O609" s="4">
        <v>6</v>
      </c>
      <c r="P609" s="7">
        <v>1170</v>
      </c>
      <c r="Q609" s="8">
        <v>0.05</v>
      </c>
      <c r="R609" s="7">
        <v>890</v>
      </c>
      <c r="S609" s="7">
        <f>Table1_1[[#This Row],[Units Sold]]*Table1_1[[#This Row],[Unit Price]]*(1-Table1_1[[#This Row],[Discount %]])</f>
        <v>6669</v>
      </c>
      <c r="T609" s="7">
        <f>Table1_1[[#This Row],[Units Sold]]*Table1_1[[#This Row],[Unit Cost]]</f>
        <v>5340</v>
      </c>
      <c r="U609" s="7">
        <f>Table1_1[[#This Row],[Calculated sales]]-Table1_1[[#This Row],[Total cost]]</f>
        <v>1329</v>
      </c>
      <c r="V609" s="4">
        <f>IFERROR(Table1_1[[#This Row],[Profit/Loss]]/Table1_1[[#This Row],[Calculated sales]],0)</f>
        <v>0.19928025191183085</v>
      </c>
    </row>
    <row r="610" spans="1:22" x14ac:dyDescent="0.25">
      <c r="A610" s="4" t="s">
        <v>756</v>
      </c>
      <c r="B610" s="5">
        <v>45615</v>
      </c>
      <c r="C610" s="4">
        <f>YEAR(Table1_1[[#This Row],[Order Dates]])</f>
        <v>2024</v>
      </c>
      <c r="D610" s="6">
        <f>MONTH(Table1_1[[#This Row],[Order Dates]])</f>
        <v>11</v>
      </c>
      <c r="E610" s="4" t="s">
        <v>16</v>
      </c>
      <c r="F610" s="4" t="s">
        <v>153</v>
      </c>
      <c r="G610" s="4" t="s">
        <v>32</v>
      </c>
      <c r="H610" s="4" t="str">
        <f>TRIM(CLEAN(SUBSTITUTE(Table1_1[[#This Row],[Salesperson]],"   "," ")))</f>
        <v>Neha Deshpande</v>
      </c>
      <c r="I610" s="4" t="s">
        <v>52</v>
      </c>
      <c r="J610" s="4" t="s">
        <v>20</v>
      </c>
      <c r="K610" s="4" t="s">
        <v>21</v>
      </c>
      <c r="L610" s="4" t="s">
        <v>1670</v>
      </c>
      <c r="M610" s="4" t="s">
        <v>23</v>
      </c>
      <c r="N610" s="4" t="s">
        <v>94</v>
      </c>
      <c r="O610" s="4">
        <v>3</v>
      </c>
      <c r="P610" s="7">
        <v>8840</v>
      </c>
      <c r="Q610" s="8">
        <v>0.08</v>
      </c>
      <c r="R610" s="7">
        <v>6590</v>
      </c>
      <c r="S610" s="7">
        <f>Table1_1[[#This Row],[Units Sold]]*Table1_1[[#This Row],[Unit Price]]*(1-Table1_1[[#This Row],[Discount %]])</f>
        <v>24398.400000000001</v>
      </c>
      <c r="T610" s="7">
        <f>Table1_1[[#This Row],[Units Sold]]*Table1_1[[#This Row],[Unit Cost]]</f>
        <v>19770</v>
      </c>
      <c r="U610" s="7">
        <f>Table1_1[[#This Row],[Calculated sales]]-Table1_1[[#This Row],[Total cost]]</f>
        <v>4628.4000000000015</v>
      </c>
      <c r="V610" s="4">
        <f>IFERROR(Table1_1[[#This Row],[Profit/Loss]]/Table1_1[[#This Row],[Calculated sales]],0)</f>
        <v>0.18970096399763925</v>
      </c>
    </row>
    <row r="611" spans="1:22" x14ac:dyDescent="0.25">
      <c r="A611" s="4" t="s">
        <v>757</v>
      </c>
      <c r="B611" s="5">
        <v>45615</v>
      </c>
      <c r="C611" s="4">
        <f>YEAR(Table1_1[[#This Row],[Order Dates]])</f>
        <v>2024</v>
      </c>
      <c r="D611" s="6">
        <f>MONTH(Table1_1[[#This Row],[Order Dates]])</f>
        <v>11</v>
      </c>
      <c r="E611" s="4" t="s">
        <v>37</v>
      </c>
      <c r="F611" s="4" t="s">
        <v>213</v>
      </c>
      <c r="G611" s="4" t="s">
        <v>68</v>
      </c>
      <c r="H611" s="4" t="str">
        <f>TRIM(CLEAN(SUBSTITUTE(Table1_1[[#This Row],[Salesperson]],"   "," ")))</f>
        <v>Ritika Ghosh</v>
      </c>
      <c r="I611" s="4" t="s">
        <v>19</v>
      </c>
      <c r="J611" s="4" t="s">
        <v>20</v>
      </c>
      <c r="K611" s="4" t="s">
        <v>87</v>
      </c>
      <c r="L611" s="4" t="s">
        <v>1674</v>
      </c>
      <c r="M611" s="4" t="s">
        <v>40</v>
      </c>
      <c r="N611" s="4" t="s">
        <v>24</v>
      </c>
      <c r="O611" s="4">
        <v>3</v>
      </c>
      <c r="P611" s="7">
        <v>54770</v>
      </c>
      <c r="Q611" s="8">
        <v>0.1</v>
      </c>
      <c r="R611" s="7">
        <v>40010</v>
      </c>
      <c r="S611" s="7">
        <f>Table1_1[[#This Row],[Units Sold]]*Table1_1[[#This Row],[Unit Price]]*(1-Table1_1[[#This Row],[Discount %]])</f>
        <v>147879</v>
      </c>
      <c r="T611" s="7">
        <f>Table1_1[[#This Row],[Units Sold]]*Table1_1[[#This Row],[Unit Cost]]</f>
        <v>120030</v>
      </c>
      <c r="U611" s="7">
        <f>Table1_1[[#This Row],[Calculated sales]]-Table1_1[[#This Row],[Total cost]]</f>
        <v>27849</v>
      </c>
      <c r="V611" s="4">
        <f>IFERROR(Table1_1[[#This Row],[Profit/Loss]]/Table1_1[[#This Row],[Calculated sales]],0)</f>
        <v>0.18832288560241819</v>
      </c>
    </row>
    <row r="612" spans="1:22" x14ac:dyDescent="0.25">
      <c r="A612" s="4" t="s">
        <v>758</v>
      </c>
      <c r="B612" s="5">
        <v>45615</v>
      </c>
      <c r="C612" s="4">
        <f>YEAR(Table1_1[[#This Row],[Order Dates]])</f>
        <v>2024</v>
      </c>
      <c r="D612" s="6">
        <f>MONTH(Table1_1[[#This Row],[Order Dates]])</f>
        <v>11</v>
      </c>
      <c r="E612" s="4" t="s">
        <v>16</v>
      </c>
      <c r="F612" s="4" t="s">
        <v>82</v>
      </c>
      <c r="G612" s="4" t="s">
        <v>18</v>
      </c>
      <c r="H612" s="4" t="str">
        <f>TRIM(CLEAN(SUBSTITUTE(Table1_1[[#This Row],[Salesperson]],"   "," ")))</f>
        <v>Imran Sheikh</v>
      </c>
      <c r="I612" s="4" t="s">
        <v>19</v>
      </c>
      <c r="J612" s="4" t="s">
        <v>83</v>
      </c>
      <c r="K612" s="4" t="s">
        <v>184</v>
      </c>
      <c r="L612" s="4" t="s">
        <v>196</v>
      </c>
      <c r="M612" s="4" t="s">
        <v>40</v>
      </c>
      <c r="N612" s="4" t="s">
        <v>24</v>
      </c>
      <c r="O612" s="4">
        <v>12</v>
      </c>
      <c r="P612" s="7">
        <v>3390</v>
      </c>
      <c r="Q612" s="8">
        <v>0</v>
      </c>
      <c r="R612" s="7">
        <v>2160</v>
      </c>
      <c r="S612" s="7">
        <f>Table1_1[[#This Row],[Units Sold]]*Table1_1[[#This Row],[Unit Price]]*(1-Table1_1[[#This Row],[Discount %]])</f>
        <v>40680</v>
      </c>
      <c r="T612" s="7">
        <f>Table1_1[[#This Row],[Units Sold]]*Table1_1[[#This Row],[Unit Cost]]</f>
        <v>25920</v>
      </c>
      <c r="U612" s="7">
        <f>Table1_1[[#This Row],[Calculated sales]]-Table1_1[[#This Row],[Total cost]]</f>
        <v>14760</v>
      </c>
      <c r="V612" s="4">
        <f>IFERROR(Table1_1[[#This Row],[Profit/Loss]]/Table1_1[[#This Row],[Calculated sales]],0)</f>
        <v>0.36283185840707965</v>
      </c>
    </row>
    <row r="613" spans="1:22" x14ac:dyDescent="0.25">
      <c r="A613" s="4" t="s">
        <v>759</v>
      </c>
      <c r="B613" s="5">
        <v>45616</v>
      </c>
      <c r="C613" s="4">
        <f>YEAR(Table1_1[[#This Row],[Order Dates]])</f>
        <v>2024</v>
      </c>
      <c r="D613" s="6">
        <f>MONTH(Table1_1[[#This Row],[Order Dates]])</f>
        <v>11</v>
      </c>
      <c r="E613" s="4" t="s">
        <v>37</v>
      </c>
      <c r="F613" s="4" t="s">
        <v>213</v>
      </c>
      <c r="G613" s="4" t="s">
        <v>68</v>
      </c>
      <c r="H613" s="4" t="str">
        <f>TRIM(CLEAN(SUBSTITUTE(Table1_1[[#This Row],[Salesperson]],"   "," ")))</f>
        <v>Ritika Ghosh</v>
      </c>
      <c r="I613" s="4" t="s">
        <v>19</v>
      </c>
      <c r="J613" s="4" t="s">
        <v>83</v>
      </c>
      <c r="K613" s="4" t="s">
        <v>136</v>
      </c>
      <c r="L613" s="4" t="s">
        <v>307</v>
      </c>
      <c r="M613" s="4" t="s">
        <v>40</v>
      </c>
      <c r="N613" s="4" t="s">
        <v>24</v>
      </c>
      <c r="O613" s="4">
        <v>11</v>
      </c>
      <c r="P613" s="7">
        <v>950</v>
      </c>
      <c r="Q613" s="8">
        <v>0.08</v>
      </c>
      <c r="R613" s="7">
        <v>620</v>
      </c>
      <c r="S613" s="7">
        <f>Table1_1[[#This Row],[Units Sold]]*Table1_1[[#This Row],[Unit Price]]*(1-Table1_1[[#This Row],[Discount %]])</f>
        <v>9614</v>
      </c>
      <c r="T613" s="7">
        <f>Table1_1[[#This Row],[Units Sold]]*Table1_1[[#This Row],[Unit Cost]]</f>
        <v>6820</v>
      </c>
      <c r="U613" s="7">
        <f>Table1_1[[#This Row],[Calculated sales]]-Table1_1[[#This Row],[Total cost]]</f>
        <v>2794</v>
      </c>
      <c r="V613" s="4">
        <f>IFERROR(Table1_1[[#This Row],[Profit/Loss]]/Table1_1[[#This Row],[Calculated sales]],0)</f>
        <v>0.29061784897025172</v>
      </c>
    </row>
    <row r="614" spans="1:22" x14ac:dyDescent="0.25">
      <c r="A614" s="4" t="s">
        <v>760</v>
      </c>
      <c r="B614" s="5">
        <v>45616</v>
      </c>
      <c r="C614" s="4">
        <f>YEAR(Table1_1[[#This Row],[Order Dates]])</f>
        <v>2024</v>
      </c>
      <c r="D614" s="6">
        <f>MONTH(Table1_1[[#This Row],[Order Dates]])</f>
        <v>11</v>
      </c>
      <c r="E614" s="4" t="s">
        <v>56</v>
      </c>
      <c r="F614" s="4" t="s">
        <v>143</v>
      </c>
      <c r="G614" s="4" t="s">
        <v>58</v>
      </c>
      <c r="H614" s="4" t="str">
        <f>TRIM(CLEAN(SUBSTITUTE(Table1_1[[#This Row],[Salesperson]],"   "," ")))</f>
        <v>Karthik Raman</v>
      </c>
      <c r="I614" s="4" t="s">
        <v>45</v>
      </c>
      <c r="J614" s="4" t="s">
        <v>59</v>
      </c>
      <c r="K614" s="4" t="s">
        <v>154</v>
      </c>
      <c r="L614" s="4" t="s">
        <v>249</v>
      </c>
      <c r="M614" s="4" t="s">
        <v>23</v>
      </c>
      <c r="N614" s="4" t="s">
        <v>24</v>
      </c>
      <c r="O614" s="4">
        <v>11</v>
      </c>
      <c r="P614" s="7">
        <v>6830</v>
      </c>
      <c r="Q614" s="8">
        <v>0.15</v>
      </c>
      <c r="R614" s="7">
        <v>5020</v>
      </c>
      <c r="S614" s="7">
        <f>Table1_1[[#This Row],[Units Sold]]*Table1_1[[#This Row],[Unit Price]]*(1-Table1_1[[#This Row],[Discount %]])</f>
        <v>63860.5</v>
      </c>
      <c r="T614" s="7">
        <f>Table1_1[[#This Row],[Units Sold]]*Table1_1[[#This Row],[Unit Cost]]</f>
        <v>55220</v>
      </c>
      <c r="U614" s="7">
        <f>Table1_1[[#This Row],[Calculated sales]]-Table1_1[[#This Row],[Total cost]]</f>
        <v>8640.5</v>
      </c>
      <c r="V614" s="4">
        <f>IFERROR(Table1_1[[#This Row],[Profit/Loss]]/Table1_1[[#This Row],[Calculated sales]],0)</f>
        <v>0.13530273016966671</v>
      </c>
    </row>
    <row r="615" spans="1:22" x14ac:dyDescent="0.25">
      <c r="A615" s="4" t="s">
        <v>761</v>
      </c>
      <c r="B615" s="5">
        <v>45616</v>
      </c>
      <c r="C615" s="4">
        <f>YEAR(Table1_1[[#This Row],[Order Dates]])</f>
        <v>2024</v>
      </c>
      <c r="D615" s="6">
        <f>MONTH(Table1_1[[#This Row],[Order Dates]])</f>
        <v>11</v>
      </c>
      <c r="E615" s="4" t="s">
        <v>37</v>
      </c>
      <c r="F615" s="4" t="s">
        <v>67</v>
      </c>
      <c r="G615" s="4" t="s">
        <v>68</v>
      </c>
      <c r="H615" s="4" t="str">
        <f>TRIM(CLEAN(SUBSTITUTE(Table1_1[[#This Row],[Salesperson]],"   "," ")))</f>
        <v>Ritika Ghosh</v>
      </c>
      <c r="I615" s="4" t="s">
        <v>92</v>
      </c>
      <c r="J615" s="4" t="s">
        <v>27</v>
      </c>
      <c r="K615" s="4" t="s">
        <v>53</v>
      </c>
      <c r="L615" s="4" t="s">
        <v>1676</v>
      </c>
      <c r="M615" s="4" t="s">
        <v>23</v>
      </c>
      <c r="N615" s="4" t="s">
        <v>119</v>
      </c>
      <c r="O615" s="4">
        <v>4</v>
      </c>
      <c r="P615" s="7">
        <v>37590</v>
      </c>
      <c r="Q615" s="8">
        <v>0.15</v>
      </c>
      <c r="R615" s="7">
        <v>29170</v>
      </c>
      <c r="S615" s="7">
        <f>Table1_1[[#This Row],[Units Sold]]*Table1_1[[#This Row],[Unit Price]]*(1-Table1_1[[#This Row],[Discount %]])</f>
        <v>127806</v>
      </c>
      <c r="T615" s="7">
        <f>Table1_1[[#This Row],[Units Sold]]*Table1_1[[#This Row],[Unit Cost]]</f>
        <v>116680</v>
      </c>
      <c r="U615" s="7">
        <f>Table1_1[[#This Row],[Calculated sales]]-Table1_1[[#This Row],[Total cost]]</f>
        <v>11126</v>
      </c>
      <c r="V615" s="4">
        <f>IFERROR(Table1_1[[#This Row],[Profit/Loss]]/Table1_1[[#This Row],[Calculated sales]],0)</f>
        <v>8.705381593978373E-2</v>
      </c>
    </row>
    <row r="616" spans="1:22" x14ac:dyDescent="0.25">
      <c r="A616" s="4" t="s">
        <v>762</v>
      </c>
      <c r="B616" s="5">
        <v>45617</v>
      </c>
      <c r="C616" s="4">
        <f>YEAR(Table1_1[[#This Row],[Order Dates]])</f>
        <v>2024</v>
      </c>
      <c r="D616" s="6">
        <f>MONTH(Table1_1[[#This Row],[Order Dates]])</f>
        <v>11</v>
      </c>
      <c r="E616" s="4" t="s">
        <v>16</v>
      </c>
      <c r="F616" s="4" t="s">
        <v>31</v>
      </c>
      <c r="G616" s="4" t="s">
        <v>32</v>
      </c>
      <c r="H616" s="4" t="str">
        <f>TRIM(CLEAN(SUBSTITUTE(Table1_1[[#This Row],[Salesperson]],"   "," ")))</f>
        <v>Neha Deshpande</v>
      </c>
      <c r="I616" s="4" t="s">
        <v>45</v>
      </c>
      <c r="J616" s="4" t="s">
        <v>27</v>
      </c>
      <c r="K616" s="4" t="s">
        <v>53</v>
      </c>
      <c r="L616" s="4" t="s">
        <v>1676</v>
      </c>
      <c r="M616" s="4" t="s">
        <v>49</v>
      </c>
      <c r="N616" s="4" t="s">
        <v>24</v>
      </c>
      <c r="O616" s="4">
        <v>2</v>
      </c>
      <c r="P616" s="7">
        <v>36320</v>
      </c>
      <c r="Q616" s="8">
        <v>0.1</v>
      </c>
      <c r="R616" s="7">
        <v>27110</v>
      </c>
      <c r="S616" s="7">
        <f>Table1_1[[#This Row],[Units Sold]]*Table1_1[[#This Row],[Unit Price]]*(1-Table1_1[[#This Row],[Discount %]])</f>
        <v>65376</v>
      </c>
      <c r="T616" s="7">
        <f>Table1_1[[#This Row],[Units Sold]]*Table1_1[[#This Row],[Unit Cost]]</f>
        <v>54220</v>
      </c>
      <c r="U616" s="7">
        <f>Table1_1[[#This Row],[Calculated sales]]-Table1_1[[#This Row],[Total cost]]</f>
        <v>11156</v>
      </c>
      <c r="V616" s="4">
        <f>IFERROR(Table1_1[[#This Row],[Profit/Loss]]/Table1_1[[#This Row],[Calculated sales]],0)</f>
        <v>0.17064366128242781</v>
      </c>
    </row>
    <row r="617" spans="1:22" x14ac:dyDescent="0.25">
      <c r="A617" s="4" t="s">
        <v>763</v>
      </c>
      <c r="B617" s="5">
        <v>45617</v>
      </c>
      <c r="C617" s="4">
        <f>YEAR(Table1_1[[#This Row],[Order Dates]])</f>
        <v>2024</v>
      </c>
      <c r="D617" s="6">
        <f>MONTH(Table1_1[[#This Row],[Order Dates]])</f>
        <v>11</v>
      </c>
      <c r="E617" s="4" t="s">
        <v>37</v>
      </c>
      <c r="F617" s="4" t="s">
        <v>213</v>
      </c>
      <c r="G617" s="4" t="s">
        <v>39</v>
      </c>
      <c r="H617" s="4" t="str">
        <f>TRIM(CLEAN(SUBSTITUTE(Table1_1[[#This Row],[Salesperson]],"   "," ")))</f>
        <v>Sourav Das</v>
      </c>
      <c r="I617" s="4" t="s">
        <v>19</v>
      </c>
      <c r="J617" s="4" t="s">
        <v>59</v>
      </c>
      <c r="K617" s="4" t="s">
        <v>154</v>
      </c>
      <c r="L617" s="4" t="s">
        <v>155</v>
      </c>
      <c r="M617" s="4" t="s">
        <v>40</v>
      </c>
      <c r="N617" s="4" t="s">
        <v>24</v>
      </c>
      <c r="O617" s="4">
        <v>8</v>
      </c>
      <c r="P617" s="7">
        <v>11460</v>
      </c>
      <c r="Q617" s="8">
        <v>0.05</v>
      </c>
      <c r="R617" s="7">
        <v>8850</v>
      </c>
      <c r="S617" s="7">
        <f>Table1_1[[#This Row],[Units Sold]]*Table1_1[[#This Row],[Unit Price]]*(1-Table1_1[[#This Row],[Discount %]])</f>
        <v>87096</v>
      </c>
      <c r="T617" s="7">
        <f>Table1_1[[#This Row],[Units Sold]]*Table1_1[[#This Row],[Unit Cost]]</f>
        <v>70800</v>
      </c>
      <c r="U617" s="7">
        <f>Table1_1[[#This Row],[Calculated sales]]-Table1_1[[#This Row],[Total cost]]</f>
        <v>16296</v>
      </c>
      <c r="V617" s="4">
        <f>IFERROR(Table1_1[[#This Row],[Profit/Loss]]/Table1_1[[#This Row],[Calculated sales]],0)</f>
        <v>0.18710388536786993</v>
      </c>
    </row>
    <row r="618" spans="1:22" x14ac:dyDescent="0.25">
      <c r="A618" s="4" t="s">
        <v>764</v>
      </c>
      <c r="B618" s="5">
        <v>45617</v>
      </c>
      <c r="C618" s="4">
        <f>YEAR(Table1_1[[#This Row],[Order Dates]])</f>
        <v>2024</v>
      </c>
      <c r="D618" s="6">
        <f>MONTH(Table1_1[[#This Row],[Order Dates]])</f>
        <v>11</v>
      </c>
      <c r="E618" s="4" t="s">
        <v>16</v>
      </c>
      <c r="F618" s="4" t="s">
        <v>191</v>
      </c>
      <c r="G618" s="4" t="s">
        <v>32</v>
      </c>
      <c r="H618" s="4" t="str">
        <f>TRIM(CLEAN(SUBSTITUTE(Table1_1[[#This Row],[Salesperson]],"   "," ")))</f>
        <v>Neha Deshpande</v>
      </c>
      <c r="I618" s="4" t="s">
        <v>19</v>
      </c>
      <c r="J618" s="4" t="s">
        <v>59</v>
      </c>
      <c r="K618" s="4" t="s">
        <v>60</v>
      </c>
      <c r="L618" s="4" t="s">
        <v>200</v>
      </c>
      <c r="M618" s="4" t="s">
        <v>23</v>
      </c>
      <c r="N618" s="4" t="s">
        <v>24</v>
      </c>
      <c r="O618" s="4">
        <v>11</v>
      </c>
      <c r="P618" s="7">
        <v>8870</v>
      </c>
      <c r="Q618" s="8">
        <v>0.2</v>
      </c>
      <c r="R618" s="7">
        <v>5460</v>
      </c>
      <c r="S618" s="7">
        <f>Table1_1[[#This Row],[Units Sold]]*Table1_1[[#This Row],[Unit Price]]*(1-Table1_1[[#This Row],[Discount %]])</f>
        <v>78056</v>
      </c>
      <c r="T618" s="7">
        <f>Table1_1[[#This Row],[Units Sold]]*Table1_1[[#This Row],[Unit Cost]]</f>
        <v>60060</v>
      </c>
      <c r="U618" s="7">
        <f>Table1_1[[#This Row],[Calculated sales]]-Table1_1[[#This Row],[Total cost]]</f>
        <v>17996</v>
      </c>
      <c r="V618" s="4">
        <f>IFERROR(Table1_1[[#This Row],[Profit/Loss]]/Table1_1[[#This Row],[Calculated sales]],0)</f>
        <v>0.23055242390078917</v>
      </c>
    </row>
    <row r="619" spans="1:22" x14ac:dyDescent="0.25">
      <c r="A619" s="4" t="s">
        <v>766</v>
      </c>
      <c r="B619" s="5">
        <v>45620</v>
      </c>
      <c r="C619" s="4">
        <f>YEAR(Table1_1[[#This Row],[Order Dates]])</f>
        <v>2024</v>
      </c>
      <c r="D619" s="6">
        <f>MONTH(Table1_1[[#This Row],[Order Dates]])</f>
        <v>11</v>
      </c>
      <c r="E619" s="4" t="s">
        <v>56</v>
      </c>
      <c r="F619" s="4" t="s">
        <v>143</v>
      </c>
      <c r="G619" s="4" t="s">
        <v>58</v>
      </c>
      <c r="H619" s="4" t="str">
        <f>TRIM(CLEAN(SUBSTITUTE(Table1_1[[#This Row],[Salesperson]],"   "," ")))</f>
        <v>Karthik Raman</v>
      </c>
      <c r="I619" s="4" t="s">
        <v>52</v>
      </c>
      <c r="J619" s="4" t="s">
        <v>20</v>
      </c>
      <c r="K619" s="4" t="s">
        <v>21</v>
      </c>
      <c r="L619" s="4" t="s">
        <v>1667</v>
      </c>
      <c r="M619" s="4" t="s">
        <v>40</v>
      </c>
      <c r="N619" s="4" t="s">
        <v>24</v>
      </c>
      <c r="O619" s="4">
        <v>29</v>
      </c>
      <c r="P619" s="7">
        <v>1830</v>
      </c>
      <c r="Q619" s="8">
        <v>0.18</v>
      </c>
      <c r="R619" s="7">
        <v>1250</v>
      </c>
      <c r="S619" s="7">
        <f>Table1_1[[#This Row],[Units Sold]]*Table1_1[[#This Row],[Unit Price]]*(1-Table1_1[[#This Row],[Discount %]])</f>
        <v>43517.4</v>
      </c>
      <c r="T619" s="7">
        <f>Table1_1[[#This Row],[Units Sold]]*Table1_1[[#This Row],[Unit Cost]]</f>
        <v>36250</v>
      </c>
      <c r="U619" s="7">
        <f>Table1_1[[#This Row],[Calculated sales]]-Table1_1[[#This Row],[Total cost]]</f>
        <v>7267.4000000000015</v>
      </c>
      <c r="V619" s="4">
        <f>IFERROR(Table1_1[[#This Row],[Profit/Loss]]/Table1_1[[#This Row],[Calculated sales]],0)</f>
        <v>0.16699986671997871</v>
      </c>
    </row>
    <row r="620" spans="1:22" x14ac:dyDescent="0.25">
      <c r="A620" s="4" t="s">
        <v>767</v>
      </c>
      <c r="B620" s="5">
        <v>45620</v>
      </c>
      <c r="C620" s="4">
        <f>YEAR(Table1_1[[#This Row],[Order Dates]])</f>
        <v>2024</v>
      </c>
      <c r="D620" s="6">
        <f>MONTH(Table1_1[[#This Row],[Order Dates]])</f>
        <v>11</v>
      </c>
      <c r="E620" s="4" t="s">
        <v>56</v>
      </c>
      <c r="F620" s="4" t="s">
        <v>127</v>
      </c>
      <c r="G620" s="4" t="s">
        <v>91</v>
      </c>
      <c r="H620" s="4" t="str">
        <f>TRIM(CLEAN(SUBSTITUTE(Table1_1[[#This Row],[Salesperson]],"   "," ")))</f>
        <v>Anjali Menon</v>
      </c>
      <c r="I620" s="4" t="s">
        <v>92</v>
      </c>
      <c r="J620" s="4" t="s">
        <v>20</v>
      </c>
      <c r="K620" s="4" t="s">
        <v>109</v>
      </c>
      <c r="L620" s="4" t="s">
        <v>171</v>
      </c>
      <c r="M620" s="4" t="s">
        <v>40</v>
      </c>
      <c r="N620" s="4" t="s">
        <v>24</v>
      </c>
      <c r="O620" s="4">
        <v>17</v>
      </c>
      <c r="P620" s="7">
        <v>21990</v>
      </c>
      <c r="Q620" s="8">
        <v>0.1</v>
      </c>
      <c r="R620" s="7">
        <v>12680</v>
      </c>
      <c r="S620" s="7">
        <f>Table1_1[[#This Row],[Units Sold]]*Table1_1[[#This Row],[Unit Price]]*(1-Table1_1[[#This Row],[Discount %]])</f>
        <v>336447</v>
      </c>
      <c r="T620" s="7">
        <f>Table1_1[[#This Row],[Units Sold]]*Table1_1[[#This Row],[Unit Cost]]</f>
        <v>215560</v>
      </c>
      <c r="U620" s="7">
        <f>Table1_1[[#This Row],[Calculated sales]]-Table1_1[[#This Row],[Total cost]]</f>
        <v>120887</v>
      </c>
      <c r="V620" s="4">
        <f>IFERROR(Table1_1[[#This Row],[Profit/Loss]]/Table1_1[[#This Row],[Calculated sales]],0)</f>
        <v>0.35930473447526656</v>
      </c>
    </row>
    <row r="621" spans="1:22" x14ac:dyDescent="0.25">
      <c r="A621" s="4" t="s">
        <v>768</v>
      </c>
      <c r="B621" s="5">
        <v>45621</v>
      </c>
      <c r="C621" s="4">
        <f>YEAR(Table1_1[[#This Row],[Order Dates]])</f>
        <v>2024</v>
      </c>
      <c r="D621" s="6">
        <f>MONTH(Table1_1[[#This Row],[Order Dates]])</f>
        <v>11</v>
      </c>
      <c r="E621" s="4" t="s">
        <v>37</v>
      </c>
      <c r="F621" s="4" t="s">
        <v>67</v>
      </c>
      <c r="G621" s="4" t="s">
        <v>39</v>
      </c>
      <c r="H621" s="4" t="str">
        <f>TRIM(CLEAN(SUBSTITUTE(Table1_1[[#This Row],[Salesperson]],"   "," ")))</f>
        <v>Sourav Das</v>
      </c>
      <c r="I621" s="4" t="s">
        <v>52</v>
      </c>
      <c r="J621" s="4" t="s">
        <v>83</v>
      </c>
      <c r="K621" s="4" t="s">
        <v>84</v>
      </c>
      <c r="L621" s="4" t="s">
        <v>292</v>
      </c>
      <c r="M621" s="4" t="s">
        <v>40</v>
      </c>
      <c r="N621" s="4" t="s">
        <v>24</v>
      </c>
      <c r="O621" s="4">
        <v>3</v>
      </c>
      <c r="P621" s="7">
        <v>40380</v>
      </c>
      <c r="Q621" s="8">
        <v>0.08</v>
      </c>
      <c r="R621" s="7">
        <v>24900</v>
      </c>
      <c r="S621" s="7">
        <f>Table1_1[[#This Row],[Units Sold]]*Table1_1[[#This Row],[Unit Price]]*(1-Table1_1[[#This Row],[Discount %]])</f>
        <v>111448.8</v>
      </c>
      <c r="T621" s="7">
        <f>Table1_1[[#This Row],[Units Sold]]*Table1_1[[#This Row],[Unit Cost]]</f>
        <v>74700</v>
      </c>
      <c r="U621" s="7">
        <f>Table1_1[[#This Row],[Calculated sales]]-Table1_1[[#This Row],[Total cost]]</f>
        <v>36748.800000000003</v>
      </c>
      <c r="V621" s="4">
        <f>IFERROR(Table1_1[[#This Row],[Profit/Loss]]/Table1_1[[#This Row],[Calculated sales]],0)</f>
        <v>0.32973706311777251</v>
      </c>
    </row>
    <row r="622" spans="1:22" x14ac:dyDescent="0.25">
      <c r="A622" s="4" t="s">
        <v>769</v>
      </c>
      <c r="B622" s="5">
        <v>45621</v>
      </c>
      <c r="C622" s="4">
        <f>YEAR(Table1_1[[#This Row],[Order Dates]])</f>
        <v>2024</v>
      </c>
      <c r="D622" s="6">
        <f>MONTH(Table1_1[[#This Row],[Order Dates]])</f>
        <v>11</v>
      </c>
      <c r="E622" s="4" t="s">
        <v>42</v>
      </c>
      <c r="F622" s="4" t="s">
        <v>96</v>
      </c>
      <c r="G622" s="4" t="s">
        <v>44</v>
      </c>
      <c r="H622" s="4" t="str">
        <f>TRIM(CLEAN(SUBSTITUTE(Table1_1[[#This Row],[Salesperson]],"   "," ")))</f>
        <v>Simran Kaur</v>
      </c>
      <c r="I622" s="4" t="s">
        <v>19</v>
      </c>
      <c r="J622" s="4" t="s">
        <v>27</v>
      </c>
      <c r="K622" s="4" t="s">
        <v>53</v>
      </c>
      <c r="L622" s="4" t="s">
        <v>1669</v>
      </c>
      <c r="M622" s="4" t="s">
        <v>23</v>
      </c>
      <c r="N622" s="4" t="s">
        <v>24</v>
      </c>
      <c r="O622" s="4">
        <v>4</v>
      </c>
      <c r="P622" s="7">
        <v>44130</v>
      </c>
      <c r="Q622" s="8">
        <v>0.12</v>
      </c>
      <c r="R622" s="7">
        <v>26340</v>
      </c>
      <c r="S622" s="7">
        <f>Table1_1[[#This Row],[Units Sold]]*Table1_1[[#This Row],[Unit Price]]*(1-Table1_1[[#This Row],[Discount %]])</f>
        <v>155337.60000000001</v>
      </c>
      <c r="T622" s="7">
        <f>Table1_1[[#This Row],[Units Sold]]*Table1_1[[#This Row],[Unit Cost]]</f>
        <v>105360</v>
      </c>
      <c r="U622" s="7">
        <f>Table1_1[[#This Row],[Calculated sales]]-Table1_1[[#This Row],[Total cost]]</f>
        <v>49977.600000000006</v>
      </c>
      <c r="V622" s="4">
        <f>IFERROR(Table1_1[[#This Row],[Profit/Loss]]/Table1_1[[#This Row],[Calculated sales]],0)</f>
        <v>0.32173536864223473</v>
      </c>
    </row>
    <row r="623" spans="1:22" x14ac:dyDescent="0.25">
      <c r="A623" s="4" t="s">
        <v>770</v>
      </c>
      <c r="B623" s="5">
        <v>45622</v>
      </c>
      <c r="C623" s="4">
        <f>YEAR(Table1_1[[#This Row],[Order Dates]])</f>
        <v>2024</v>
      </c>
      <c r="D623" s="6">
        <f>MONTH(Table1_1[[#This Row],[Order Dates]])</f>
        <v>11</v>
      </c>
      <c r="E623" s="4" t="s">
        <v>42</v>
      </c>
      <c r="F623" s="4" t="s">
        <v>43</v>
      </c>
      <c r="G623" s="4" t="s">
        <v>44</v>
      </c>
      <c r="H623" s="4" t="str">
        <f>TRIM(CLEAN(SUBSTITUTE(Table1_1[[#This Row],[Salesperson]],"   "," ")))</f>
        <v>Simran Kaur</v>
      </c>
      <c r="I623" s="4" t="s">
        <v>19</v>
      </c>
      <c r="J623" s="4" t="s">
        <v>59</v>
      </c>
      <c r="K623" s="4" t="s">
        <v>69</v>
      </c>
      <c r="L623" s="4" t="s">
        <v>121</v>
      </c>
      <c r="M623" s="4" t="s">
        <v>49</v>
      </c>
      <c r="N623" s="4" t="s">
        <v>24</v>
      </c>
      <c r="O623" s="4">
        <v>10</v>
      </c>
      <c r="P623" s="7">
        <v>3620</v>
      </c>
      <c r="Q623" s="8">
        <v>0.1</v>
      </c>
      <c r="R623" s="7">
        <v>2840</v>
      </c>
      <c r="S623" s="7">
        <f>Table1_1[[#This Row],[Units Sold]]*Table1_1[[#This Row],[Unit Price]]*(1-Table1_1[[#This Row],[Discount %]])</f>
        <v>32580</v>
      </c>
      <c r="T623" s="7">
        <f>Table1_1[[#This Row],[Units Sold]]*Table1_1[[#This Row],[Unit Cost]]</f>
        <v>28400</v>
      </c>
      <c r="U623" s="7">
        <f>Table1_1[[#This Row],[Calculated sales]]-Table1_1[[#This Row],[Total cost]]</f>
        <v>4180</v>
      </c>
      <c r="V623" s="4">
        <f>IFERROR(Table1_1[[#This Row],[Profit/Loss]]/Table1_1[[#This Row],[Calculated sales]],0)</f>
        <v>0.12829957028852057</v>
      </c>
    </row>
    <row r="624" spans="1:22" x14ac:dyDescent="0.25">
      <c r="A624" s="4" t="s">
        <v>771</v>
      </c>
      <c r="B624" s="5">
        <v>45624</v>
      </c>
      <c r="C624" s="4">
        <f>YEAR(Table1_1[[#This Row],[Order Dates]])</f>
        <v>2024</v>
      </c>
      <c r="D624" s="6">
        <f>MONTH(Table1_1[[#This Row],[Order Dates]])</f>
        <v>11</v>
      </c>
      <c r="E624" s="4" t="s">
        <v>42</v>
      </c>
      <c r="F624" s="4" t="s">
        <v>96</v>
      </c>
      <c r="G624" s="4" t="s">
        <v>64</v>
      </c>
      <c r="H624" s="4" t="str">
        <f>TRIM(CLEAN(SUBSTITUTE(Table1_1[[#This Row],[Salesperson]],"   "," ")))</f>
        <v>Aditya Verma</v>
      </c>
      <c r="I624" s="4" t="s">
        <v>19</v>
      </c>
      <c r="J624" s="4" t="s">
        <v>46</v>
      </c>
      <c r="K624" s="4" t="s">
        <v>179</v>
      </c>
      <c r="L624" s="4" t="s">
        <v>180</v>
      </c>
      <c r="M624" s="4" t="s">
        <v>23</v>
      </c>
      <c r="N624" s="4" t="s">
        <v>24</v>
      </c>
      <c r="O624" s="4">
        <v>3</v>
      </c>
      <c r="P624" s="7">
        <v>3620</v>
      </c>
      <c r="Q624" s="8">
        <v>0.1</v>
      </c>
      <c r="R624" s="7">
        <v>2690</v>
      </c>
      <c r="S624" s="7">
        <f>Table1_1[[#This Row],[Units Sold]]*Table1_1[[#This Row],[Unit Price]]*(1-Table1_1[[#This Row],[Discount %]])</f>
        <v>9774</v>
      </c>
      <c r="T624" s="7">
        <f>Table1_1[[#This Row],[Units Sold]]*Table1_1[[#This Row],[Unit Cost]]</f>
        <v>8070</v>
      </c>
      <c r="U624" s="7">
        <f>Table1_1[[#This Row],[Calculated sales]]-Table1_1[[#This Row],[Total cost]]</f>
        <v>1704</v>
      </c>
      <c r="V624" s="4">
        <f>IFERROR(Table1_1[[#This Row],[Profit/Loss]]/Table1_1[[#This Row],[Calculated sales]],0)</f>
        <v>0.17434008594229589</v>
      </c>
    </row>
    <row r="625" spans="1:22" x14ac:dyDescent="0.25">
      <c r="A625" s="4" t="s">
        <v>772</v>
      </c>
      <c r="B625" s="5">
        <v>45624</v>
      </c>
      <c r="C625" s="4">
        <f>YEAR(Table1_1[[#This Row],[Order Dates]])</f>
        <v>2024</v>
      </c>
      <c r="D625" s="6">
        <f>MONTH(Table1_1[[#This Row],[Order Dates]])</f>
        <v>11</v>
      </c>
      <c r="E625" s="4" t="s">
        <v>16</v>
      </c>
      <c r="F625" s="4" t="s">
        <v>31</v>
      </c>
      <c r="G625" s="4" t="s">
        <v>32</v>
      </c>
      <c r="H625" s="4" t="str">
        <f>TRIM(CLEAN(SUBSTITUTE(Table1_1[[#This Row],[Salesperson]],"   "," ")))</f>
        <v>Neha Deshpande</v>
      </c>
      <c r="I625" s="4" t="s">
        <v>92</v>
      </c>
      <c r="J625" s="4" t="s">
        <v>27</v>
      </c>
      <c r="K625" s="4" t="s">
        <v>79</v>
      </c>
      <c r="L625" s="4" t="s">
        <v>80</v>
      </c>
      <c r="M625" s="4" t="s">
        <v>49</v>
      </c>
      <c r="N625" s="4" t="s">
        <v>35</v>
      </c>
      <c r="O625" s="4">
        <v>23</v>
      </c>
      <c r="P625" s="7">
        <v>4560</v>
      </c>
      <c r="Q625" s="8">
        <v>0</v>
      </c>
      <c r="R625" s="7">
        <v>3580</v>
      </c>
      <c r="S625" s="7">
        <f>Table1_1[[#This Row],[Units Sold]]*Table1_1[[#This Row],[Unit Price]]*(1-Table1_1[[#This Row],[Discount %]])</f>
        <v>104880</v>
      </c>
      <c r="T625" s="7">
        <f>Table1_1[[#This Row],[Units Sold]]*Table1_1[[#This Row],[Unit Cost]]</f>
        <v>82340</v>
      </c>
      <c r="U625" s="7">
        <f>Table1_1[[#This Row],[Calculated sales]]-Table1_1[[#This Row],[Total cost]]</f>
        <v>22540</v>
      </c>
      <c r="V625" s="4">
        <f>IFERROR(Table1_1[[#This Row],[Profit/Loss]]/Table1_1[[#This Row],[Calculated sales]],0)</f>
        <v>0.21491228070175439</v>
      </c>
    </row>
    <row r="626" spans="1:22" x14ac:dyDescent="0.25">
      <c r="A626" s="4" t="s">
        <v>773</v>
      </c>
      <c r="B626" s="5">
        <v>45624</v>
      </c>
      <c r="C626" s="4">
        <f>YEAR(Table1_1[[#This Row],[Order Dates]])</f>
        <v>2024</v>
      </c>
      <c r="D626" s="6">
        <f>MONTH(Table1_1[[#This Row],[Order Dates]])</f>
        <v>11</v>
      </c>
      <c r="E626" s="4" t="s">
        <v>42</v>
      </c>
      <c r="F626" s="4" t="s">
        <v>123</v>
      </c>
      <c r="G626" s="4" t="s">
        <v>64</v>
      </c>
      <c r="H626" s="4" t="str">
        <f>TRIM(CLEAN(SUBSTITUTE(Table1_1[[#This Row],[Salesperson]],"   "," ")))</f>
        <v>Aditya Verma</v>
      </c>
      <c r="I626" s="4" t="s">
        <v>19</v>
      </c>
      <c r="J626" s="4" t="s">
        <v>27</v>
      </c>
      <c r="K626" s="4" t="s">
        <v>214</v>
      </c>
      <c r="L626" s="4" t="s">
        <v>1680</v>
      </c>
      <c r="M626" s="4" t="s">
        <v>40</v>
      </c>
      <c r="N626" s="4" t="s">
        <v>24</v>
      </c>
      <c r="O626" s="4">
        <v>1</v>
      </c>
      <c r="P626" s="7">
        <v>33030</v>
      </c>
      <c r="Q626" s="8">
        <v>0</v>
      </c>
      <c r="R626" s="7">
        <v>23910</v>
      </c>
      <c r="S626" s="7">
        <f>Table1_1[[#This Row],[Units Sold]]*Table1_1[[#This Row],[Unit Price]]*(1-Table1_1[[#This Row],[Discount %]])</f>
        <v>33030</v>
      </c>
      <c r="T626" s="7">
        <f>Table1_1[[#This Row],[Units Sold]]*Table1_1[[#This Row],[Unit Cost]]</f>
        <v>23910</v>
      </c>
      <c r="U626" s="7">
        <f>Table1_1[[#This Row],[Calculated sales]]-Table1_1[[#This Row],[Total cost]]</f>
        <v>9120</v>
      </c>
      <c r="V626" s="4">
        <f>IFERROR(Table1_1[[#This Row],[Profit/Loss]]/Table1_1[[#This Row],[Calculated sales]],0)</f>
        <v>0.27611262488646687</v>
      </c>
    </row>
    <row r="627" spans="1:22" x14ac:dyDescent="0.25">
      <c r="A627" s="4" t="s">
        <v>774</v>
      </c>
      <c r="B627" s="5">
        <v>45625</v>
      </c>
      <c r="C627" s="4">
        <f>YEAR(Table1_1[[#This Row],[Order Dates]])</f>
        <v>2024</v>
      </c>
      <c r="D627" s="6">
        <f>MONTH(Table1_1[[#This Row],[Order Dates]])</f>
        <v>11</v>
      </c>
      <c r="E627" s="4" t="s">
        <v>16</v>
      </c>
      <c r="F627" s="4" t="s">
        <v>82</v>
      </c>
      <c r="G627" s="4" t="s">
        <v>32</v>
      </c>
      <c r="H627" s="4" t="str">
        <f>TRIM(CLEAN(SUBSTITUTE(Table1_1[[#This Row],[Salesperson]],"   "," ")))</f>
        <v>Neha Deshpande</v>
      </c>
      <c r="I627" s="4" t="s">
        <v>19</v>
      </c>
      <c r="J627" s="4" t="s">
        <v>46</v>
      </c>
      <c r="K627" s="4" t="s">
        <v>179</v>
      </c>
      <c r="L627" s="4" t="s">
        <v>180</v>
      </c>
      <c r="M627" s="4" t="s">
        <v>49</v>
      </c>
      <c r="N627" s="4" t="s">
        <v>24</v>
      </c>
      <c r="O627" s="4">
        <v>5</v>
      </c>
      <c r="P627" s="7">
        <v>3690</v>
      </c>
      <c r="Q627" s="8">
        <v>0.12</v>
      </c>
      <c r="R627" s="7">
        <v>2830</v>
      </c>
      <c r="S627" s="7">
        <f>Table1_1[[#This Row],[Units Sold]]*Table1_1[[#This Row],[Unit Price]]*(1-Table1_1[[#This Row],[Discount %]])</f>
        <v>16236</v>
      </c>
      <c r="T627" s="7">
        <f>Table1_1[[#This Row],[Units Sold]]*Table1_1[[#This Row],[Unit Cost]]</f>
        <v>14150</v>
      </c>
      <c r="U627" s="7">
        <f>Table1_1[[#This Row],[Calculated sales]]-Table1_1[[#This Row],[Total cost]]</f>
        <v>2086</v>
      </c>
      <c r="V627" s="4">
        <f>IFERROR(Table1_1[[#This Row],[Profit/Loss]]/Table1_1[[#This Row],[Calculated sales]],0)</f>
        <v>0.12847992116284798</v>
      </c>
    </row>
    <row r="628" spans="1:22" x14ac:dyDescent="0.25">
      <c r="A628" s="4" t="s">
        <v>775</v>
      </c>
      <c r="B628" s="5">
        <v>45625</v>
      </c>
      <c r="C628" s="4">
        <f>YEAR(Table1_1[[#This Row],[Order Dates]])</f>
        <v>2024</v>
      </c>
      <c r="D628" s="6">
        <f>MONTH(Table1_1[[#This Row],[Order Dates]])</f>
        <v>11</v>
      </c>
      <c r="E628" s="4" t="s">
        <v>56</v>
      </c>
      <c r="F628" s="4" t="s">
        <v>143</v>
      </c>
      <c r="G628" s="4" t="s">
        <v>91</v>
      </c>
      <c r="H628" s="4" t="str">
        <f>TRIM(CLEAN(SUBSTITUTE(Table1_1[[#This Row],[Salesperson]],"   "," ")))</f>
        <v>Anjali Menon</v>
      </c>
      <c r="I628" s="4" t="s">
        <v>19</v>
      </c>
      <c r="J628" s="4" t="s">
        <v>59</v>
      </c>
      <c r="K628" s="4" t="s">
        <v>69</v>
      </c>
      <c r="L628" s="4" t="s">
        <v>70</v>
      </c>
      <c r="M628" s="4" t="s">
        <v>40</v>
      </c>
      <c r="N628" s="4" t="s">
        <v>24</v>
      </c>
      <c r="O628" s="4">
        <v>4</v>
      </c>
      <c r="P628" s="7">
        <v>27000</v>
      </c>
      <c r="Q628" s="8">
        <v>0.18</v>
      </c>
      <c r="R628" s="7">
        <v>17730</v>
      </c>
      <c r="S628" s="7">
        <f>Table1_1[[#This Row],[Units Sold]]*Table1_1[[#This Row],[Unit Price]]*(1-Table1_1[[#This Row],[Discount %]])</f>
        <v>88560</v>
      </c>
      <c r="T628" s="7">
        <f>Table1_1[[#This Row],[Units Sold]]*Table1_1[[#This Row],[Unit Cost]]</f>
        <v>70920</v>
      </c>
      <c r="U628" s="7">
        <f>Table1_1[[#This Row],[Calculated sales]]-Table1_1[[#This Row],[Total cost]]</f>
        <v>17640</v>
      </c>
      <c r="V628" s="4">
        <f>IFERROR(Table1_1[[#This Row],[Profit/Loss]]/Table1_1[[#This Row],[Calculated sales]],0)</f>
        <v>0.1991869918699187</v>
      </c>
    </row>
    <row r="629" spans="1:22" x14ac:dyDescent="0.25">
      <c r="A629" s="4" t="s">
        <v>776</v>
      </c>
      <c r="B629" s="5">
        <v>45625</v>
      </c>
      <c r="C629" s="4">
        <f>YEAR(Table1_1[[#This Row],[Order Dates]])</f>
        <v>2024</v>
      </c>
      <c r="D629" s="6">
        <f>MONTH(Table1_1[[#This Row],[Order Dates]])</f>
        <v>11</v>
      </c>
      <c r="E629" s="4" t="s">
        <v>42</v>
      </c>
      <c r="F629" s="4" t="s">
        <v>265</v>
      </c>
      <c r="G629" s="4" t="s">
        <v>44</v>
      </c>
      <c r="H629" s="4" t="str">
        <f>TRIM(CLEAN(SUBSTITUTE(Table1_1[[#This Row],[Salesperson]],"   "," ")))</f>
        <v>Simran Kaur</v>
      </c>
      <c r="I629" s="4" t="s">
        <v>19</v>
      </c>
      <c r="J629" s="4" t="s">
        <v>59</v>
      </c>
      <c r="K629" s="4" t="s">
        <v>73</v>
      </c>
      <c r="L629" s="4" t="s">
        <v>113</v>
      </c>
      <c r="M629" s="4" t="s">
        <v>40</v>
      </c>
      <c r="N629" s="4" t="s">
        <v>24</v>
      </c>
      <c r="O629" s="4">
        <v>1</v>
      </c>
      <c r="P629" s="7">
        <v>31810</v>
      </c>
      <c r="Q629" s="8">
        <v>0.08</v>
      </c>
      <c r="R629" s="7">
        <v>24910</v>
      </c>
      <c r="S629" s="7">
        <f>Table1_1[[#This Row],[Units Sold]]*Table1_1[[#This Row],[Unit Price]]*(1-Table1_1[[#This Row],[Discount %]])</f>
        <v>29265.200000000001</v>
      </c>
      <c r="T629" s="7">
        <f>Table1_1[[#This Row],[Units Sold]]*Table1_1[[#This Row],[Unit Cost]]</f>
        <v>24910</v>
      </c>
      <c r="U629" s="7">
        <f>Table1_1[[#This Row],[Calculated sales]]-Table1_1[[#This Row],[Total cost]]</f>
        <v>4355.2000000000007</v>
      </c>
      <c r="V629" s="4">
        <f>IFERROR(Table1_1[[#This Row],[Profit/Loss]]/Table1_1[[#This Row],[Calculated sales]],0)</f>
        <v>0.14881839181006795</v>
      </c>
    </row>
    <row r="630" spans="1:22" x14ac:dyDescent="0.25">
      <c r="A630" s="4" t="s">
        <v>777</v>
      </c>
      <c r="B630" s="5">
        <v>45625</v>
      </c>
      <c r="C630" s="4">
        <f>YEAR(Table1_1[[#This Row],[Order Dates]])</f>
        <v>2024</v>
      </c>
      <c r="D630" s="6">
        <f>MONTH(Table1_1[[#This Row],[Order Dates]])</f>
        <v>11</v>
      </c>
      <c r="E630" s="4" t="s">
        <v>76</v>
      </c>
      <c r="F630" s="4" t="s">
        <v>125</v>
      </c>
      <c r="G630" s="4" t="s">
        <v>78</v>
      </c>
      <c r="H630" s="4" t="str">
        <f>TRIM(CLEAN(SUBSTITUTE(Table1_1[[#This Row],[Salesperson]],"   "," ")))</f>
        <v>Pooja Chouhan</v>
      </c>
      <c r="I630" s="4" t="s">
        <v>92</v>
      </c>
      <c r="J630" s="4" t="s">
        <v>27</v>
      </c>
      <c r="K630" s="4" t="s">
        <v>214</v>
      </c>
      <c r="L630" s="4" t="s">
        <v>1681</v>
      </c>
      <c r="M630" s="4" t="s">
        <v>23</v>
      </c>
      <c r="N630" s="4" t="s">
        <v>24</v>
      </c>
      <c r="O630" s="4">
        <v>2</v>
      </c>
      <c r="P630" s="7">
        <v>15030</v>
      </c>
      <c r="Q630" s="8">
        <v>0.18</v>
      </c>
      <c r="R630" s="7">
        <v>9230</v>
      </c>
      <c r="S630" s="7">
        <f>Table1_1[[#This Row],[Units Sold]]*Table1_1[[#This Row],[Unit Price]]*(1-Table1_1[[#This Row],[Discount %]])</f>
        <v>24649.200000000001</v>
      </c>
      <c r="T630" s="7">
        <f>Table1_1[[#This Row],[Units Sold]]*Table1_1[[#This Row],[Unit Cost]]</f>
        <v>18460</v>
      </c>
      <c r="U630" s="7">
        <f>Table1_1[[#This Row],[Calculated sales]]-Table1_1[[#This Row],[Total cost]]</f>
        <v>6189.2000000000007</v>
      </c>
      <c r="V630" s="4">
        <f>IFERROR(Table1_1[[#This Row],[Profit/Loss]]/Table1_1[[#This Row],[Calculated sales]],0)</f>
        <v>0.25109131330834267</v>
      </c>
    </row>
    <row r="631" spans="1:22" x14ac:dyDescent="0.25">
      <c r="A631" s="4" t="s">
        <v>778</v>
      </c>
      <c r="B631" s="5">
        <v>45625</v>
      </c>
      <c r="C631" s="4">
        <f>YEAR(Table1_1[[#This Row],[Order Dates]])</f>
        <v>2024</v>
      </c>
      <c r="D631" s="6">
        <f>MONTH(Table1_1[[#This Row],[Order Dates]])</f>
        <v>11</v>
      </c>
      <c r="E631" s="4" t="s">
        <v>76</v>
      </c>
      <c r="F631" s="4" t="s">
        <v>217</v>
      </c>
      <c r="G631" s="4" t="s">
        <v>78</v>
      </c>
      <c r="H631" s="4" t="str">
        <f>TRIM(CLEAN(SUBSTITUTE(Table1_1[[#This Row],[Salesperson]],"   "," ")))</f>
        <v>Pooja Chouhan</v>
      </c>
      <c r="I631" s="4" t="s">
        <v>19</v>
      </c>
      <c r="J631" s="4" t="s">
        <v>20</v>
      </c>
      <c r="K631" s="4" t="s">
        <v>21</v>
      </c>
      <c r="L631" s="4" t="s">
        <v>1682</v>
      </c>
      <c r="M631" s="4" t="s">
        <v>40</v>
      </c>
      <c r="N631" s="4" t="s">
        <v>24</v>
      </c>
      <c r="O631" s="4">
        <v>3</v>
      </c>
      <c r="P631" s="7">
        <v>9170</v>
      </c>
      <c r="Q631" s="8">
        <v>0.2</v>
      </c>
      <c r="R631" s="7">
        <v>6520</v>
      </c>
      <c r="S631" s="7">
        <f>Table1_1[[#This Row],[Units Sold]]*Table1_1[[#This Row],[Unit Price]]*(1-Table1_1[[#This Row],[Discount %]])</f>
        <v>22008</v>
      </c>
      <c r="T631" s="7">
        <f>Table1_1[[#This Row],[Units Sold]]*Table1_1[[#This Row],[Unit Cost]]</f>
        <v>19560</v>
      </c>
      <c r="U631" s="7">
        <f>Table1_1[[#This Row],[Calculated sales]]-Table1_1[[#This Row],[Total cost]]</f>
        <v>2448</v>
      </c>
      <c r="V631" s="4">
        <f>IFERROR(Table1_1[[#This Row],[Profit/Loss]]/Table1_1[[#This Row],[Calculated sales]],0)</f>
        <v>0.11123227917121047</v>
      </c>
    </row>
    <row r="632" spans="1:22" x14ac:dyDescent="0.25">
      <c r="A632" s="4" t="s">
        <v>779</v>
      </c>
      <c r="B632" s="5">
        <v>45625</v>
      </c>
      <c r="C632" s="4">
        <f>YEAR(Table1_1[[#This Row],[Order Dates]])</f>
        <v>2024</v>
      </c>
      <c r="D632" s="6">
        <f>MONTH(Table1_1[[#This Row],[Order Dates]])</f>
        <v>11</v>
      </c>
      <c r="E632" s="4" t="s">
        <v>16</v>
      </c>
      <c r="F632" s="4" t="s">
        <v>191</v>
      </c>
      <c r="G632" s="4" t="s">
        <v>32</v>
      </c>
      <c r="H632" s="4" t="str">
        <f>TRIM(CLEAN(SUBSTITUTE(Table1_1[[#This Row],[Salesperson]],"   "," ")))</f>
        <v>Neha Deshpande</v>
      </c>
      <c r="I632" s="4" t="s">
        <v>52</v>
      </c>
      <c r="J632" s="4" t="s">
        <v>20</v>
      </c>
      <c r="K632" s="4" t="s">
        <v>21</v>
      </c>
      <c r="L632" s="4" t="s">
        <v>1667</v>
      </c>
      <c r="M632" s="4" t="s">
        <v>40</v>
      </c>
      <c r="N632" s="4" t="s">
        <v>24</v>
      </c>
      <c r="O632" s="4">
        <v>13</v>
      </c>
      <c r="P632" s="7">
        <v>1890</v>
      </c>
      <c r="Q632" s="8">
        <v>0.2</v>
      </c>
      <c r="R632" s="7">
        <v>1100</v>
      </c>
      <c r="S632" s="7">
        <f>Table1_1[[#This Row],[Units Sold]]*Table1_1[[#This Row],[Unit Price]]*(1-Table1_1[[#This Row],[Discount %]])</f>
        <v>19656</v>
      </c>
      <c r="T632" s="7">
        <f>Table1_1[[#This Row],[Units Sold]]*Table1_1[[#This Row],[Unit Cost]]</f>
        <v>14300</v>
      </c>
      <c r="U632" s="7">
        <f>Table1_1[[#This Row],[Calculated sales]]-Table1_1[[#This Row],[Total cost]]</f>
        <v>5356</v>
      </c>
      <c r="V632" s="4">
        <f>IFERROR(Table1_1[[#This Row],[Profit/Loss]]/Table1_1[[#This Row],[Calculated sales]],0)</f>
        <v>0.2724867724867725</v>
      </c>
    </row>
    <row r="633" spans="1:22" x14ac:dyDescent="0.25">
      <c r="A633" s="4" t="s">
        <v>780</v>
      </c>
      <c r="B633" s="5">
        <v>45625</v>
      </c>
      <c r="C633" s="4">
        <f>YEAR(Table1_1[[#This Row],[Order Dates]])</f>
        <v>2024</v>
      </c>
      <c r="D633" s="6">
        <f>MONTH(Table1_1[[#This Row],[Order Dates]])</f>
        <v>11</v>
      </c>
      <c r="E633" s="4" t="s">
        <v>56</v>
      </c>
      <c r="F633" s="4" t="s">
        <v>127</v>
      </c>
      <c r="G633" s="4" t="s">
        <v>91</v>
      </c>
      <c r="H633" s="4" t="str">
        <f>TRIM(CLEAN(SUBSTITUTE(Table1_1[[#This Row],[Salesperson]],"   "," ")))</f>
        <v>Anjali Menon</v>
      </c>
      <c r="I633" s="4" t="s">
        <v>52</v>
      </c>
      <c r="J633" s="4" t="s">
        <v>20</v>
      </c>
      <c r="K633" s="4" t="s">
        <v>21</v>
      </c>
      <c r="L633" s="4" t="s">
        <v>1670</v>
      </c>
      <c r="M633" s="4" t="s">
        <v>49</v>
      </c>
      <c r="N633" s="4" t="s">
        <v>24</v>
      </c>
      <c r="O633" s="4">
        <v>14</v>
      </c>
      <c r="P633" s="7">
        <v>8750</v>
      </c>
      <c r="Q633" s="8">
        <v>0.1</v>
      </c>
      <c r="R633" s="7">
        <v>5930</v>
      </c>
      <c r="S633" s="7">
        <f>Table1_1[[#This Row],[Units Sold]]*Table1_1[[#This Row],[Unit Price]]*(1-Table1_1[[#This Row],[Discount %]])</f>
        <v>110250</v>
      </c>
      <c r="T633" s="7">
        <f>Table1_1[[#This Row],[Units Sold]]*Table1_1[[#This Row],[Unit Cost]]</f>
        <v>83020</v>
      </c>
      <c r="U633" s="7">
        <f>Table1_1[[#This Row],[Calculated sales]]-Table1_1[[#This Row],[Total cost]]</f>
        <v>27230</v>
      </c>
      <c r="V633" s="4">
        <f>IFERROR(Table1_1[[#This Row],[Profit/Loss]]/Table1_1[[#This Row],[Calculated sales]],0)</f>
        <v>0.24698412698412697</v>
      </c>
    </row>
    <row r="634" spans="1:22" x14ac:dyDescent="0.25">
      <c r="A634" s="4" t="s">
        <v>781</v>
      </c>
      <c r="B634" s="5">
        <v>45626</v>
      </c>
      <c r="C634" s="4">
        <f>YEAR(Table1_1[[#This Row],[Order Dates]])</f>
        <v>2024</v>
      </c>
      <c r="D634" s="6">
        <f>MONTH(Table1_1[[#This Row],[Order Dates]])</f>
        <v>11</v>
      </c>
      <c r="E634" s="4" t="s">
        <v>42</v>
      </c>
      <c r="F634" s="4" t="s">
        <v>43</v>
      </c>
      <c r="G634" s="4" t="s">
        <v>64</v>
      </c>
      <c r="H634" s="4" t="str">
        <f>TRIM(CLEAN(SUBSTITUTE(Table1_1[[#This Row],[Salesperson]],"   "," ")))</f>
        <v>Aditya Verma</v>
      </c>
      <c r="I634" s="4" t="s">
        <v>19</v>
      </c>
      <c r="J634" s="4" t="s">
        <v>27</v>
      </c>
      <c r="K634" s="4" t="s">
        <v>79</v>
      </c>
      <c r="L634" s="4" t="s">
        <v>80</v>
      </c>
      <c r="M634" s="4" t="s">
        <v>40</v>
      </c>
      <c r="N634" s="4" t="s">
        <v>24</v>
      </c>
      <c r="O634" s="4">
        <v>15</v>
      </c>
      <c r="P634" s="7">
        <v>4850</v>
      </c>
      <c r="Q634" s="8">
        <v>0.2</v>
      </c>
      <c r="R634" s="7">
        <v>3280</v>
      </c>
      <c r="S634" s="7">
        <f>Table1_1[[#This Row],[Units Sold]]*Table1_1[[#This Row],[Unit Price]]*(1-Table1_1[[#This Row],[Discount %]])</f>
        <v>58200</v>
      </c>
      <c r="T634" s="7">
        <f>Table1_1[[#This Row],[Units Sold]]*Table1_1[[#This Row],[Unit Cost]]</f>
        <v>49200</v>
      </c>
      <c r="U634" s="7">
        <f>Table1_1[[#This Row],[Calculated sales]]-Table1_1[[#This Row],[Total cost]]</f>
        <v>9000</v>
      </c>
      <c r="V634" s="4">
        <f>IFERROR(Table1_1[[#This Row],[Profit/Loss]]/Table1_1[[#This Row],[Calculated sales]],0)</f>
        <v>0.15463917525773196</v>
      </c>
    </row>
    <row r="635" spans="1:22" x14ac:dyDescent="0.25">
      <c r="A635" s="4" t="s">
        <v>782</v>
      </c>
      <c r="B635" s="5">
        <v>45626</v>
      </c>
      <c r="C635" s="4">
        <f>YEAR(Table1_1[[#This Row],[Order Dates]])</f>
        <v>2024</v>
      </c>
      <c r="D635" s="6">
        <f>MONTH(Table1_1[[#This Row],[Order Dates]])</f>
        <v>11</v>
      </c>
      <c r="E635" s="4" t="s">
        <v>42</v>
      </c>
      <c r="F635" s="4" t="s">
        <v>43</v>
      </c>
      <c r="G635" s="4" t="s">
        <v>64</v>
      </c>
      <c r="H635" s="4" t="str">
        <f>TRIM(CLEAN(SUBSTITUTE(Table1_1[[#This Row],[Salesperson]],"   "," ")))</f>
        <v>Aditya Verma</v>
      </c>
      <c r="I635" s="4" t="s">
        <v>19</v>
      </c>
      <c r="J635" s="4" t="s">
        <v>27</v>
      </c>
      <c r="K635" s="4" t="s">
        <v>28</v>
      </c>
      <c r="L635" s="4" t="s">
        <v>1668</v>
      </c>
      <c r="M635" s="4" t="s">
        <v>49</v>
      </c>
      <c r="N635" s="4" t="s">
        <v>24</v>
      </c>
      <c r="O635" s="4">
        <v>4</v>
      </c>
      <c r="P635" s="7">
        <v>28340</v>
      </c>
      <c r="Q635" s="8">
        <v>0.05</v>
      </c>
      <c r="R635" s="7">
        <v>18310</v>
      </c>
      <c r="S635" s="7">
        <f>Table1_1[[#This Row],[Units Sold]]*Table1_1[[#This Row],[Unit Price]]*(1-Table1_1[[#This Row],[Discount %]])</f>
        <v>107692</v>
      </c>
      <c r="T635" s="7">
        <f>Table1_1[[#This Row],[Units Sold]]*Table1_1[[#This Row],[Unit Cost]]</f>
        <v>73240</v>
      </c>
      <c r="U635" s="7">
        <f>Table1_1[[#This Row],[Calculated sales]]-Table1_1[[#This Row],[Total cost]]</f>
        <v>34452</v>
      </c>
      <c r="V635" s="4">
        <f>IFERROR(Table1_1[[#This Row],[Profit/Loss]]/Table1_1[[#This Row],[Calculated sales]],0)</f>
        <v>0.31991234260669316</v>
      </c>
    </row>
    <row r="636" spans="1:22" x14ac:dyDescent="0.25">
      <c r="A636" s="4" t="s">
        <v>783</v>
      </c>
      <c r="B636" s="5">
        <v>45626</v>
      </c>
      <c r="C636" s="4">
        <f>YEAR(Table1_1[[#This Row],[Order Dates]])</f>
        <v>2024</v>
      </c>
      <c r="D636" s="6">
        <f>MONTH(Table1_1[[#This Row],[Order Dates]])</f>
        <v>11</v>
      </c>
      <c r="E636" s="4" t="s">
        <v>16</v>
      </c>
      <c r="F636" s="4" t="s">
        <v>82</v>
      </c>
      <c r="G636" s="4" t="s">
        <v>32</v>
      </c>
      <c r="H636" s="4" t="str">
        <f>TRIM(CLEAN(SUBSTITUTE(Table1_1[[#This Row],[Salesperson]],"   "," ")))</f>
        <v>Neha Deshpande</v>
      </c>
      <c r="I636" s="4" t="s">
        <v>92</v>
      </c>
      <c r="J636" s="4" t="s">
        <v>59</v>
      </c>
      <c r="K636" s="4" t="s">
        <v>69</v>
      </c>
      <c r="L636" s="4" t="s">
        <v>121</v>
      </c>
      <c r="M636" s="4" t="s">
        <v>49</v>
      </c>
      <c r="N636" s="4" t="s">
        <v>94</v>
      </c>
      <c r="O636" s="4">
        <v>8</v>
      </c>
      <c r="P636" s="7">
        <v>3670</v>
      </c>
      <c r="Q636" s="8">
        <v>0.08</v>
      </c>
      <c r="R636" s="7">
        <v>2650</v>
      </c>
      <c r="S636" s="7">
        <f>Table1_1[[#This Row],[Units Sold]]*Table1_1[[#This Row],[Unit Price]]*(1-Table1_1[[#This Row],[Discount %]])</f>
        <v>27011.200000000001</v>
      </c>
      <c r="T636" s="7">
        <f>Table1_1[[#This Row],[Units Sold]]*Table1_1[[#This Row],[Unit Cost]]</f>
        <v>21200</v>
      </c>
      <c r="U636" s="7">
        <f>Table1_1[[#This Row],[Calculated sales]]-Table1_1[[#This Row],[Total cost]]</f>
        <v>5811.2000000000007</v>
      </c>
      <c r="V636" s="4">
        <f>IFERROR(Table1_1[[#This Row],[Profit/Loss]]/Table1_1[[#This Row],[Calculated sales]],0)</f>
        <v>0.21514038621016468</v>
      </c>
    </row>
    <row r="637" spans="1:22" x14ac:dyDescent="0.25">
      <c r="A637" s="4" t="s">
        <v>784</v>
      </c>
      <c r="B637" s="5">
        <v>45627</v>
      </c>
      <c r="C637" s="4">
        <f>YEAR(Table1_1[[#This Row],[Order Dates]])</f>
        <v>2024</v>
      </c>
      <c r="D637" s="6">
        <f>MONTH(Table1_1[[#This Row],[Order Dates]])</f>
        <v>12</v>
      </c>
      <c r="E637" s="4" t="s">
        <v>76</v>
      </c>
      <c r="F637" s="4" t="s">
        <v>112</v>
      </c>
      <c r="G637" s="4" t="s">
        <v>78</v>
      </c>
      <c r="H637" s="4" t="str">
        <f>TRIM(CLEAN(SUBSTITUTE(Table1_1[[#This Row],[Salesperson]],"   "," ")))</f>
        <v>Pooja Chouhan</v>
      </c>
      <c r="I637" s="4" t="s">
        <v>19</v>
      </c>
      <c r="J637" s="4" t="s">
        <v>20</v>
      </c>
      <c r="K637" s="4" t="s">
        <v>21</v>
      </c>
      <c r="L637" s="4" t="s">
        <v>1670</v>
      </c>
      <c r="M637" s="4" t="s">
        <v>23</v>
      </c>
      <c r="N637" s="4" t="s">
        <v>24</v>
      </c>
      <c r="O637" s="4">
        <v>8</v>
      </c>
      <c r="P637" s="7">
        <v>8270</v>
      </c>
      <c r="Q637" s="8">
        <v>0.1</v>
      </c>
      <c r="R637" s="7">
        <v>5390</v>
      </c>
      <c r="S637" s="7">
        <f>Table1_1[[#This Row],[Units Sold]]*Table1_1[[#This Row],[Unit Price]]*(1-Table1_1[[#This Row],[Discount %]])</f>
        <v>59544</v>
      </c>
      <c r="T637" s="7">
        <f>Table1_1[[#This Row],[Units Sold]]*Table1_1[[#This Row],[Unit Cost]]</f>
        <v>43120</v>
      </c>
      <c r="U637" s="7">
        <f>Table1_1[[#This Row],[Calculated sales]]-Table1_1[[#This Row],[Total cost]]</f>
        <v>16424</v>
      </c>
      <c r="V637" s="4">
        <f>IFERROR(Table1_1[[#This Row],[Profit/Loss]]/Table1_1[[#This Row],[Calculated sales]],0)</f>
        <v>0.27582963858659143</v>
      </c>
    </row>
    <row r="638" spans="1:22" x14ac:dyDescent="0.25">
      <c r="A638" s="4" t="s">
        <v>785</v>
      </c>
      <c r="B638" s="5">
        <v>45627</v>
      </c>
      <c r="C638" s="4">
        <f>YEAR(Table1_1[[#This Row],[Order Dates]])</f>
        <v>2024</v>
      </c>
      <c r="D638" s="6">
        <f>MONTH(Table1_1[[#This Row],[Order Dates]])</f>
        <v>12</v>
      </c>
      <c r="E638" s="4" t="s">
        <v>16</v>
      </c>
      <c r="F638" s="4" t="s">
        <v>153</v>
      </c>
      <c r="G638" s="4" t="s">
        <v>26</v>
      </c>
      <c r="H638" s="4" t="str">
        <f>TRIM(CLEAN(SUBSTITUTE(Table1_1[[#This Row],[Salesperson]],"   "," ")))</f>
        <v>Prateek Shah</v>
      </c>
      <c r="I638" s="4" t="s">
        <v>92</v>
      </c>
      <c r="J638" s="4" t="s">
        <v>46</v>
      </c>
      <c r="K638" s="4" t="s">
        <v>100</v>
      </c>
      <c r="L638" s="4" t="s">
        <v>101</v>
      </c>
      <c r="M638" s="4" t="s">
        <v>40</v>
      </c>
      <c r="N638" s="4" t="s">
        <v>35</v>
      </c>
      <c r="O638" s="4">
        <v>25</v>
      </c>
      <c r="P638" s="7">
        <v>1930</v>
      </c>
      <c r="Q638" s="8">
        <v>0.1</v>
      </c>
      <c r="R638" s="7">
        <v>1340</v>
      </c>
      <c r="S638" s="7">
        <f>Table1_1[[#This Row],[Units Sold]]*Table1_1[[#This Row],[Unit Price]]*(1-Table1_1[[#This Row],[Discount %]])</f>
        <v>43425</v>
      </c>
      <c r="T638" s="7">
        <f>Table1_1[[#This Row],[Units Sold]]*Table1_1[[#This Row],[Unit Cost]]</f>
        <v>33500</v>
      </c>
      <c r="U638" s="7">
        <f>Table1_1[[#This Row],[Calculated sales]]-Table1_1[[#This Row],[Total cost]]</f>
        <v>9925</v>
      </c>
      <c r="V638" s="4">
        <f>IFERROR(Table1_1[[#This Row],[Profit/Loss]]/Table1_1[[#This Row],[Calculated sales]],0)</f>
        <v>0.22855497985031664</v>
      </c>
    </row>
    <row r="639" spans="1:22" x14ac:dyDescent="0.25">
      <c r="A639" s="4" t="s">
        <v>786</v>
      </c>
      <c r="B639" s="5">
        <v>45627</v>
      </c>
      <c r="C639" s="4">
        <f>YEAR(Table1_1[[#This Row],[Order Dates]])</f>
        <v>2024</v>
      </c>
      <c r="D639" s="6">
        <f>MONTH(Table1_1[[#This Row],[Order Dates]])</f>
        <v>12</v>
      </c>
      <c r="E639" s="4" t="s">
        <v>37</v>
      </c>
      <c r="F639" s="4" t="s">
        <v>115</v>
      </c>
      <c r="G639" s="4" t="s">
        <v>39</v>
      </c>
      <c r="H639" s="4" t="str">
        <f>TRIM(CLEAN(SUBSTITUTE(Table1_1[[#This Row],[Salesperson]],"   "," ")))</f>
        <v>Sourav Das</v>
      </c>
      <c r="I639" s="4" t="s">
        <v>45</v>
      </c>
      <c r="J639" s="4" t="s">
        <v>59</v>
      </c>
      <c r="K639" s="4" t="s">
        <v>73</v>
      </c>
      <c r="L639" s="4" t="s">
        <v>74</v>
      </c>
      <c r="M639" s="4" t="s">
        <v>23</v>
      </c>
      <c r="N639" s="4" t="s">
        <v>24</v>
      </c>
      <c r="O639" s="4">
        <v>6</v>
      </c>
      <c r="P639" s="7">
        <v>44580</v>
      </c>
      <c r="Q639" s="8">
        <v>0.12</v>
      </c>
      <c r="R639" s="7">
        <v>33460</v>
      </c>
      <c r="S639" s="7">
        <f>Table1_1[[#This Row],[Units Sold]]*Table1_1[[#This Row],[Unit Price]]*(1-Table1_1[[#This Row],[Discount %]])</f>
        <v>235382.39999999999</v>
      </c>
      <c r="T639" s="7">
        <f>Table1_1[[#This Row],[Units Sold]]*Table1_1[[#This Row],[Unit Cost]]</f>
        <v>200760</v>
      </c>
      <c r="U639" s="7">
        <f>Table1_1[[#This Row],[Calculated sales]]-Table1_1[[#This Row],[Total cost]]</f>
        <v>34622.399999999994</v>
      </c>
      <c r="V639" s="4">
        <f>IFERROR(Table1_1[[#This Row],[Profit/Loss]]/Table1_1[[#This Row],[Calculated sales]],0)</f>
        <v>0.14709001182756229</v>
      </c>
    </row>
    <row r="640" spans="1:22" x14ac:dyDescent="0.25">
      <c r="A640" s="4" t="s">
        <v>787</v>
      </c>
      <c r="B640" s="5">
        <v>45628</v>
      </c>
      <c r="C640" s="4">
        <f>YEAR(Table1_1[[#This Row],[Order Dates]])</f>
        <v>2024</v>
      </c>
      <c r="D640" s="6">
        <f>MONTH(Table1_1[[#This Row],[Order Dates]])</f>
        <v>12</v>
      </c>
      <c r="E640" s="4" t="s">
        <v>16</v>
      </c>
      <c r="F640" s="4" t="s">
        <v>82</v>
      </c>
      <c r="G640" s="4" t="s">
        <v>26</v>
      </c>
      <c r="H640" s="4" t="str">
        <f>TRIM(CLEAN(SUBSTITUTE(Table1_1[[#This Row],[Salesperson]],"   "," ")))</f>
        <v>Prateek Shah</v>
      </c>
      <c r="I640" s="4" t="s">
        <v>19</v>
      </c>
      <c r="J640" s="4" t="s">
        <v>20</v>
      </c>
      <c r="K640" s="4" t="s">
        <v>33</v>
      </c>
      <c r="L640" s="4" t="s">
        <v>1677</v>
      </c>
      <c r="M640" s="4" t="s">
        <v>40</v>
      </c>
      <c r="N640" s="4" t="s">
        <v>24</v>
      </c>
      <c r="O640" s="4">
        <v>3</v>
      </c>
      <c r="P640" s="7">
        <v>61960</v>
      </c>
      <c r="Q640" s="8">
        <v>0.15</v>
      </c>
      <c r="R640" s="7">
        <v>46310</v>
      </c>
      <c r="S640" s="7">
        <f>Table1_1[[#This Row],[Units Sold]]*Table1_1[[#This Row],[Unit Price]]*(1-Table1_1[[#This Row],[Discount %]])</f>
        <v>157998</v>
      </c>
      <c r="T640" s="7">
        <f>Table1_1[[#This Row],[Units Sold]]*Table1_1[[#This Row],[Unit Cost]]</f>
        <v>138930</v>
      </c>
      <c r="U640" s="7">
        <f>Table1_1[[#This Row],[Calculated sales]]-Table1_1[[#This Row],[Total cost]]</f>
        <v>19068</v>
      </c>
      <c r="V640" s="4">
        <f>IFERROR(Table1_1[[#This Row],[Profit/Loss]]/Table1_1[[#This Row],[Calculated sales]],0)</f>
        <v>0.12068507196293624</v>
      </c>
    </row>
    <row r="641" spans="1:22" x14ac:dyDescent="0.25">
      <c r="A641" s="4" t="s">
        <v>788</v>
      </c>
      <c r="B641" s="5">
        <v>45629</v>
      </c>
      <c r="C641" s="4">
        <f>YEAR(Table1_1[[#This Row],[Order Dates]])</f>
        <v>2024</v>
      </c>
      <c r="D641" s="6">
        <f>MONTH(Table1_1[[#This Row],[Order Dates]])</f>
        <v>12</v>
      </c>
      <c r="E641" s="4" t="s">
        <v>56</v>
      </c>
      <c r="F641" s="4" t="s">
        <v>103</v>
      </c>
      <c r="G641" s="4" t="s">
        <v>91</v>
      </c>
      <c r="H641" s="4" t="str">
        <f>TRIM(CLEAN(SUBSTITUTE(Table1_1[[#This Row],[Salesperson]],"   "," ")))</f>
        <v>Anjali Menon</v>
      </c>
      <c r="I641" s="4" t="s">
        <v>19</v>
      </c>
      <c r="J641" s="4" t="s">
        <v>27</v>
      </c>
      <c r="K641" s="4" t="s">
        <v>214</v>
      </c>
      <c r="L641" s="4" t="s">
        <v>1680</v>
      </c>
      <c r="M641" s="4" t="s">
        <v>40</v>
      </c>
      <c r="N641" s="4" t="s">
        <v>24</v>
      </c>
      <c r="O641" s="4">
        <v>4</v>
      </c>
      <c r="P641" s="7">
        <v>34790</v>
      </c>
      <c r="Q641" s="8">
        <v>0.05</v>
      </c>
      <c r="R641" s="7">
        <v>23230</v>
      </c>
      <c r="S641" s="7">
        <f>Table1_1[[#This Row],[Units Sold]]*Table1_1[[#This Row],[Unit Price]]*(1-Table1_1[[#This Row],[Discount %]])</f>
        <v>132202</v>
      </c>
      <c r="T641" s="7">
        <f>Table1_1[[#This Row],[Units Sold]]*Table1_1[[#This Row],[Unit Cost]]</f>
        <v>92920</v>
      </c>
      <c r="U641" s="7">
        <f>Table1_1[[#This Row],[Calculated sales]]-Table1_1[[#This Row],[Total cost]]</f>
        <v>39282</v>
      </c>
      <c r="V641" s="4">
        <f>IFERROR(Table1_1[[#This Row],[Profit/Loss]]/Table1_1[[#This Row],[Calculated sales]],0)</f>
        <v>0.29713620066262236</v>
      </c>
    </row>
    <row r="642" spans="1:22" x14ac:dyDescent="0.25">
      <c r="A642" s="4" t="s">
        <v>789</v>
      </c>
      <c r="B642" s="5">
        <v>45630</v>
      </c>
      <c r="C642" s="4">
        <f>YEAR(Table1_1[[#This Row],[Order Dates]])</f>
        <v>2024</v>
      </c>
      <c r="D642" s="6">
        <f>MONTH(Table1_1[[#This Row],[Order Dates]])</f>
        <v>12</v>
      </c>
      <c r="E642" s="4" t="s">
        <v>37</v>
      </c>
      <c r="F642" s="4" t="s">
        <v>67</v>
      </c>
      <c r="G642" s="4" t="s">
        <v>39</v>
      </c>
      <c r="H642" s="4" t="str">
        <f>TRIM(CLEAN(SUBSTITUTE(Table1_1[[#This Row],[Salesperson]],"   "," ")))</f>
        <v>Sourav Das</v>
      </c>
      <c r="I642" s="4" t="s">
        <v>45</v>
      </c>
      <c r="J642" s="4" t="s">
        <v>59</v>
      </c>
      <c r="K642" s="4" t="s">
        <v>69</v>
      </c>
      <c r="L642" s="4" t="s">
        <v>121</v>
      </c>
      <c r="M642" s="4" t="s">
        <v>40</v>
      </c>
      <c r="N642" s="4" t="s">
        <v>94</v>
      </c>
      <c r="O642" s="4">
        <v>22</v>
      </c>
      <c r="P642" s="7">
        <v>3680</v>
      </c>
      <c r="Q642" s="8">
        <v>0.12</v>
      </c>
      <c r="R642" s="7">
        <v>2560</v>
      </c>
      <c r="S642" s="7">
        <f>Table1_1[[#This Row],[Units Sold]]*Table1_1[[#This Row],[Unit Price]]*(1-Table1_1[[#This Row],[Discount %]])</f>
        <v>71244.800000000003</v>
      </c>
      <c r="T642" s="7">
        <f>Table1_1[[#This Row],[Units Sold]]*Table1_1[[#This Row],[Unit Cost]]</f>
        <v>56320</v>
      </c>
      <c r="U642" s="7">
        <f>Table1_1[[#This Row],[Calculated sales]]-Table1_1[[#This Row],[Total cost]]</f>
        <v>14924.800000000003</v>
      </c>
      <c r="V642" s="4">
        <f>IFERROR(Table1_1[[#This Row],[Profit/Loss]]/Table1_1[[#This Row],[Calculated sales]],0)</f>
        <v>0.20948616600790518</v>
      </c>
    </row>
    <row r="643" spans="1:22" x14ac:dyDescent="0.25">
      <c r="A643" s="4" t="s">
        <v>790</v>
      </c>
      <c r="B643" s="5">
        <v>45631</v>
      </c>
      <c r="C643" s="4">
        <f>YEAR(Table1_1[[#This Row],[Order Dates]])</f>
        <v>2024</v>
      </c>
      <c r="D643" s="6">
        <f>MONTH(Table1_1[[#This Row],[Order Dates]])</f>
        <v>12</v>
      </c>
      <c r="E643" s="4" t="s">
        <v>76</v>
      </c>
      <c r="F643" s="4" t="s">
        <v>125</v>
      </c>
      <c r="G643" s="4" t="s">
        <v>78</v>
      </c>
      <c r="H643" s="4" t="str">
        <f>TRIM(CLEAN(SUBSTITUTE(Table1_1[[#This Row],[Salesperson]],"   "," ")))</f>
        <v>Pooja Chouhan</v>
      </c>
      <c r="I643" s="4" t="s">
        <v>52</v>
      </c>
      <c r="J643" s="4" t="s">
        <v>59</v>
      </c>
      <c r="K643" s="4" t="s">
        <v>69</v>
      </c>
      <c r="L643" s="4" t="s">
        <v>121</v>
      </c>
      <c r="M643" s="4" t="s">
        <v>23</v>
      </c>
      <c r="N643" s="4" t="s">
        <v>119</v>
      </c>
      <c r="O643" s="4">
        <v>2</v>
      </c>
      <c r="P643" s="7">
        <v>3620</v>
      </c>
      <c r="Q643" s="8">
        <v>0.15</v>
      </c>
      <c r="R643" s="7">
        <v>2080</v>
      </c>
      <c r="S643" s="7">
        <f>Table1_1[[#This Row],[Units Sold]]*Table1_1[[#This Row],[Unit Price]]*(1-Table1_1[[#This Row],[Discount %]])</f>
        <v>6154</v>
      </c>
      <c r="T643" s="7">
        <f>Table1_1[[#This Row],[Units Sold]]*Table1_1[[#This Row],[Unit Cost]]</f>
        <v>4160</v>
      </c>
      <c r="U643" s="7">
        <f>Table1_1[[#This Row],[Calculated sales]]-Table1_1[[#This Row],[Total cost]]</f>
        <v>1994</v>
      </c>
      <c r="V643" s="4">
        <f>IFERROR(Table1_1[[#This Row],[Profit/Loss]]/Table1_1[[#This Row],[Calculated sales]],0)</f>
        <v>0.32401689957751056</v>
      </c>
    </row>
    <row r="644" spans="1:22" x14ac:dyDescent="0.25">
      <c r="A644" s="4" t="s">
        <v>791</v>
      </c>
      <c r="B644" s="5">
        <v>45631</v>
      </c>
      <c r="C644" s="4">
        <f>YEAR(Table1_1[[#This Row],[Order Dates]])</f>
        <v>2024</v>
      </c>
      <c r="D644" s="6">
        <f>MONTH(Table1_1[[#This Row],[Order Dates]])</f>
        <v>12</v>
      </c>
      <c r="E644" s="4" t="s">
        <v>56</v>
      </c>
      <c r="F644" s="4" t="s">
        <v>72</v>
      </c>
      <c r="G644" s="4" t="s">
        <v>91</v>
      </c>
      <c r="H644" s="4" t="str">
        <f>TRIM(CLEAN(SUBSTITUTE(Table1_1[[#This Row],[Salesperson]],"   "," ")))</f>
        <v>Anjali Menon</v>
      </c>
      <c r="I644" s="4" t="s">
        <v>19</v>
      </c>
      <c r="J644" s="4" t="s">
        <v>46</v>
      </c>
      <c r="K644" s="4" t="s">
        <v>179</v>
      </c>
      <c r="L644" s="4" t="s">
        <v>221</v>
      </c>
      <c r="M644" s="4" t="s">
        <v>40</v>
      </c>
      <c r="N644" s="4" t="s">
        <v>24</v>
      </c>
      <c r="O644" s="4">
        <v>22</v>
      </c>
      <c r="P644" s="7">
        <v>1590</v>
      </c>
      <c r="Q644" s="8">
        <v>0.1</v>
      </c>
      <c r="R644" s="7">
        <v>1060</v>
      </c>
      <c r="S644" s="7">
        <f>Table1_1[[#This Row],[Units Sold]]*Table1_1[[#This Row],[Unit Price]]*(1-Table1_1[[#This Row],[Discount %]])</f>
        <v>31482</v>
      </c>
      <c r="T644" s="7">
        <f>Table1_1[[#This Row],[Units Sold]]*Table1_1[[#This Row],[Unit Cost]]</f>
        <v>23320</v>
      </c>
      <c r="U644" s="7">
        <f>Table1_1[[#This Row],[Calculated sales]]-Table1_1[[#This Row],[Total cost]]</f>
        <v>8162</v>
      </c>
      <c r="V644" s="4">
        <f>IFERROR(Table1_1[[#This Row],[Profit/Loss]]/Table1_1[[#This Row],[Calculated sales]],0)</f>
        <v>0.25925925925925924</v>
      </c>
    </row>
    <row r="645" spans="1:22" x14ac:dyDescent="0.25">
      <c r="A645" s="4" t="s">
        <v>792</v>
      </c>
      <c r="B645" s="5">
        <v>45632</v>
      </c>
      <c r="C645" s="4">
        <f>YEAR(Table1_1[[#This Row],[Order Dates]])</f>
        <v>2024</v>
      </c>
      <c r="D645" s="6">
        <f>MONTH(Table1_1[[#This Row],[Order Dates]])</f>
        <v>12</v>
      </c>
      <c r="E645" s="4" t="s">
        <v>37</v>
      </c>
      <c r="F645" s="4" t="s">
        <v>213</v>
      </c>
      <c r="G645" s="4" t="s">
        <v>68</v>
      </c>
      <c r="H645" s="4" t="str">
        <f>TRIM(CLEAN(SUBSTITUTE(Table1_1[[#This Row],[Salesperson]],"   "," ")))</f>
        <v>Ritika Ghosh</v>
      </c>
      <c r="I645" s="4" t="s">
        <v>92</v>
      </c>
      <c r="J645" s="4" t="s">
        <v>20</v>
      </c>
      <c r="K645" s="4" t="s">
        <v>109</v>
      </c>
      <c r="L645" s="4" t="s">
        <v>159</v>
      </c>
      <c r="M645" s="4" t="s">
        <v>23</v>
      </c>
      <c r="N645" s="4" t="s">
        <v>24</v>
      </c>
      <c r="O645" s="4">
        <v>14</v>
      </c>
      <c r="P645" s="7">
        <v>19040</v>
      </c>
      <c r="Q645" s="8">
        <v>0</v>
      </c>
      <c r="R645" s="7">
        <v>12580</v>
      </c>
      <c r="S645" s="7">
        <f>Table1_1[[#This Row],[Units Sold]]*Table1_1[[#This Row],[Unit Price]]*(1-Table1_1[[#This Row],[Discount %]])</f>
        <v>266560</v>
      </c>
      <c r="T645" s="7">
        <f>Table1_1[[#This Row],[Units Sold]]*Table1_1[[#This Row],[Unit Cost]]</f>
        <v>176120</v>
      </c>
      <c r="U645" s="7">
        <f>Table1_1[[#This Row],[Calculated sales]]-Table1_1[[#This Row],[Total cost]]</f>
        <v>90440</v>
      </c>
      <c r="V645" s="4">
        <f>IFERROR(Table1_1[[#This Row],[Profit/Loss]]/Table1_1[[#This Row],[Calculated sales]],0)</f>
        <v>0.3392857142857143</v>
      </c>
    </row>
    <row r="646" spans="1:22" x14ac:dyDescent="0.25">
      <c r="A646" s="4" t="s">
        <v>793</v>
      </c>
      <c r="B646" s="5">
        <v>45632</v>
      </c>
      <c r="C646" s="4">
        <f>YEAR(Table1_1[[#This Row],[Order Dates]])</f>
        <v>2024</v>
      </c>
      <c r="D646" s="6">
        <f>MONTH(Table1_1[[#This Row],[Order Dates]])</f>
        <v>12</v>
      </c>
      <c r="E646" s="4" t="s">
        <v>37</v>
      </c>
      <c r="F646" s="4" t="s">
        <v>213</v>
      </c>
      <c r="G646" s="4" t="s">
        <v>68</v>
      </c>
      <c r="H646" s="4" t="str">
        <f>TRIM(CLEAN(SUBSTITUTE(Table1_1[[#This Row],[Salesperson]],"   "," ")))</f>
        <v>Ritika Ghosh</v>
      </c>
      <c r="I646" s="4" t="s">
        <v>92</v>
      </c>
      <c r="J646" s="4" t="s">
        <v>59</v>
      </c>
      <c r="K646" s="4" t="s">
        <v>60</v>
      </c>
      <c r="L646" s="4" t="s">
        <v>200</v>
      </c>
      <c r="M646" s="4" t="s">
        <v>23</v>
      </c>
      <c r="N646" s="4" t="s">
        <v>24</v>
      </c>
      <c r="O646" s="4">
        <v>14</v>
      </c>
      <c r="P646" s="7">
        <v>8990</v>
      </c>
      <c r="Q646" s="8">
        <v>0.25</v>
      </c>
      <c r="R646" s="7">
        <v>6020</v>
      </c>
      <c r="S646" s="7">
        <f>Table1_1[[#This Row],[Units Sold]]*Table1_1[[#This Row],[Unit Price]]*(1-Table1_1[[#This Row],[Discount %]])</f>
        <v>94395</v>
      </c>
      <c r="T646" s="7">
        <f>Table1_1[[#This Row],[Units Sold]]*Table1_1[[#This Row],[Unit Cost]]</f>
        <v>84280</v>
      </c>
      <c r="U646" s="7">
        <f>Table1_1[[#This Row],[Calculated sales]]-Table1_1[[#This Row],[Total cost]]</f>
        <v>10115</v>
      </c>
      <c r="V646" s="4">
        <f>IFERROR(Table1_1[[#This Row],[Profit/Loss]]/Table1_1[[#This Row],[Calculated sales]],0)</f>
        <v>0.10715609936967001</v>
      </c>
    </row>
    <row r="647" spans="1:22" x14ac:dyDescent="0.25">
      <c r="A647" s="4" t="s">
        <v>794</v>
      </c>
      <c r="B647" s="5">
        <v>45632</v>
      </c>
      <c r="C647" s="4">
        <f>YEAR(Table1_1[[#This Row],[Order Dates]])</f>
        <v>2024</v>
      </c>
      <c r="D647" s="6">
        <f>MONTH(Table1_1[[#This Row],[Order Dates]])</f>
        <v>12</v>
      </c>
      <c r="E647" s="4" t="s">
        <v>56</v>
      </c>
      <c r="F647" s="4" t="s">
        <v>127</v>
      </c>
      <c r="G647" s="4" t="s">
        <v>58</v>
      </c>
      <c r="H647" s="4" t="str">
        <f>TRIM(CLEAN(SUBSTITUTE(Table1_1[[#This Row],[Salesperson]],"   "," ")))</f>
        <v>Karthik Raman</v>
      </c>
      <c r="I647" s="4" t="s">
        <v>19</v>
      </c>
      <c r="J647" s="4" t="s">
        <v>27</v>
      </c>
      <c r="K647" s="4" t="s">
        <v>53</v>
      </c>
      <c r="L647" s="4" t="s">
        <v>1669</v>
      </c>
      <c r="M647" s="4" t="s">
        <v>49</v>
      </c>
      <c r="N647" s="4" t="s">
        <v>24</v>
      </c>
      <c r="O647" s="4">
        <v>1</v>
      </c>
      <c r="P647" s="7">
        <v>44070</v>
      </c>
      <c r="Q647" s="8">
        <v>0.12</v>
      </c>
      <c r="R647" s="7">
        <v>27730</v>
      </c>
      <c r="S647" s="7">
        <f>Table1_1[[#This Row],[Units Sold]]*Table1_1[[#This Row],[Unit Price]]*(1-Table1_1[[#This Row],[Discount %]])</f>
        <v>38781.599999999999</v>
      </c>
      <c r="T647" s="7">
        <f>Table1_1[[#This Row],[Units Sold]]*Table1_1[[#This Row],[Unit Cost]]</f>
        <v>27730</v>
      </c>
      <c r="U647" s="7">
        <f>Table1_1[[#This Row],[Calculated sales]]-Table1_1[[#This Row],[Total cost]]</f>
        <v>11051.599999999999</v>
      </c>
      <c r="V647" s="4">
        <f>IFERROR(Table1_1[[#This Row],[Profit/Loss]]/Table1_1[[#This Row],[Calculated sales]],0)</f>
        <v>0.28497019204983803</v>
      </c>
    </row>
    <row r="648" spans="1:22" x14ac:dyDescent="0.25">
      <c r="A648" s="4" t="s">
        <v>795</v>
      </c>
      <c r="B648" s="5">
        <v>45633</v>
      </c>
      <c r="C648" s="4">
        <f>YEAR(Table1_1[[#This Row],[Order Dates]])</f>
        <v>2024</v>
      </c>
      <c r="D648" s="6">
        <f>MONTH(Table1_1[[#This Row],[Order Dates]])</f>
        <v>12</v>
      </c>
      <c r="E648" s="4" t="s">
        <v>42</v>
      </c>
      <c r="F648" s="4" t="s">
        <v>96</v>
      </c>
      <c r="G648" s="4" t="s">
        <v>44</v>
      </c>
      <c r="H648" s="4" t="str">
        <f>TRIM(CLEAN(SUBSTITUTE(Table1_1[[#This Row],[Salesperson]],"   "," ")))</f>
        <v>Simran Kaur</v>
      </c>
      <c r="I648" s="4" t="s">
        <v>92</v>
      </c>
      <c r="J648" s="4" t="s">
        <v>20</v>
      </c>
      <c r="K648" s="4" t="s">
        <v>21</v>
      </c>
      <c r="L648" s="4" t="s">
        <v>1682</v>
      </c>
      <c r="M648" s="4" t="s">
        <v>23</v>
      </c>
      <c r="N648" s="4" t="s">
        <v>24</v>
      </c>
      <c r="O648" s="4">
        <v>10</v>
      </c>
      <c r="P648" s="7">
        <v>9300</v>
      </c>
      <c r="Q648" s="8">
        <v>0.1</v>
      </c>
      <c r="R648" s="7">
        <v>6620</v>
      </c>
      <c r="S648" s="7">
        <f>Table1_1[[#This Row],[Units Sold]]*Table1_1[[#This Row],[Unit Price]]*(1-Table1_1[[#This Row],[Discount %]])</f>
        <v>83700</v>
      </c>
      <c r="T648" s="7">
        <f>Table1_1[[#This Row],[Units Sold]]*Table1_1[[#This Row],[Unit Cost]]</f>
        <v>66200</v>
      </c>
      <c r="U648" s="7">
        <f>Table1_1[[#This Row],[Calculated sales]]-Table1_1[[#This Row],[Total cost]]</f>
        <v>17500</v>
      </c>
      <c r="V648" s="4">
        <f>IFERROR(Table1_1[[#This Row],[Profit/Loss]]/Table1_1[[#This Row],[Calculated sales]],0)</f>
        <v>0.20908004778972522</v>
      </c>
    </row>
    <row r="649" spans="1:22" x14ac:dyDescent="0.25">
      <c r="A649" s="4" t="s">
        <v>796</v>
      </c>
      <c r="B649" s="5">
        <v>45633</v>
      </c>
      <c r="C649" s="4">
        <f>YEAR(Table1_1[[#This Row],[Order Dates]])</f>
        <v>2024</v>
      </c>
      <c r="D649" s="6">
        <f>MONTH(Table1_1[[#This Row],[Order Dates]])</f>
        <v>12</v>
      </c>
      <c r="E649" s="4" t="s">
        <v>56</v>
      </c>
      <c r="F649" s="4" t="s">
        <v>103</v>
      </c>
      <c r="G649" s="4" t="s">
        <v>91</v>
      </c>
      <c r="H649" s="4" t="str">
        <f>TRIM(CLEAN(SUBSTITUTE(Table1_1[[#This Row],[Salesperson]],"   "," ")))</f>
        <v>Anjali Menon</v>
      </c>
      <c r="I649" s="4" t="s">
        <v>52</v>
      </c>
      <c r="J649" s="4" t="s">
        <v>27</v>
      </c>
      <c r="K649" s="4" t="s">
        <v>79</v>
      </c>
      <c r="L649" s="4" t="s">
        <v>262</v>
      </c>
      <c r="M649" s="4" t="s">
        <v>23</v>
      </c>
      <c r="N649" s="4" t="s">
        <v>24</v>
      </c>
      <c r="O649" s="4">
        <v>32</v>
      </c>
      <c r="P649" s="7">
        <v>2800</v>
      </c>
      <c r="Q649" s="8">
        <v>0</v>
      </c>
      <c r="R649" s="7">
        <v>1710</v>
      </c>
      <c r="S649" s="7">
        <f>Table1_1[[#This Row],[Units Sold]]*Table1_1[[#This Row],[Unit Price]]*(1-Table1_1[[#This Row],[Discount %]])</f>
        <v>89600</v>
      </c>
      <c r="T649" s="7">
        <f>Table1_1[[#This Row],[Units Sold]]*Table1_1[[#This Row],[Unit Cost]]</f>
        <v>54720</v>
      </c>
      <c r="U649" s="7">
        <f>Table1_1[[#This Row],[Calculated sales]]-Table1_1[[#This Row],[Total cost]]</f>
        <v>34880</v>
      </c>
      <c r="V649" s="4">
        <f>IFERROR(Table1_1[[#This Row],[Profit/Loss]]/Table1_1[[#This Row],[Calculated sales]],0)</f>
        <v>0.38928571428571429</v>
      </c>
    </row>
    <row r="650" spans="1:22" x14ac:dyDescent="0.25">
      <c r="A650" s="4" t="s">
        <v>797</v>
      </c>
      <c r="B650" s="5">
        <v>45634</v>
      </c>
      <c r="C650" s="4">
        <f>YEAR(Table1_1[[#This Row],[Order Dates]])</f>
        <v>2024</v>
      </c>
      <c r="D650" s="6">
        <f>MONTH(Table1_1[[#This Row],[Order Dates]])</f>
        <v>12</v>
      </c>
      <c r="E650" s="4" t="s">
        <v>37</v>
      </c>
      <c r="F650" s="4" t="s">
        <v>161</v>
      </c>
      <c r="G650" s="4" t="s">
        <v>39</v>
      </c>
      <c r="H650" s="4" t="str">
        <f>TRIM(CLEAN(SUBSTITUTE(Table1_1[[#This Row],[Salesperson]],"   "," ")))</f>
        <v>Sourav Das</v>
      </c>
      <c r="I650" s="4" t="s">
        <v>92</v>
      </c>
      <c r="J650" s="4" t="s">
        <v>20</v>
      </c>
      <c r="K650" s="4" t="s">
        <v>33</v>
      </c>
      <c r="L650" s="4" t="s">
        <v>1678</v>
      </c>
      <c r="M650" s="4" t="s">
        <v>40</v>
      </c>
      <c r="N650" s="4" t="s">
        <v>119</v>
      </c>
      <c r="O650" s="4">
        <v>6</v>
      </c>
      <c r="P650" s="7">
        <v>107840</v>
      </c>
      <c r="Q650" s="8">
        <v>0.15</v>
      </c>
      <c r="R650" s="7">
        <v>75940</v>
      </c>
      <c r="S650" s="7">
        <f>Table1_1[[#This Row],[Units Sold]]*Table1_1[[#This Row],[Unit Price]]*(1-Table1_1[[#This Row],[Discount %]])</f>
        <v>549984</v>
      </c>
      <c r="T650" s="7">
        <f>Table1_1[[#This Row],[Units Sold]]*Table1_1[[#This Row],[Unit Cost]]</f>
        <v>455640</v>
      </c>
      <c r="U650" s="7">
        <f>Table1_1[[#This Row],[Calculated sales]]-Table1_1[[#This Row],[Total cost]]</f>
        <v>94344</v>
      </c>
      <c r="V650" s="4">
        <f>IFERROR(Table1_1[[#This Row],[Profit/Loss]]/Table1_1[[#This Row],[Calculated sales]],0)</f>
        <v>0.17153953569558386</v>
      </c>
    </row>
    <row r="651" spans="1:22" x14ac:dyDescent="0.25">
      <c r="A651" s="4" t="s">
        <v>798</v>
      </c>
      <c r="B651" s="5">
        <v>45634</v>
      </c>
      <c r="C651" s="4">
        <f>YEAR(Table1_1[[#This Row],[Order Dates]])</f>
        <v>2024</v>
      </c>
      <c r="D651" s="6">
        <f>MONTH(Table1_1[[#This Row],[Order Dates]])</f>
        <v>12</v>
      </c>
      <c r="E651" s="4" t="s">
        <v>37</v>
      </c>
      <c r="F651" s="4" t="s">
        <v>166</v>
      </c>
      <c r="G651" s="4" t="s">
        <v>39</v>
      </c>
      <c r="H651" s="4" t="str">
        <f>TRIM(CLEAN(SUBSTITUTE(Table1_1[[#This Row],[Salesperson]],"   "," ")))</f>
        <v>Sourav Das</v>
      </c>
      <c r="I651" s="4" t="s">
        <v>52</v>
      </c>
      <c r="J651" s="4" t="s">
        <v>20</v>
      </c>
      <c r="K651" s="4" t="s">
        <v>33</v>
      </c>
      <c r="L651" s="4" t="s">
        <v>34</v>
      </c>
      <c r="M651" s="4" t="s">
        <v>40</v>
      </c>
      <c r="N651" s="4" t="s">
        <v>24</v>
      </c>
      <c r="O651" s="4">
        <v>2</v>
      </c>
      <c r="P651" s="7">
        <v>57390</v>
      </c>
      <c r="Q651" s="8">
        <v>0.18</v>
      </c>
      <c r="R651" s="7">
        <v>32930</v>
      </c>
      <c r="S651" s="7">
        <f>Table1_1[[#This Row],[Units Sold]]*Table1_1[[#This Row],[Unit Price]]*(1-Table1_1[[#This Row],[Discount %]])</f>
        <v>94119.6</v>
      </c>
      <c r="T651" s="7">
        <f>Table1_1[[#This Row],[Units Sold]]*Table1_1[[#This Row],[Unit Cost]]</f>
        <v>65860</v>
      </c>
      <c r="U651" s="7">
        <f>Table1_1[[#This Row],[Calculated sales]]-Table1_1[[#This Row],[Total cost]]</f>
        <v>28259.600000000006</v>
      </c>
      <c r="V651" s="4">
        <f>IFERROR(Table1_1[[#This Row],[Profit/Loss]]/Table1_1[[#This Row],[Calculated sales]],0)</f>
        <v>0.3002520197705898</v>
      </c>
    </row>
    <row r="652" spans="1:22" x14ac:dyDescent="0.25">
      <c r="A652" s="4" t="s">
        <v>799</v>
      </c>
      <c r="B652" s="5">
        <v>45634</v>
      </c>
      <c r="C652" s="4">
        <f>YEAR(Table1_1[[#This Row],[Order Dates]])</f>
        <v>2024</v>
      </c>
      <c r="D652" s="6">
        <f>MONTH(Table1_1[[#This Row],[Order Dates]])</f>
        <v>12</v>
      </c>
      <c r="E652" s="4" t="s">
        <v>16</v>
      </c>
      <c r="F652" s="4" t="s">
        <v>153</v>
      </c>
      <c r="G652" s="4" t="s">
        <v>32</v>
      </c>
      <c r="H652" s="4" t="str">
        <f>TRIM(CLEAN(SUBSTITUTE(Table1_1[[#This Row],[Salesperson]],"   "," ")))</f>
        <v>Neha Deshpande</v>
      </c>
      <c r="I652" s="4" t="s">
        <v>92</v>
      </c>
      <c r="J652" s="4" t="s">
        <v>27</v>
      </c>
      <c r="K652" s="4" t="s">
        <v>53</v>
      </c>
      <c r="L652" s="4" t="s">
        <v>1676</v>
      </c>
      <c r="M652" s="4" t="s">
        <v>23</v>
      </c>
      <c r="N652" s="4" t="s">
        <v>24</v>
      </c>
      <c r="O652" s="4">
        <v>3</v>
      </c>
      <c r="P652" s="7">
        <v>36820</v>
      </c>
      <c r="Q652" s="8">
        <v>0.2</v>
      </c>
      <c r="R652" s="7">
        <v>20870</v>
      </c>
      <c r="S652" s="7">
        <f>Table1_1[[#This Row],[Units Sold]]*Table1_1[[#This Row],[Unit Price]]*(1-Table1_1[[#This Row],[Discount %]])</f>
        <v>88368</v>
      </c>
      <c r="T652" s="7">
        <f>Table1_1[[#This Row],[Units Sold]]*Table1_1[[#This Row],[Unit Cost]]</f>
        <v>62610</v>
      </c>
      <c r="U652" s="7">
        <f>Table1_1[[#This Row],[Calculated sales]]-Table1_1[[#This Row],[Total cost]]</f>
        <v>25758</v>
      </c>
      <c r="V652" s="4">
        <f>IFERROR(Table1_1[[#This Row],[Profit/Loss]]/Table1_1[[#This Row],[Calculated sales]],0)</f>
        <v>0.29148560564910375</v>
      </c>
    </row>
    <row r="653" spans="1:22" x14ac:dyDescent="0.25">
      <c r="A653" s="4" t="s">
        <v>800</v>
      </c>
      <c r="B653" s="5">
        <v>45634</v>
      </c>
      <c r="C653" s="4">
        <f>YEAR(Table1_1[[#This Row],[Order Dates]])</f>
        <v>2024</v>
      </c>
      <c r="D653" s="6">
        <f>MONTH(Table1_1[[#This Row],[Order Dates]])</f>
        <v>12</v>
      </c>
      <c r="E653" s="4" t="s">
        <v>76</v>
      </c>
      <c r="F653" s="4" t="s">
        <v>150</v>
      </c>
      <c r="G653" s="4" t="s">
        <v>78</v>
      </c>
      <c r="H653" s="4" t="str">
        <f>TRIM(CLEAN(SUBSTITUTE(Table1_1[[#This Row],[Salesperson]],"   "," ")))</f>
        <v>Pooja Chouhan</v>
      </c>
      <c r="I653" s="4" t="s">
        <v>19</v>
      </c>
      <c r="J653" s="4" t="s">
        <v>20</v>
      </c>
      <c r="K653" s="4" t="s">
        <v>21</v>
      </c>
      <c r="L653" s="4" t="s">
        <v>1682</v>
      </c>
      <c r="M653" s="4" t="s">
        <v>23</v>
      </c>
      <c r="N653" s="4" t="s">
        <v>24</v>
      </c>
      <c r="O653" s="4">
        <v>14</v>
      </c>
      <c r="P653" s="7">
        <v>9210</v>
      </c>
      <c r="Q653" s="8">
        <v>0.12</v>
      </c>
      <c r="R653" s="7">
        <v>5350</v>
      </c>
      <c r="S653" s="7">
        <f>Table1_1[[#This Row],[Units Sold]]*Table1_1[[#This Row],[Unit Price]]*(1-Table1_1[[#This Row],[Discount %]])</f>
        <v>113467.2</v>
      </c>
      <c r="T653" s="7">
        <f>Table1_1[[#This Row],[Units Sold]]*Table1_1[[#This Row],[Unit Cost]]</f>
        <v>74900</v>
      </c>
      <c r="U653" s="7">
        <f>Table1_1[[#This Row],[Calculated sales]]-Table1_1[[#This Row],[Total cost]]</f>
        <v>38567.199999999997</v>
      </c>
      <c r="V653" s="4">
        <f>IFERROR(Table1_1[[#This Row],[Profit/Loss]]/Table1_1[[#This Row],[Calculated sales]],0)</f>
        <v>0.33989734478333827</v>
      </c>
    </row>
    <row r="654" spans="1:22" x14ac:dyDescent="0.25">
      <c r="A654" s="4" t="s">
        <v>801</v>
      </c>
      <c r="B654" s="5">
        <v>45635</v>
      </c>
      <c r="C654" s="4">
        <f>YEAR(Table1_1[[#This Row],[Order Dates]])</f>
        <v>2024</v>
      </c>
      <c r="D654" s="6">
        <f>MONTH(Table1_1[[#This Row],[Order Dates]])</f>
        <v>12</v>
      </c>
      <c r="E654" s="4" t="s">
        <v>42</v>
      </c>
      <c r="F654" s="4" t="s">
        <v>265</v>
      </c>
      <c r="G654" s="4" t="s">
        <v>44</v>
      </c>
      <c r="H654" s="4" t="str">
        <f>TRIM(CLEAN(SUBSTITUTE(Table1_1[[#This Row],[Salesperson]],"   "," ")))</f>
        <v>Simran Kaur</v>
      </c>
      <c r="I654" s="4" t="s">
        <v>92</v>
      </c>
      <c r="J654" s="4" t="s">
        <v>59</v>
      </c>
      <c r="K654" s="4" t="s">
        <v>69</v>
      </c>
      <c r="L654" s="4" t="s">
        <v>70</v>
      </c>
      <c r="M654" s="4" t="s">
        <v>40</v>
      </c>
      <c r="N654" s="4" t="s">
        <v>24</v>
      </c>
      <c r="O654" s="4">
        <v>13</v>
      </c>
      <c r="P654" s="7">
        <v>27520</v>
      </c>
      <c r="Q654" s="8">
        <v>0.08</v>
      </c>
      <c r="R654" s="7">
        <v>20440</v>
      </c>
      <c r="S654" s="7">
        <f>Table1_1[[#This Row],[Units Sold]]*Table1_1[[#This Row],[Unit Price]]*(1-Table1_1[[#This Row],[Discount %]])</f>
        <v>329139.20000000001</v>
      </c>
      <c r="T654" s="7">
        <f>Table1_1[[#This Row],[Units Sold]]*Table1_1[[#This Row],[Unit Cost]]</f>
        <v>265720</v>
      </c>
      <c r="U654" s="7">
        <f>Table1_1[[#This Row],[Calculated sales]]-Table1_1[[#This Row],[Total cost]]</f>
        <v>63419.200000000012</v>
      </c>
      <c r="V654" s="4">
        <f>IFERROR(Table1_1[[#This Row],[Profit/Loss]]/Table1_1[[#This Row],[Calculated sales]],0)</f>
        <v>0.19268200202224472</v>
      </c>
    </row>
    <row r="655" spans="1:22" x14ac:dyDescent="0.25">
      <c r="A655" s="4" t="s">
        <v>802</v>
      </c>
      <c r="B655" s="5">
        <v>45636</v>
      </c>
      <c r="C655" s="4">
        <f>YEAR(Table1_1[[#This Row],[Order Dates]])</f>
        <v>2024</v>
      </c>
      <c r="D655" s="6">
        <f>MONTH(Table1_1[[#This Row],[Order Dates]])</f>
        <v>12</v>
      </c>
      <c r="E655" s="4" t="s">
        <v>37</v>
      </c>
      <c r="F655" s="4" t="s">
        <v>166</v>
      </c>
      <c r="G655" s="4" t="s">
        <v>68</v>
      </c>
      <c r="H655" s="4" t="str">
        <f>TRIM(CLEAN(SUBSTITUTE(Table1_1[[#This Row],[Salesperson]],"   "," ")))</f>
        <v>Ritika Ghosh</v>
      </c>
      <c r="I655" s="4" t="s">
        <v>92</v>
      </c>
      <c r="J655" s="4" t="s">
        <v>20</v>
      </c>
      <c r="K655" s="4" t="s">
        <v>33</v>
      </c>
      <c r="L655" s="4" t="s">
        <v>1678</v>
      </c>
      <c r="M655" s="4" t="s">
        <v>23</v>
      </c>
      <c r="N655" s="4" t="s">
        <v>24</v>
      </c>
      <c r="O655" s="4">
        <v>2</v>
      </c>
      <c r="P655" s="7">
        <v>102990</v>
      </c>
      <c r="Q655" s="8">
        <v>0.1</v>
      </c>
      <c r="R655" s="7">
        <v>70850</v>
      </c>
      <c r="S655" s="7">
        <f>Table1_1[[#This Row],[Units Sold]]*Table1_1[[#This Row],[Unit Price]]*(1-Table1_1[[#This Row],[Discount %]])</f>
        <v>185382</v>
      </c>
      <c r="T655" s="7">
        <f>Table1_1[[#This Row],[Units Sold]]*Table1_1[[#This Row],[Unit Cost]]</f>
        <v>141700</v>
      </c>
      <c r="U655" s="7">
        <f>Table1_1[[#This Row],[Calculated sales]]-Table1_1[[#This Row],[Total cost]]</f>
        <v>43682</v>
      </c>
      <c r="V655" s="4">
        <f>IFERROR(Table1_1[[#This Row],[Profit/Loss]]/Table1_1[[#This Row],[Calculated sales]],0)</f>
        <v>0.23563236991725195</v>
      </c>
    </row>
    <row r="656" spans="1:22" x14ac:dyDescent="0.25">
      <c r="A656" s="4" t="s">
        <v>803</v>
      </c>
      <c r="B656" s="5">
        <v>45637</v>
      </c>
      <c r="C656" s="4">
        <f>YEAR(Table1_1[[#This Row],[Order Dates]])</f>
        <v>2024</v>
      </c>
      <c r="D656" s="6">
        <f>MONTH(Table1_1[[#This Row],[Order Dates]])</f>
        <v>12</v>
      </c>
      <c r="E656" s="4" t="s">
        <v>56</v>
      </c>
      <c r="F656" s="4" t="s">
        <v>143</v>
      </c>
      <c r="G656" s="4" t="s">
        <v>58</v>
      </c>
      <c r="H656" s="4" t="str">
        <f>TRIM(CLEAN(SUBSTITUTE(Table1_1[[#This Row],[Salesperson]],"   "," ")))</f>
        <v>Karthik Raman</v>
      </c>
      <c r="I656" s="4" t="s">
        <v>52</v>
      </c>
      <c r="J656" s="4" t="s">
        <v>46</v>
      </c>
      <c r="K656" s="4" t="s">
        <v>179</v>
      </c>
      <c r="L656" s="4" t="s">
        <v>236</v>
      </c>
      <c r="M656" s="4" t="s">
        <v>49</v>
      </c>
      <c r="N656" s="4" t="s">
        <v>24</v>
      </c>
      <c r="O656" s="4">
        <v>15</v>
      </c>
      <c r="P656" s="7">
        <v>2350</v>
      </c>
      <c r="Q656" s="8">
        <v>0.2</v>
      </c>
      <c r="R656" s="7">
        <v>1390</v>
      </c>
      <c r="S656" s="7">
        <f>Table1_1[[#This Row],[Units Sold]]*Table1_1[[#This Row],[Unit Price]]*(1-Table1_1[[#This Row],[Discount %]])</f>
        <v>28200</v>
      </c>
      <c r="T656" s="7">
        <f>Table1_1[[#This Row],[Units Sold]]*Table1_1[[#This Row],[Unit Cost]]</f>
        <v>20850</v>
      </c>
      <c r="U656" s="7">
        <f>Table1_1[[#This Row],[Calculated sales]]-Table1_1[[#This Row],[Total cost]]</f>
        <v>7350</v>
      </c>
      <c r="V656" s="4">
        <f>IFERROR(Table1_1[[#This Row],[Profit/Loss]]/Table1_1[[#This Row],[Calculated sales]],0)</f>
        <v>0.26063829787234044</v>
      </c>
    </row>
    <row r="657" spans="1:22" x14ac:dyDescent="0.25">
      <c r="A657" s="4" t="s">
        <v>804</v>
      </c>
      <c r="B657" s="5">
        <v>45637</v>
      </c>
      <c r="C657" s="4">
        <f>YEAR(Table1_1[[#This Row],[Order Dates]])</f>
        <v>2024</v>
      </c>
      <c r="D657" s="6">
        <f>MONTH(Table1_1[[#This Row],[Order Dates]])</f>
        <v>12</v>
      </c>
      <c r="E657" s="4" t="s">
        <v>16</v>
      </c>
      <c r="F657" s="4" t="s">
        <v>82</v>
      </c>
      <c r="G657" s="4" t="s">
        <v>18</v>
      </c>
      <c r="H657" s="4" t="str">
        <f>TRIM(CLEAN(SUBSTITUTE(Table1_1[[#This Row],[Salesperson]],"   "," ")))</f>
        <v>Imran Sheikh</v>
      </c>
      <c r="I657" s="4" t="s">
        <v>19</v>
      </c>
      <c r="J657" s="4" t="s">
        <v>20</v>
      </c>
      <c r="K657" s="4" t="s">
        <v>33</v>
      </c>
      <c r="L657" s="4" t="s">
        <v>1677</v>
      </c>
      <c r="M657" s="4" t="s">
        <v>49</v>
      </c>
      <c r="N657" s="4" t="s">
        <v>24</v>
      </c>
      <c r="O657" s="4">
        <v>3</v>
      </c>
      <c r="P657" s="7">
        <v>59900</v>
      </c>
      <c r="Q657" s="8">
        <v>0.12</v>
      </c>
      <c r="R657" s="7">
        <v>45600</v>
      </c>
      <c r="S657" s="7">
        <f>Table1_1[[#This Row],[Units Sold]]*Table1_1[[#This Row],[Unit Price]]*(1-Table1_1[[#This Row],[Discount %]])</f>
        <v>158136</v>
      </c>
      <c r="T657" s="7">
        <f>Table1_1[[#This Row],[Units Sold]]*Table1_1[[#This Row],[Unit Cost]]</f>
        <v>136800</v>
      </c>
      <c r="U657" s="7">
        <f>Table1_1[[#This Row],[Calculated sales]]-Table1_1[[#This Row],[Total cost]]</f>
        <v>21336</v>
      </c>
      <c r="V657" s="4">
        <f>IFERROR(Table1_1[[#This Row],[Profit/Loss]]/Table1_1[[#This Row],[Calculated sales]],0)</f>
        <v>0.13492183942935196</v>
      </c>
    </row>
    <row r="658" spans="1:22" x14ac:dyDescent="0.25">
      <c r="A658" s="4" t="s">
        <v>805</v>
      </c>
      <c r="B658" s="5">
        <v>45637</v>
      </c>
      <c r="C658" s="4">
        <f>YEAR(Table1_1[[#This Row],[Order Dates]])</f>
        <v>2024</v>
      </c>
      <c r="D658" s="6">
        <f>MONTH(Table1_1[[#This Row],[Order Dates]])</f>
        <v>12</v>
      </c>
      <c r="E658" s="4" t="s">
        <v>16</v>
      </c>
      <c r="F658" s="4" t="s">
        <v>153</v>
      </c>
      <c r="G658" s="4" t="s">
        <v>18</v>
      </c>
      <c r="H658" s="4" t="str">
        <f>TRIM(CLEAN(SUBSTITUTE(Table1_1[[#This Row],[Salesperson]],"   "," ")))</f>
        <v>Imran Sheikh</v>
      </c>
      <c r="I658" s="4" t="s">
        <v>45</v>
      </c>
      <c r="J658" s="4" t="s">
        <v>59</v>
      </c>
      <c r="K658" s="4" t="s">
        <v>154</v>
      </c>
      <c r="L658" s="4" t="s">
        <v>249</v>
      </c>
      <c r="M658" s="4" t="s">
        <v>23</v>
      </c>
      <c r="N658" s="4" t="s">
        <v>24</v>
      </c>
      <c r="O658" s="4">
        <v>4</v>
      </c>
      <c r="P658" s="7">
        <v>6460</v>
      </c>
      <c r="Q658" s="8">
        <v>0.2</v>
      </c>
      <c r="R658" s="7">
        <v>4610</v>
      </c>
      <c r="S658" s="7">
        <f>Table1_1[[#This Row],[Units Sold]]*Table1_1[[#This Row],[Unit Price]]*(1-Table1_1[[#This Row],[Discount %]])</f>
        <v>20672</v>
      </c>
      <c r="T658" s="7">
        <f>Table1_1[[#This Row],[Units Sold]]*Table1_1[[#This Row],[Unit Cost]]</f>
        <v>18440</v>
      </c>
      <c r="U658" s="7">
        <f>Table1_1[[#This Row],[Calculated sales]]-Table1_1[[#This Row],[Total cost]]</f>
        <v>2232</v>
      </c>
      <c r="V658" s="4">
        <f>IFERROR(Table1_1[[#This Row],[Profit/Loss]]/Table1_1[[#This Row],[Calculated sales]],0)</f>
        <v>0.10797213622291021</v>
      </c>
    </row>
    <row r="659" spans="1:22" x14ac:dyDescent="0.25">
      <c r="A659" s="4" t="s">
        <v>806</v>
      </c>
      <c r="B659" s="5">
        <v>45638</v>
      </c>
      <c r="C659" s="4">
        <f>YEAR(Table1_1[[#This Row],[Order Dates]])</f>
        <v>2024</v>
      </c>
      <c r="D659" s="6">
        <f>MONTH(Table1_1[[#This Row],[Order Dates]])</f>
        <v>12</v>
      </c>
      <c r="E659" s="4" t="s">
        <v>37</v>
      </c>
      <c r="F659" s="4" t="s">
        <v>38</v>
      </c>
      <c r="G659" s="4" t="s">
        <v>39</v>
      </c>
      <c r="H659" s="4" t="str">
        <f>TRIM(CLEAN(SUBSTITUTE(Table1_1[[#This Row],[Salesperson]],"   "," ")))</f>
        <v>Sourav Das</v>
      </c>
      <c r="I659" s="4" t="s">
        <v>19</v>
      </c>
      <c r="J659" s="4" t="s">
        <v>83</v>
      </c>
      <c r="K659" s="4" t="s">
        <v>136</v>
      </c>
      <c r="L659" s="4" t="s">
        <v>137</v>
      </c>
      <c r="M659" s="4" t="s">
        <v>40</v>
      </c>
      <c r="N659" s="4" t="s">
        <v>24</v>
      </c>
      <c r="O659" s="4">
        <v>24</v>
      </c>
      <c r="P659" s="7">
        <v>1690</v>
      </c>
      <c r="Q659" s="8">
        <v>0</v>
      </c>
      <c r="R659" s="7">
        <v>1300</v>
      </c>
      <c r="S659" s="7">
        <f>Table1_1[[#This Row],[Units Sold]]*Table1_1[[#This Row],[Unit Price]]*(1-Table1_1[[#This Row],[Discount %]])</f>
        <v>40560</v>
      </c>
      <c r="T659" s="7">
        <f>Table1_1[[#This Row],[Units Sold]]*Table1_1[[#This Row],[Unit Cost]]</f>
        <v>31200</v>
      </c>
      <c r="U659" s="7">
        <f>Table1_1[[#This Row],[Calculated sales]]-Table1_1[[#This Row],[Total cost]]</f>
        <v>9360</v>
      </c>
      <c r="V659" s="4">
        <f>IFERROR(Table1_1[[#This Row],[Profit/Loss]]/Table1_1[[#This Row],[Calculated sales]],0)</f>
        <v>0.23076923076923078</v>
      </c>
    </row>
    <row r="660" spans="1:22" x14ac:dyDescent="0.25">
      <c r="A660" s="4" t="s">
        <v>807</v>
      </c>
      <c r="B660" s="5">
        <v>45638</v>
      </c>
      <c r="C660" s="4">
        <f>YEAR(Table1_1[[#This Row],[Order Dates]])</f>
        <v>2024</v>
      </c>
      <c r="D660" s="6">
        <f>MONTH(Table1_1[[#This Row],[Order Dates]])</f>
        <v>12</v>
      </c>
      <c r="E660" s="4" t="s">
        <v>37</v>
      </c>
      <c r="F660" s="4" t="s">
        <v>161</v>
      </c>
      <c r="G660" s="4" t="s">
        <v>39</v>
      </c>
      <c r="H660" s="4" t="str">
        <f>TRIM(CLEAN(SUBSTITUTE(Table1_1[[#This Row],[Salesperson]],"   "," ")))</f>
        <v>Sourav Das</v>
      </c>
      <c r="I660" s="4" t="s">
        <v>19</v>
      </c>
      <c r="J660" s="4" t="s">
        <v>27</v>
      </c>
      <c r="K660" s="4" t="s">
        <v>28</v>
      </c>
      <c r="L660" s="4" t="s">
        <v>141</v>
      </c>
      <c r="M660" s="4" t="s">
        <v>23</v>
      </c>
      <c r="N660" s="4" t="s">
        <v>24</v>
      </c>
      <c r="O660" s="4">
        <v>2</v>
      </c>
      <c r="P660" s="7">
        <v>15670</v>
      </c>
      <c r="Q660" s="8">
        <v>0.25</v>
      </c>
      <c r="R660" s="7">
        <v>12140</v>
      </c>
      <c r="S660" s="7">
        <f>Table1_1[[#This Row],[Units Sold]]*Table1_1[[#This Row],[Unit Price]]*(1-Table1_1[[#This Row],[Discount %]])</f>
        <v>23505</v>
      </c>
      <c r="T660" s="7">
        <f>Table1_1[[#This Row],[Units Sold]]*Table1_1[[#This Row],[Unit Cost]]</f>
        <v>24280</v>
      </c>
      <c r="U660" s="7">
        <f>Table1_1[[#This Row],[Calculated sales]]-Table1_1[[#This Row],[Total cost]]</f>
        <v>-775</v>
      </c>
      <c r="V660" s="4">
        <f>IFERROR(Table1_1[[#This Row],[Profit/Loss]]/Table1_1[[#This Row],[Calculated sales]],0)</f>
        <v>-3.2971708147202725E-2</v>
      </c>
    </row>
    <row r="661" spans="1:22" x14ac:dyDescent="0.25">
      <c r="A661" s="4" t="s">
        <v>808</v>
      </c>
      <c r="B661" s="5">
        <v>45638</v>
      </c>
      <c r="C661" s="4">
        <f>YEAR(Table1_1[[#This Row],[Order Dates]])</f>
        <v>2024</v>
      </c>
      <c r="D661" s="6">
        <f>MONTH(Table1_1[[#This Row],[Order Dates]])</f>
        <v>12</v>
      </c>
      <c r="E661" s="4" t="s">
        <v>42</v>
      </c>
      <c r="F661" s="4" t="s">
        <v>265</v>
      </c>
      <c r="G661" s="4" t="s">
        <v>44</v>
      </c>
      <c r="H661" s="4" t="str">
        <f>TRIM(CLEAN(SUBSTITUTE(Table1_1[[#This Row],[Salesperson]],"   "," ")))</f>
        <v>Simran Kaur</v>
      </c>
      <c r="I661" s="4" t="s">
        <v>92</v>
      </c>
      <c r="J661" s="4" t="s">
        <v>59</v>
      </c>
      <c r="K661" s="4" t="s">
        <v>154</v>
      </c>
      <c r="L661" s="4" t="s">
        <v>249</v>
      </c>
      <c r="M661" s="4" t="s">
        <v>23</v>
      </c>
      <c r="N661" s="4" t="s">
        <v>24</v>
      </c>
      <c r="O661" s="4">
        <v>11</v>
      </c>
      <c r="P661" s="7">
        <v>6770</v>
      </c>
      <c r="Q661" s="8">
        <v>0.1</v>
      </c>
      <c r="R661" s="7">
        <v>4160</v>
      </c>
      <c r="S661" s="7">
        <f>Table1_1[[#This Row],[Units Sold]]*Table1_1[[#This Row],[Unit Price]]*(1-Table1_1[[#This Row],[Discount %]])</f>
        <v>67023</v>
      </c>
      <c r="T661" s="7">
        <f>Table1_1[[#This Row],[Units Sold]]*Table1_1[[#This Row],[Unit Cost]]</f>
        <v>45760</v>
      </c>
      <c r="U661" s="7">
        <f>Table1_1[[#This Row],[Calculated sales]]-Table1_1[[#This Row],[Total cost]]</f>
        <v>21263</v>
      </c>
      <c r="V661" s="4">
        <f>IFERROR(Table1_1[[#This Row],[Profit/Loss]]/Table1_1[[#This Row],[Calculated sales]],0)</f>
        <v>0.31724930247825373</v>
      </c>
    </row>
    <row r="662" spans="1:22" x14ac:dyDescent="0.25">
      <c r="A662" s="4" t="s">
        <v>809</v>
      </c>
      <c r="B662" s="5">
        <v>45638</v>
      </c>
      <c r="C662" s="4">
        <f>YEAR(Table1_1[[#This Row],[Order Dates]])</f>
        <v>2024</v>
      </c>
      <c r="D662" s="6">
        <f>MONTH(Table1_1[[#This Row],[Order Dates]])</f>
        <v>12</v>
      </c>
      <c r="E662" s="4" t="s">
        <v>76</v>
      </c>
      <c r="F662" s="4" t="s">
        <v>217</v>
      </c>
      <c r="G662" s="4" t="s">
        <v>170</v>
      </c>
      <c r="H662" s="4" t="str">
        <f>TRIM(CLEAN(SUBSTITUTE(Table1_1[[#This Row],[Salesperson]],"   "," ")))</f>
        <v>Manish Tiwari</v>
      </c>
      <c r="I662" s="4" t="s">
        <v>45</v>
      </c>
      <c r="J662" s="4" t="s">
        <v>20</v>
      </c>
      <c r="K662" s="4" t="s">
        <v>87</v>
      </c>
      <c r="L662" s="4" t="s">
        <v>1672</v>
      </c>
      <c r="M662" s="4" t="s">
        <v>23</v>
      </c>
      <c r="N662" s="4" t="s">
        <v>24</v>
      </c>
      <c r="O662" s="4">
        <v>3</v>
      </c>
      <c r="P662" s="7">
        <v>31040</v>
      </c>
      <c r="Q662" s="8">
        <v>0.25</v>
      </c>
      <c r="R662" s="7">
        <v>24190</v>
      </c>
      <c r="S662" s="7">
        <f>Table1_1[[#This Row],[Units Sold]]*Table1_1[[#This Row],[Unit Price]]*(1-Table1_1[[#This Row],[Discount %]])</f>
        <v>69840</v>
      </c>
      <c r="T662" s="7">
        <f>Table1_1[[#This Row],[Units Sold]]*Table1_1[[#This Row],[Unit Cost]]</f>
        <v>72570</v>
      </c>
      <c r="U662" s="7">
        <f>Table1_1[[#This Row],[Calculated sales]]-Table1_1[[#This Row],[Total cost]]</f>
        <v>-2730</v>
      </c>
      <c r="V662" s="4">
        <f>IFERROR(Table1_1[[#This Row],[Profit/Loss]]/Table1_1[[#This Row],[Calculated sales]],0)</f>
        <v>-3.9089347079037801E-2</v>
      </c>
    </row>
    <row r="663" spans="1:22" x14ac:dyDescent="0.25">
      <c r="A663" s="4" t="s">
        <v>810</v>
      </c>
      <c r="B663" s="5">
        <v>45639</v>
      </c>
      <c r="C663" s="4">
        <f>YEAR(Table1_1[[#This Row],[Order Dates]])</f>
        <v>2024</v>
      </c>
      <c r="D663" s="6">
        <f>MONTH(Table1_1[[#This Row],[Order Dates]])</f>
        <v>12</v>
      </c>
      <c r="E663" s="4" t="s">
        <v>16</v>
      </c>
      <c r="F663" s="4" t="s">
        <v>31</v>
      </c>
      <c r="G663" s="4" t="s">
        <v>32</v>
      </c>
      <c r="H663" s="4" t="str">
        <f>TRIM(CLEAN(SUBSTITUTE(Table1_1[[#This Row],[Salesperson]],"   "," ")))</f>
        <v>Neha Deshpande</v>
      </c>
      <c r="I663" s="4" t="s">
        <v>92</v>
      </c>
      <c r="J663" s="4" t="s">
        <v>20</v>
      </c>
      <c r="K663" s="4" t="s">
        <v>21</v>
      </c>
      <c r="L663" s="4" t="s">
        <v>1667</v>
      </c>
      <c r="M663" s="4" t="s">
        <v>40</v>
      </c>
      <c r="N663" s="4" t="s">
        <v>24</v>
      </c>
      <c r="O663" s="4">
        <v>38</v>
      </c>
      <c r="P663" s="7">
        <v>1840</v>
      </c>
      <c r="Q663" s="8">
        <v>0.08</v>
      </c>
      <c r="R663" s="7">
        <v>1340</v>
      </c>
      <c r="S663" s="7">
        <f>Table1_1[[#This Row],[Units Sold]]*Table1_1[[#This Row],[Unit Price]]*(1-Table1_1[[#This Row],[Discount %]])</f>
        <v>64326.400000000001</v>
      </c>
      <c r="T663" s="7">
        <f>Table1_1[[#This Row],[Units Sold]]*Table1_1[[#This Row],[Unit Cost]]</f>
        <v>50920</v>
      </c>
      <c r="U663" s="7">
        <f>Table1_1[[#This Row],[Calculated sales]]-Table1_1[[#This Row],[Total cost]]</f>
        <v>13406.400000000001</v>
      </c>
      <c r="V663" s="4">
        <f>IFERROR(Table1_1[[#This Row],[Profit/Loss]]/Table1_1[[#This Row],[Calculated sales]],0)</f>
        <v>0.20841209829867677</v>
      </c>
    </row>
    <row r="664" spans="1:22" x14ac:dyDescent="0.25">
      <c r="A664" s="4" t="s">
        <v>811</v>
      </c>
      <c r="B664" s="5">
        <v>45640</v>
      </c>
      <c r="C664" s="4">
        <f>YEAR(Table1_1[[#This Row],[Order Dates]])</f>
        <v>2024</v>
      </c>
      <c r="D664" s="6">
        <f>MONTH(Table1_1[[#This Row],[Order Dates]])</f>
        <v>12</v>
      </c>
      <c r="E664" s="4" t="s">
        <v>42</v>
      </c>
      <c r="F664" s="4" t="s">
        <v>146</v>
      </c>
      <c r="G664" s="4" t="s">
        <v>44</v>
      </c>
      <c r="H664" s="4" t="str">
        <f>TRIM(CLEAN(SUBSTITUTE(Table1_1[[#This Row],[Salesperson]],"   "," ")))</f>
        <v>Simran Kaur</v>
      </c>
      <c r="I664" s="4" t="s">
        <v>92</v>
      </c>
      <c r="J664" s="4" t="s">
        <v>59</v>
      </c>
      <c r="K664" s="4" t="s">
        <v>73</v>
      </c>
      <c r="L664" s="4" t="s">
        <v>113</v>
      </c>
      <c r="M664" s="4" t="s">
        <v>23</v>
      </c>
      <c r="N664" s="4" t="s">
        <v>24</v>
      </c>
      <c r="O664" s="4">
        <v>1</v>
      </c>
      <c r="P664" s="7">
        <v>31320</v>
      </c>
      <c r="Q664" s="8">
        <v>0.25</v>
      </c>
      <c r="R664" s="7">
        <v>18490</v>
      </c>
      <c r="S664" s="7">
        <f>Table1_1[[#This Row],[Units Sold]]*Table1_1[[#This Row],[Unit Price]]*(1-Table1_1[[#This Row],[Discount %]])</f>
        <v>23490</v>
      </c>
      <c r="T664" s="7">
        <f>Table1_1[[#This Row],[Units Sold]]*Table1_1[[#This Row],[Unit Cost]]</f>
        <v>18490</v>
      </c>
      <c r="U664" s="7">
        <f>Table1_1[[#This Row],[Calculated sales]]-Table1_1[[#This Row],[Total cost]]</f>
        <v>5000</v>
      </c>
      <c r="V664" s="4">
        <f>IFERROR(Table1_1[[#This Row],[Profit/Loss]]/Table1_1[[#This Row],[Calculated sales]],0)</f>
        <v>0.21285653469561516</v>
      </c>
    </row>
    <row r="665" spans="1:22" x14ac:dyDescent="0.25">
      <c r="A665" s="4" t="s">
        <v>812</v>
      </c>
      <c r="B665" s="5">
        <v>45641</v>
      </c>
      <c r="C665" s="4">
        <f>YEAR(Table1_1[[#This Row],[Order Dates]])</f>
        <v>2024</v>
      </c>
      <c r="D665" s="6">
        <f>MONTH(Table1_1[[#This Row],[Order Dates]])</f>
        <v>12</v>
      </c>
      <c r="E665" s="4" t="s">
        <v>42</v>
      </c>
      <c r="F665" s="4" t="s">
        <v>130</v>
      </c>
      <c r="G665" s="4" t="s">
        <v>64</v>
      </c>
      <c r="H665" s="4" t="str">
        <f>TRIM(CLEAN(SUBSTITUTE(Table1_1[[#This Row],[Salesperson]],"   "," ")))</f>
        <v>Aditya Verma</v>
      </c>
      <c r="I665" s="4" t="s">
        <v>19</v>
      </c>
      <c r="J665" s="4" t="s">
        <v>27</v>
      </c>
      <c r="K665" s="4" t="s">
        <v>214</v>
      </c>
      <c r="L665" s="4" t="s">
        <v>1681</v>
      </c>
      <c r="M665" s="4" t="s">
        <v>23</v>
      </c>
      <c r="N665" s="4" t="s">
        <v>24</v>
      </c>
      <c r="O665" s="4">
        <v>8</v>
      </c>
      <c r="P665" s="7">
        <v>13670</v>
      </c>
      <c r="Q665" s="8">
        <v>0.1</v>
      </c>
      <c r="R665" s="7">
        <v>8600</v>
      </c>
      <c r="S665" s="7">
        <f>Table1_1[[#This Row],[Units Sold]]*Table1_1[[#This Row],[Unit Price]]*(1-Table1_1[[#This Row],[Discount %]])</f>
        <v>98424</v>
      </c>
      <c r="T665" s="7">
        <f>Table1_1[[#This Row],[Units Sold]]*Table1_1[[#This Row],[Unit Cost]]</f>
        <v>68800</v>
      </c>
      <c r="U665" s="7">
        <f>Table1_1[[#This Row],[Calculated sales]]-Table1_1[[#This Row],[Total cost]]</f>
        <v>29624</v>
      </c>
      <c r="V665" s="4">
        <f>IFERROR(Table1_1[[#This Row],[Profit/Loss]]/Table1_1[[#This Row],[Calculated sales]],0)</f>
        <v>0.30098349995935952</v>
      </c>
    </row>
    <row r="666" spans="1:22" x14ac:dyDescent="0.25">
      <c r="A666" s="4" t="s">
        <v>813</v>
      </c>
      <c r="B666" s="5">
        <v>45641</v>
      </c>
      <c r="C666" s="4">
        <f>YEAR(Table1_1[[#This Row],[Order Dates]])</f>
        <v>2024</v>
      </c>
      <c r="D666" s="6">
        <f>MONTH(Table1_1[[#This Row],[Order Dates]])</f>
        <v>12</v>
      </c>
      <c r="E666" s="4" t="s">
        <v>56</v>
      </c>
      <c r="F666" s="4" t="s">
        <v>103</v>
      </c>
      <c r="G666" s="4" t="s">
        <v>58</v>
      </c>
      <c r="H666" s="4" t="str">
        <f>TRIM(CLEAN(SUBSTITUTE(Table1_1[[#This Row],[Salesperson]],"   "," ")))</f>
        <v>Karthik Raman</v>
      </c>
      <c r="I666" s="4" t="s">
        <v>52</v>
      </c>
      <c r="J666" s="4" t="s">
        <v>83</v>
      </c>
      <c r="K666" s="4" t="s">
        <v>184</v>
      </c>
      <c r="L666" s="4" t="s">
        <v>1679</v>
      </c>
      <c r="M666" s="4" t="s">
        <v>40</v>
      </c>
      <c r="N666" s="4" t="s">
        <v>24</v>
      </c>
      <c r="O666" s="4">
        <v>12</v>
      </c>
      <c r="P666" s="7">
        <v>4430</v>
      </c>
      <c r="Q666" s="8">
        <v>0</v>
      </c>
      <c r="R666" s="7">
        <v>2580</v>
      </c>
      <c r="S666" s="7">
        <f>Table1_1[[#This Row],[Units Sold]]*Table1_1[[#This Row],[Unit Price]]*(1-Table1_1[[#This Row],[Discount %]])</f>
        <v>53160</v>
      </c>
      <c r="T666" s="7">
        <f>Table1_1[[#This Row],[Units Sold]]*Table1_1[[#This Row],[Unit Cost]]</f>
        <v>30960</v>
      </c>
      <c r="U666" s="7">
        <f>Table1_1[[#This Row],[Calculated sales]]-Table1_1[[#This Row],[Total cost]]</f>
        <v>22200</v>
      </c>
      <c r="V666" s="4">
        <f>IFERROR(Table1_1[[#This Row],[Profit/Loss]]/Table1_1[[#This Row],[Calculated sales]],0)</f>
        <v>0.41760722347629797</v>
      </c>
    </row>
    <row r="667" spans="1:22" x14ac:dyDescent="0.25">
      <c r="A667" s="4" t="s">
        <v>814</v>
      </c>
      <c r="B667" s="5">
        <v>45641</v>
      </c>
      <c r="C667" s="4">
        <f>YEAR(Table1_1[[#This Row],[Order Dates]])</f>
        <v>2024</v>
      </c>
      <c r="D667" s="6">
        <f>MONTH(Table1_1[[#This Row],[Order Dates]])</f>
        <v>12</v>
      </c>
      <c r="E667" s="4" t="s">
        <v>56</v>
      </c>
      <c r="F667" s="4" t="s">
        <v>133</v>
      </c>
      <c r="G667" s="4" t="s">
        <v>91</v>
      </c>
      <c r="H667" s="4" t="str">
        <f>TRIM(CLEAN(SUBSTITUTE(Table1_1[[#This Row],[Salesperson]],"   "," ")))</f>
        <v>Anjali Menon</v>
      </c>
      <c r="I667" s="4" t="s">
        <v>19</v>
      </c>
      <c r="J667" s="4" t="s">
        <v>20</v>
      </c>
      <c r="K667" s="4" t="s">
        <v>87</v>
      </c>
      <c r="L667" s="4" t="s">
        <v>1674</v>
      </c>
      <c r="M667" s="4" t="s">
        <v>23</v>
      </c>
      <c r="N667" s="4" t="s">
        <v>24</v>
      </c>
      <c r="O667" s="4">
        <v>2</v>
      </c>
      <c r="P667" s="7">
        <v>51050</v>
      </c>
      <c r="Q667" s="8">
        <v>0.08</v>
      </c>
      <c r="R667" s="7">
        <v>35570</v>
      </c>
      <c r="S667" s="7">
        <f>Table1_1[[#This Row],[Units Sold]]*Table1_1[[#This Row],[Unit Price]]*(1-Table1_1[[#This Row],[Discount %]])</f>
        <v>93932</v>
      </c>
      <c r="T667" s="7">
        <f>Table1_1[[#This Row],[Units Sold]]*Table1_1[[#This Row],[Unit Cost]]</f>
        <v>71140</v>
      </c>
      <c r="U667" s="7">
        <f>Table1_1[[#This Row],[Calculated sales]]-Table1_1[[#This Row],[Total cost]]</f>
        <v>22792</v>
      </c>
      <c r="V667" s="4">
        <f>IFERROR(Table1_1[[#This Row],[Profit/Loss]]/Table1_1[[#This Row],[Calculated sales]],0)</f>
        <v>0.24264361452965974</v>
      </c>
    </row>
    <row r="668" spans="1:22" x14ac:dyDescent="0.25">
      <c r="A668" s="4" t="s">
        <v>815</v>
      </c>
      <c r="B668" s="5">
        <v>45641</v>
      </c>
      <c r="C668" s="4">
        <f>YEAR(Table1_1[[#This Row],[Order Dates]])</f>
        <v>2024</v>
      </c>
      <c r="D668" s="6">
        <f>MONTH(Table1_1[[#This Row],[Order Dates]])</f>
        <v>12</v>
      </c>
      <c r="E668" s="4" t="s">
        <v>42</v>
      </c>
      <c r="F668" s="4" t="s">
        <v>130</v>
      </c>
      <c r="G668" s="4" t="s">
        <v>97</v>
      </c>
      <c r="H668" s="4" t="str">
        <f>TRIM(CLEAN(SUBSTITUTE(Table1_1[[#This Row],[Salesperson]],"   "," ")))</f>
        <v>Rohit Malhotra</v>
      </c>
      <c r="I668" s="4" t="s">
        <v>52</v>
      </c>
      <c r="J668" s="4" t="s">
        <v>46</v>
      </c>
      <c r="K668" s="4" t="s">
        <v>179</v>
      </c>
      <c r="L668" s="4" t="s">
        <v>236</v>
      </c>
      <c r="M668" s="4" t="s">
        <v>40</v>
      </c>
      <c r="N668" s="4" t="s">
        <v>24</v>
      </c>
      <c r="O668" s="4">
        <v>21</v>
      </c>
      <c r="P668" s="7">
        <v>2140</v>
      </c>
      <c r="Q668" s="8">
        <v>0.08</v>
      </c>
      <c r="R668" s="7">
        <v>1660</v>
      </c>
      <c r="S668" s="7">
        <f>Table1_1[[#This Row],[Units Sold]]*Table1_1[[#This Row],[Unit Price]]*(1-Table1_1[[#This Row],[Discount %]])</f>
        <v>41344.800000000003</v>
      </c>
      <c r="T668" s="7">
        <f>Table1_1[[#This Row],[Units Sold]]*Table1_1[[#This Row],[Unit Cost]]</f>
        <v>34860</v>
      </c>
      <c r="U668" s="7">
        <f>Table1_1[[#This Row],[Calculated sales]]-Table1_1[[#This Row],[Total cost]]</f>
        <v>6484.8000000000029</v>
      </c>
      <c r="V668" s="4">
        <f>IFERROR(Table1_1[[#This Row],[Profit/Loss]]/Table1_1[[#This Row],[Calculated sales]],0)</f>
        <v>0.15684681023974001</v>
      </c>
    </row>
    <row r="669" spans="1:22" x14ac:dyDescent="0.25">
      <c r="A669" s="4" t="s">
        <v>816</v>
      </c>
      <c r="B669" s="5">
        <v>45641</v>
      </c>
      <c r="C669" s="4">
        <f>YEAR(Table1_1[[#This Row],[Order Dates]])</f>
        <v>2024</v>
      </c>
      <c r="D669" s="6">
        <f>MONTH(Table1_1[[#This Row],[Order Dates]])</f>
        <v>12</v>
      </c>
      <c r="E669" s="4" t="s">
        <v>37</v>
      </c>
      <c r="F669" s="4" t="s">
        <v>161</v>
      </c>
      <c r="G669" s="4" t="s">
        <v>68</v>
      </c>
      <c r="H669" s="4" t="str">
        <f>TRIM(CLEAN(SUBSTITUTE(Table1_1[[#This Row],[Salesperson]],"   "," ")))</f>
        <v>Ritika Ghosh</v>
      </c>
      <c r="I669" s="4" t="s">
        <v>92</v>
      </c>
      <c r="J669" s="4" t="s">
        <v>59</v>
      </c>
      <c r="K669" s="4" t="s">
        <v>73</v>
      </c>
      <c r="L669" s="4" t="s">
        <v>113</v>
      </c>
      <c r="M669" s="4" t="s">
        <v>40</v>
      </c>
      <c r="N669" s="4" t="s">
        <v>24</v>
      </c>
      <c r="O669" s="4">
        <v>4</v>
      </c>
      <c r="P669" s="7">
        <v>33780</v>
      </c>
      <c r="Q669" s="8">
        <v>0</v>
      </c>
      <c r="R669" s="7">
        <v>24110</v>
      </c>
      <c r="S669" s="7">
        <f>Table1_1[[#This Row],[Units Sold]]*Table1_1[[#This Row],[Unit Price]]*(1-Table1_1[[#This Row],[Discount %]])</f>
        <v>135120</v>
      </c>
      <c r="T669" s="7">
        <f>Table1_1[[#This Row],[Units Sold]]*Table1_1[[#This Row],[Unit Cost]]</f>
        <v>96440</v>
      </c>
      <c r="U669" s="7">
        <f>Table1_1[[#This Row],[Calculated sales]]-Table1_1[[#This Row],[Total cost]]</f>
        <v>38680</v>
      </c>
      <c r="V669" s="4">
        <f>IFERROR(Table1_1[[#This Row],[Profit/Loss]]/Table1_1[[#This Row],[Calculated sales]],0)</f>
        <v>0.28626406157489637</v>
      </c>
    </row>
    <row r="670" spans="1:22" x14ac:dyDescent="0.25">
      <c r="A670" s="4" t="s">
        <v>817</v>
      </c>
      <c r="B670" s="5">
        <v>45641</v>
      </c>
      <c r="C670" s="4">
        <f>YEAR(Table1_1[[#This Row],[Order Dates]])</f>
        <v>2024</v>
      </c>
      <c r="D670" s="6">
        <f>MONTH(Table1_1[[#This Row],[Order Dates]])</f>
        <v>12</v>
      </c>
      <c r="E670" s="4" t="s">
        <v>56</v>
      </c>
      <c r="F670" s="4" t="s">
        <v>57</v>
      </c>
      <c r="G670" s="4" t="s">
        <v>134</v>
      </c>
      <c r="H670" s="4" t="str">
        <f>TRIM(CLEAN(SUBSTITUTE(Table1_1[[#This Row],[Salesperson]],"   "," ")))</f>
        <v>Divya Nair</v>
      </c>
      <c r="I670" s="4" t="s">
        <v>19</v>
      </c>
      <c r="J670" s="4" t="s">
        <v>59</v>
      </c>
      <c r="K670" s="4" t="s">
        <v>60</v>
      </c>
      <c r="L670" s="4" t="s">
        <v>200</v>
      </c>
      <c r="M670" s="4" t="s">
        <v>40</v>
      </c>
      <c r="N670" s="4" t="s">
        <v>24</v>
      </c>
      <c r="O670" s="4">
        <v>3</v>
      </c>
      <c r="P670" s="7">
        <v>8210</v>
      </c>
      <c r="Q670" s="8">
        <v>0.18</v>
      </c>
      <c r="R670" s="7">
        <v>6300</v>
      </c>
      <c r="S670" s="7">
        <f>Table1_1[[#This Row],[Units Sold]]*Table1_1[[#This Row],[Unit Price]]*(1-Table1_1[[#This Row],[Discount %]])</f>
        <v>20196.600000000002</v>
      </c>
      <c r="T670" s="7">
        <f>Table1_1[[#This Row],[Units Sold]]*Table1_1[[#This Row],[Unit Cost]]</f>
        <v>18900</v>
      </c>
      <c r="U670" s="7">
        <f>Table1_1[[#This Row],[Calculated sales]]-Table1_1[[#This Row],[Total cost]]</f>
        <v>1296.6000000000022</v>
      </c>
      <c r="V670" s="4">
        <f>IFERROR(Table1_1[[#This Row],[Profit/Loss]]/Table1_1[[#This Row],[Calculated sales]],0)</f>
        <v>6.4198924571462618E-2</v>
      </c>
    </row>
    <row r="671" spans="1:22" x14ac:dyDescent="0.25">
      <c r="A671" s="4" t="s">
        <v>818</v>
      </c>
      <c r="B671" s="5">
        <v>45643</v>
      </c>
      <c r="C671" s="4">
        <f>YEAR(Table1_1[[#This Row],[Order Dates]])</f>
        <v>2024</v>
      </c>
      <c r="D671" s="6">
        <f>MONTH(Table1_1[[#This Row],[Order Dates]])</f>
        <v>12</v>
      </c>
      <c r="E671" s="4" t="s">
        <v>42</v>
      </c>
      <c r="F671" s="4" t="s">
        <v>265</v>
      </c>
      <c r="G671" s="4" t="s">
        <v>64</v>
      </c>
      <c r="H671" s="4" t="str">
        <f>TRIM(CLEAN(SUBSTITUTE(Table1_1[[#This Row],[Salesperson]],"   "," ")))</f>
        <v>Aditya Verma</v>
      </c>
      <c r="I671" s="4" t="s">
        <v>19</v>
      </c>
      <c r="J671" s="4" t="s">
        <v>46</v>
      </c>
      <c r="K671" s="4" t="s">
        <v>100</v>
      </c>
      <c r="L671" s="4" t="s">
        <v>177</v>
      </c>
      <c r="M671" s="4" t="s">
        <v>40</v>
      </c>
      <c r="N671" s="4" t="s">
        <v>24</v>
      </c>
      <c r="O671" s="4">
        <v>13</v>
      </c>
      <c r="P671" s="7">
        <v>2530</v>
      </c>
      <c r="Q671" s="8">
        <v>0.12</v>
      </c>
      <c r="R671" s="7">
        <v>1620</v>
      </c>
      <c r="S671" s="7">
        <f>Table1_1[[#This Row],[Units Sold]]*Table1_1[[#This Row],[Unit Price]]*(1-Table1_1[[#This Row],[Discount %]])</f>
        <v>28943.200000000001</v>
      </c>
      <c r="T671" s="7">
        <f>Table1_1[[#This Row],[Units Sold]]*Table1_1[[#This Row],[Unit Cost]]</f>
        <v>21060</v>
      </c>
      <c r="U671" s="7">
        <f>Table1_1[[#This Row],[Calculated sales]]-Table1_1[[#This Row],[Total cost]]</f>
        <v>7883.2000000000007</v>
      </c>
      <c r="V671" s="4">
        <f>IFERROR(Table1_1[[#This Row],[Profit/Loss]]/Table1_1[[#This Row],[Calculated sales]],0)</f>
        <v>0.27236794825727634</v>
      </c>
    </row>
    <row r="672" spans="1:22" x14ac:dyDescent="0.25">
      <c r="A672" s="4" t="s">
        <v>819</v>
      </c>
      <c r="B672" s="5">
        <v>45644</v>
      </c>
      <c r="C672" s="4">
        <f>YEAR(Table1_1[[#This Row],[Order Dates]])</f>
        <v>2024</v>
      </c>
      <c r="D672" s="6">
        <f>MONTH(Table1_1[[#This Row],[Order Dates]])</f>
        <v>12</v>
      </c>
      <c r="E672" s="4" t="s">
        <v>56</v>
      </c>
      <c r="F672" s="4" t="s">
        <v>57</v>
      </c>
      <c r="G672" s="4" t="s">
        <v>134</v>
      </c>
      <c r="H672" s="4" t="str">
        <f>TRIM(CLEAN(SUBSTITUTE(Table1_1[[#This Row],[Salesperson]],"   "," ")))</f>
        <v>Divya Nair</v>
      </c>
      <c r="I672" s="4" t="s">
        <v>52</v>
      </c>
      <c r="J672" s="4" t="s">
        <v>27</v>
      </c>
      <c r="K672" s="4" t="s">
        <v>214</v>
      </c>
      <c r="L672" s="4" t="s">
        <v>1681</v>
      </c>
      <c r="M672" s="4" t="s">
        <v>40</v>
      </c>
      <c r="N672" s="4" t="s">
        <v>24</v>
      </c>
      <c r="O672" s="4">
        <v>5</v>
      </c>
      <c r="P672" s="7">
        <v>14940</v>
      </c>
      <c r="Q672" s="8">
        <v>0.1</v>
      </c>
      <c r="R672" s="7">
        <v>11570</v>
      </c>
      <c r="S672" s="7">
        <f>Table1_1[[#This Row],[Units Sold]]*Table1_1[[#This Row],[Unit Price]]*(1-Table1_1[[#This Row],[Discount %]])</f>
        <v>67230</v>
      </c>
      <c r="T672" s="7">
        <f>Table1_1[[#This Row],[Units Sold]]*Table1_1[[#This Row],[Unit Cost]]</f>
        <v>57850</v>
      </c>
      <c r="U672" s="7">
        <f>Table1_1[[#This Row],[Calculated sales]]-Table1_1[[#This Row],[Total cost]]</f>
        <v>9380</v>
      </c>
      <c r="V672" s="4">
        <f>IFERROR(Table1_1[[#This Row],[Profit/Loss]]/Table1_1[[#This Row],[Calculated sales]],0)</f>
        <v>0.13952104715156924</v>
      </c>
    </row>
    <row r="673" spans="1:22" x14ac:dyDescent="0.25">
      <c r="A673" s="4" t="s">
        <v>820</v>
      </c>
      <c r="B673" s="5">
        <v>45644</v>
      </c>
      <c r="C673" s="4">
        <f>YEAR(Table1_1[[#This Row],[Order Dates]])</f>
        <v>2024</v>
      </c>
      <c r="D673" s="6">
        <f>MONTH(Table1_1[[#This Row],[Order Dates]])</f>
        <v>12</v>
      </c>
      <c r="E673" s="4" t="s">
        <v>56</v>
      </c>
      <c r="F673" s="4" t="s">
        <v>143</v>
      </c>
      <c r="G673" s="4" t="s">
        <v>58</v>
      </c>
      <c r="H673" s="4" t="str">
        <f>TRIM(CLEAN(SUBSTITUTE(Table1_1[[#This Row],[Salesperson]],"   "," ")))</f>
        <v>Karthik Raman</v>
      </c>
      <c r="I673" s="4" t="s">
        <v>19</v>
      </c>
      <c r="J673" s="4" t="s">
        <v>27</v>
      </c>
      <c r="K673" s="4" t="s">
        <v>53</v>
      </c>
      <c r="L673" s="4" t="s">
        <v>1676</v>
      </c>
      <c r="M673" s="4" t="s">
        <v>23</v>
      </c>
      <c r="N673" s="4" t="s">
        <v>119</v>
      </c>
      <c r="O673" s="4">
        <v>3</v>
      </c>
      <c r="P673" s="7">
        <v>38760</v>
      </c>
      <c r="Q673" s="8">
        <v>0.15</v>
      </c>
      <c r="R673" s="7">
        <v>26670</v>
      </c>
      <c r="S673" s="7">
        <f>Table1_1[[#This Row],[Units Sold]]*Table1_1[[#This Row],[Unit Price]]*(1-Table1_1[[#This Row],[Discount %]])</f>
        <v>98838</v>
      </c>
      <c r="T673" s="7">
        <f>Table1_1[[#This Row],[Units Sold]]*Table1_1[[#This Row],[Unit Cost]]</f>
        <v>80010</v>
      </c>
      <c r="U673" s="7">
        <f>Table1_1[[#This Row],[Calculated sales]]-Table1_1[[#This Row],[Total cost]]</f>
        <v>18828</v>
      </c>
      <c r="V673" s="4">
        <f>IFERROR(Table1_1[[#This Row],[Profit/Loss]]/Table1_1[[#This Row],[Calculated sales]],0)</f>
        <v>0.19049353487525042</v>
      </c>
    </row>
    <row r="674" spans="1:22" x14ac:dyDescent="0.25">
      <c r="A674" s="4" t="s">
        <v>821</v>
      </c>
      <c r="B674" s="5">
        <v>45645</v>
      </c>
      <c r="C674" s="4">
        <f>YEAR(Table1_1[[#This Row],[Order Dates]])</f>
        <v>2024</v>
      </c>
      <c r="D674" s="6">
        <f>MONTH(Table1_1[[#This Row],[Order Dates]])</f>
        <v>12</v>
      </c>
      <c r="E674" s="4" t="s">
        <v>37</v>
      </c>
      <c r="F674" s="4" t="s">
        <v>213</v>
      </c>
      <c r="G674" s="4" t="s">
        <v>68</v>
      </c>
      <c r="H674" s="4" t="str">
        <f>TRIM(CLEAN(SUBSTITUTE(Table1_1[[#This Row],[Salesperson]],"   "," ")))</f>
        <v>Ritika Ghosh</v>
      </c>
      <c r="I674" s="4" t="s">
        <v>19</v>
      </c>
      <c r="J674" s="4" t="s">
        <v>20</v>
      </c>
      <c r="K674" s="4" t="s">
        <v>21</v>
      </c>
      <c r="L674" s="4" t="s">
        <v>1670</v>
      </c>
      <c r="M674" s="4" t="s">
        <v>23</v>
      </c>
      <c r="N674" s="4" t="s">
        <v>24</v>
      </c>
      <c r="O674" s="4">
        <v>13</v>
      </c>
      <c r="P674" s="7">
        <v>8160</v>
      </c>
      <c r="Q674" s="8">
        <v>0.15</v>
      </c>
      <c r="R674" s="7">
        <v>5160</v>
      </c>
      <c r="S674" s="7">
        <f>Table1_1[[#This Row],[Units Sold]]*Table1_1[[#This Row],[Unit Price]]*(1-Table1_1[[#This Row],[Discount %]])</f>
        <v>90168</v>
      </c>
      <c r="T674" s="7">
        <f>Table1_1[[#This Row],[Units Sold]]*Table1_1[[#This Row],[Unit Cost]]</f>
        <v>67080</v>
      </c>
      <c r="U674" s="7">
        <f>Table1_1[[#This Row],[Calculated sales]]-Table1_1[[#This Row],[Total cost]]</f>
        <v>23088</v>
      </c>
      <c r="V674" s="4">
        <f>IFERROR(Table1_1[[#This Row],[Profit/Loss]]/Table1_1[[#This Row],[Calculated sales]],0)</f>
        <v>0.25605536332179929</v>
      </c>
    </row>
    <row r="675" spans="1:22" x14ac:dyDescent="0.25">
      <c r="A675" s="4" t="s">
        <v>822</v>
      </c>
      <c r="B675" s="5">
        <v>45645</v>
      </c>
      <c r="C675" s="4">
        <f>YEAR(Table1_1[[#This Row],[Order Dates]])</f>
        <v>2024</v>
      </c>
      <c r="D675" s="6">
        <f>MONTH(Table1_1[[#This Row],[Order Dates]])</f>
        <v>12</v>
      </c>
      <c r="E675" s="4" t="s">
        <v>16</v>
      </c>
      <c r="F675" s="4" t="s">
        <v>17</v>
      </c>
      <c r="G675" s="4" t="s">
        <v>32</v>
      </c>
      <c r="H675" s="4" t="str">
        <f>TRIM(CLEAN(SUBSTITUTE(Table1_1[[#This Row],[Salesperson]],"   "," ")))</f>
        <v>Neha Deshpande</v>
      </c>
      <c r="I675" s="4" t="s">
        <v>52</v>
      </c>
      <c r="J675" s="4" t="s">
        <v>46</v>
      </c>
      <c r="K675" s="4" t="s">
        <v>179</v>
      </c>
      <c r="L675" s="4" t="s">
        <v>180</v>
      </c>
      <c r="M675" s="4" t="s">
        <v>23</v>
      </c>
      <c r="N675" s="4" t="s">
        <v>24</v>
      </c>
      <c r="O675" s="4">
        <v>2</v>
      </c>
      <c r="P675" s="7">
        <v>3960</v>
      </c>
      <c r="Q675" s="8">
        <v>0.05</v>
      </c>
      <c r="R675" s="7">
        <v>2520</v>
      </c>
      <c r="S675" s="7">
        <f>Table1_1[[#This Row],[Units Sold]]*Table1_1[[#This Row],[Unit Price]]*(1-Table1_1[[#This Row],[Discount %]])</f>
        <v>7524</v>
      </c>
      <c r="T675" s="7">
        <f>Table1_1[[#This Row],[Units Sold]]*Table1_1[[#This Row],[Unit Cost]]</f>
        <v>5040</v>
      </c>
      <c r="U675" s="7">
        <f>Table1_1[[#This Row],[Calculated sales]]-Table1_1[[#This Row],[Total cost]]</f>
        <v>2484</v>
      </c>
      <c r="V675" s="4">
        <f>IFERROR(Table1_1[[#This Row],[Profit/Loss]]/Table1_1[[#This Row],[Calculated sales]],0)</f>
        <v>0.33014354066985646</v>
      </c>
    </row>
    <row r="676" spans="1:22" x14ac:dyDescent="0.25">
      <c r="A676" s="4" t="s">
        <v>823</v>
      </c>
      <c r="B676" s="5">
        <v>45646</v>
      </c>
      <c r="C676" s="4">
        <f>YEAR(Table1_1[[#This Row],[Order Dates]])</f>
        <v>2024</v>
      </c>
      <c r="D676" s="6">
        <f>MONTH(Table1_1[[#This Row],[Order Dates]])</f>
        <v>12</v>
      </c>
      <c r="E676" s="4" t="s">
        <v>56</v>
      </c>
      <c r="F676" s="4" t="s">
        <v>127</v>
      </c>
      <c r="G676" s="4" t="s">
        <v>91</v>
      </c>
      <c r="H676" s="4" t="str">
        <f>TRIM(CLEAN(SUBSTITUTE(Table1_1[[#This Row],[Salesperson]],"   "," ")))</f>
        <v>Anjali Menon</v>
      </c>
      <c r="I676" s="4" t="s">
        <v>52</v>
      </c>
      <c r="J676" s="4" t="s">
        <v>20</v>
      </c>
      <c r="K676" s="4" t="s">
        <v>87</v>
      </c>
      <c r="L676" s="4" t="s">
        <v>1672</v>
      </c>
      <c r="M676" s="4" t="s">
        <v>40</v>
      </c>
      <c r="N676" s="4" t="s">
        <v>24</v>
      </c>
      <c r="O676" s="4">
        <v>4</v>
      </c>
      <c r="P676" s="7">
        <v>30520</v>
      </c>
      <c r="Q676" s="8">
        <v>0.1</v>
      </c>
      <c r="R676" s="7">
        <v>20600</v>
      </c>
      <c r="S676" s="7">
        <f>Table1_1[[#This Row],[Units Sold]]*Table1_1[[#This Row],[Unit Price]]*(1-Table1_1[[#This Row],[Discount %]])</f>
        <v>109872</v>
      </c>
      <c r="T676" s="7">
        <f>Table1_1[[#This Row],[Units Sold]]*Table1_1[[#This Row],[Unit Cost]]</f>
        <v>82400</v>
      </c>
      <c r="U676" s="7">
        <f>Table1_1[[#This Row],[Calculated sales]]-Table1_1[[#This Row],[Total cost]]</f>
        <v>27472</v>
      </c>
      <c r="V676" s="4">
        <f>IFERROR(Table1_1[[#This Row],[Profit/Loss]]/Table1_1[[#This Row],[Calculated sales]],0)</f>
        <v>0.25003640599970878</v>
      </c>
    </row>
    <row r="677" spans="1:22" x14ac:dyDescent="0.25">
      <c r="A677" s="4" t="s">
        <v>824</v>
      </c>
      <c r="B677" s="5">
        <v>45646</v>
      </c>
      <c r="C677" s="4">
        <f>YEAR(Table1_1[[#This Row],[Order Dates]])</f>
        <v>2024</v>
      </c>
      <c r="D677" s="6">
        <f>MONTH(Table1_1[[#This Row],[Order Dates]])</f>
        <v>12</v>
      </c>
      <c r="E677" s="4" t="s">
        <v>16</v>
      </c>
      <c r="F677" s="4" t="s">
        <v>17</v>
      </c>
      <c r="G677" s="4" t="s">
        <v>32</v>
      </c>
      <c r="H677" s="4" t="str">
        <f>TRIM(CLEAN(SUBSTITUTE(Table1_1[[#This Row],[Salesperson]],"   "," ")))</f>
        <v>Neha Deshpande</v>
      </c>
      <c r="I677" s="4" t="s">
        <v>19</v>
      </c>
      <c r="J677" s="4" t="s">
        <v>83</v>
      </c>
      <c r="K677" s="4" t="s">
        <v>136</v>
      </c>
      <c r="L677" s="4" t="s">
        <v>137</v>
      </c>
      <c r="M677" s="4" t="s">
        <v>40</v>
      </c>
      <c r="N677" s="4" t="s">
        <v>24</v>
      </c>
      <c r="O677" s="4">
        <v>34</v>
      </c>
      <c r="P677" s="7">
        <v>1650</v>
      </c>
      <c r="Q677" s="8">
        <v>0.12</v>
      </c>
      <c r="R677" s="7">
        <v>1130</v>
      </c>
      <c r="S677" s="7">
        <f>Table1_1[[#This Row],[Units Sold]]*Table1_1[[#This Row],[Unit Price]]*(1-Table1_1[[#This Row],[Discount %]])</f>
        <v>49368</v>
      </c>
      <c r="T677" s="7">
        <f>Table1_1[[#This Row],[Units Sold]]*Table1_1[[#This Row],[Unit Cost]]</f>
        <v>38420</v>
      </c>
      <c r="U677" s="7">
        <f>Table1_1[[#This Row],[Calculated sales]]-Table1_1[[#This Row],[Total cost]]</f>
        <v>10948</v>
      </c>
      <c r="V677" s="4">
        <f>IFERROR(Table1_1[[#This Row],[Profit/Loss]]/Table1_1[[#This Row],[Calculated sales]],0)</f>
        <v>0.22176308539944903</v>
      </c>
    </row>
    <row r="678" spans="1:22" x14ac:dyDescent="0.25">
      <c r="A678" s="4" t="s">
        <v>825</v>
      </c>
      <c r="B678" s="5">
        <v>45647</v>
      </c>
      <c r="C678" s="4">
        <f>YEAR(Table1_1[[#This Row],[Order Dates]])</f>
        <v>2024</v>
      </c>
      <c r="D678" s="6">
        <f>MONTH(Table1_1[[#This Row],[Order Dates]])</f>
        <v>12</v>
      </c>
      <c r="E678" s="4" t="s">
        <v>16</v>
      </c>
      <c r="F678" s="4" t="s">
        <v>51</v>
      </c>
      <c r="G678" s="4" t="s">
        <v>26</v>
      </c>
      <c r="H678" s="4" t="str">
        <f>TRIM(CLEAN(SUBSTITUTE(Table1_1[[#This Row],[Salesperson]],"   "," ")))</f>
        <v>Prateek Shah</v>
      </c>
      <c r="I678" s="4" t="s">
        <v>19</v>
      </c>
      <c r="J678" s="4" t="s">
        <v>20</v>
      </c>
      <c r="K678" s="4" t="s">
        <v>33</v>
      </c>
      <c r="L678" s="4" t="s">
        <v>1678</v>
      </c>
      <c r="M678" s="4" t="s">
        <v>40</v>
      </c>
      <c r="N678" s="4" t="s">
        <v>24</v>
      </c>
      <c r="O678" s="4">
        <v>4</v>
      </c>
      <c r="P678" s="7">
        <v>111140</v>
      </c>
      <c r="Q678" s="8">
        <v>0.12</v>
      </c>
      <c r="R678" s="7">
        <v>73330</v>
      </c>
      <c r="S678" s="7">
        <f>Table1_1[[#This Row],[Units Sold]]*Table1_1[[#This Row],[Unit Price]]*(1-Table1_1[[#This Row],[Discount %]])</f>
        <v>391212.79999999999</v>
      </c>
      <c r="T678" s="7">
        <f>Table1_1[[#This Row],[Units Sold]]*Table1_1[[#This Row],[Unit Cost]]</f>
        <v>293320</v>
      </c>
      <c r="U678" s="7">
        <f>Table1_1[[#This Row],[Calculated sales]]-Table1_1[[#This Row],[Total cost]]</f>
        <v>97892.799999999988</v>
      </c>
      <c r="V678" s="4">
        <f>IFERROR(Table1_1[[#This Row],[Profit/Loss]]/Table1_1[[#This Row],[Calculated sales]],0)</f>
        <v>0.25022903136093705</v>
      </c>
    </row>
    <row r="679" spans="1:22" x14ac:dyDescent="0.25">
      <c r="A679" s="4" t="s">
        <v>826</v>
      </c>
      <c r="B679" s="5">
        <v>45648</v>
      </c>
      <c r="C679" s="4">
        <f>YEAR(Table1_1[[#This Row],[Order Dates]])</f>
        <v>2024</v>
      </c>
      <c r="D679" s="6">
        <f>MONTH(Table1_1[[#This Row],[Order Dates]])</f>
        <v>12</v>
      </c>
      <c r="E679" s="4" t="s">
        <v>42</v>
      </c>
      <c r="F679" s="4" t="s">
        <v>96</v>
      </c>
      <c r="G679" s="4" t="s">
        <v>97</v>
      </c>
      <c r="H679" s="4" t="str">
        <f>TRIM(CLEAN(SUBSTITUTE(Table1_1[[#This Row],[Salesperson]],"   "," ")))</f>
        <v>Rohit Malhotra</v>
      </c>
      <c r="I679" s="4" t="s">
        <v>92</v>
      </c>
      <c r="J679" s="4" t="s">
        <v>20</v>
      </c>
      <c r="K679" s="4" t="s">
        <v>33</v>
      </c>
      <c r="L679" s="4" t="s">
        <v>34</v>
      </c>
      <c r="M679" s="4" t="s">
        <v>49</v>
      </c>
      <c r="N679" s="4" t="s">
        <v>119</v>
      </c>
      <c r="O679" s="4">
        <v>4</v>
      </c>
      <c r="P679" s="7">
        <v>53480</v>
      </c>
      <c r="Q679" s="8">
        <v>0.12</v>
      </c>
      <c r="R679" s="7">
        <v>41930</v>
      </c>
      <c r="S679" s="7">
        <f>Table1_1[[#This Row],[Units Sold]]*Table1_1[[#This Row],[Unit Price]]*(1-Table1_1[[#This Row],[Discount %]])</f>
        <v>188249.60000000001</v>
      </c>
      <c r="T679" s="7">
        <f>Table1_1[[#This Row],[Units Sold]]*Table1_1[[#This Row],[Unit Cost]]</f>
        <v>167720</v>
      </c>
      <c r="U679" s="7">
        <f>Table1_1[[#This Row],[Calculated sales]]-Table1_1[[#This Row],[Total cost]]</f>
        <v>20529.600000000006</v>
      </c>
      <c r="V679" s="4">
        <f>IFERROR(Table1_1[[#This Row],[Profit/Loss]]/Table1_1[[#This Row],[Calculated sales]],0)</f>
        <v>0.10905521180390293</v>
      </c>
    </row>
    <row r="680" spans="1:22" x14ac:dyDescent="0.25">
      <c r="A680" s="4" t="s">
        <v>827</v>
      </c>
      <c r="B680" s="5">
        <v>45648</v>
      </c>
      <c r="C680" s="4">
        <f>YEAR(Table1_1[[#This Row],[Order Dates]])</f>
        <v>2024</v>
      </c>
      <c r="D680" s="6">
        <f>MONTH(Table1_1[[#This Row],[Order Dates]])</f>
        <v>12</v>
      </c>
      <c r="E680" s="4" t="s">
        <v>42</v>
      </c>
      <c r="F680" s="4" t="s">
        <v>130</v>
      </c>
      <c r="G680" s="4" t="s">
        <v>64</v>
      </c>
      <c r="H680" s="4" t="str">
        <f>TRIM(CLEAN(SUBSTITUTE(Table1_1[[#This Row],[Salesperson]],"   "," ")))</f>
        <v>Aditya Verma</v>
      </c>
      <c r="I680" s="4" t="s">
        <v>19</v>
      </c>
      <c r="J680" s="4" t="s">
        <v>46</v>
      </c>
      <c r="K680" s="4" t="s">
        <v>179</v>
      </c>
      <c r="L680" s="4" t="s">
        <v>236</v>
      </c>
      <c r="M680" s="4" t="s">
        <v>23</v>
      </c>
      <c r="N680" s="4" t="s">
        <v>24</v>
      </c>
      <c r="O680" s="4">
        <v>3</v>
      </c>
      <c r="P680" s="7">
        <v>2120</v>
      </c>
      <c r="Q680" s="8">
        <v>0.08</v>
      </c>
      <c r="R680" s="7">
        <v>1540</v>
      </c>
      <c r="S680" s="7">
        <f>Table1_1[[#This Row],[Units Sold]]*Table1_1[[#This Row],[Unit Price]]*(1-Table1_1[[#This Row],[Discount %]])</f>
        <v>5851.2</v>
      </c>
      <c r="T680" s="7">
        <f>Table1_1[[#This Row],[Units Sold]]*Table1_1[[#This Row],[Unit Cost]]</f>
        <v>4620</v>
      </c>
      <c r="U680" s="7">
        <f>Table1_1[[#This Row],[Calculated sales]]-Table1_1[[#This Row],[Total cost]]</f>
        <v>1231.1999999999998</v>
      </c>
      <c r="V680" s="4">
        <f>IFERROR(Table1_1[[#This Row],[Profit/Loss]]/Table1_1[[#This Row],[Calculated sales]],0)</f>
        <v>0.21041837571780145</v>
      </c>
    </row>
    <row r="681" spans="1:22" x14ac:dyDescent="0.25">
      <c r="A681" s="4" t="s">
        <v>828</v>
      </c>
      <c r="B681" s="5">
        <v>45648</v>
      </c>
      <c r="C681" s="4">
        <f>YEAR(Table1_1[[#This Row],[Order Dates]])</f>
        <v>2024</v>
      </c>
      <c r="D681" s="6">
        <f>MONTH(Table1_1[[#This Row],[Order Dates]])</f>
        <v>12</v>
      </c>
      <c r="E681" s="4" t="s">
        <v>56</v>
      </c>
      <c r="F681" s="4" t="s">
        <v>143</v>
      </c>
      <c r="G681" s="4" t="s">
        <v>91</v>
      </c>
      <c r="H681" s="4" t="str">
        <f>TRIM(CLEAN(SUBSTITUTE(Table1_1[[#This Row],[Salesperson]],"   "," ")))</f>
        <v>Anjali Menon</v>
      </c>
      <c r="I681" s="4" t="s">
        <v>19</v>
      </c>
      <c r="J681" s="4" t="s">
        <v>46</v>
      </c>
      <c r="K681" s="4" t="s">
        <v>179</v>
      </c>
      <c r="L681" s="4" t="s">
        <v>180</v>
      </c>
      <c r="M681" s="4" t="s">
        <v>40</v>
      </c>
      <c r="N681" s="4" t="s">
        <v>24</v>
      </c>
      <c r="O681" s="4">
        <v>12</v>
      </c>
      <c r="P681" s="7">
        <v>3940</v>
      </c>
      <c r="Q681" s="8">
        <v>0.05</v>
      </c>
      <c r="R681" s="7">
        <v>2250</v>
      </c>
      <c r="S681" s="7">
        <f>Table1_1[[#This Row],[Units Sold]]*Table1_1[[#This Row],[Unit Price]]*(1-Table1_1[[#This Row],[Discount %]])</f>
        <v>44916</v>
      </c>
      <c r="T681" s="7">
        <f>Table1_1[[#This Row],[Units Sold]]*Table1_1[[#This Row],[Unit Cost]]</f>
        <v>27000</v>
      </c>
      <c r="U681" s="7">
        <f>Table1_1[[#This Row],[Calculated sales]]-Table1_1[[#This Row],[Total cost]]</f>
        <v>17916</v>
      </c>
      <c r="V681" s="4">
        <f>IFERROR(Table1_1[[#This Row],[Profit/Loss]]/Table1_1[[#This Row],[Calculated sales]],0)</f>
        <v>0.39887790542345714</v>
      </c>
    </row>
    <row r="682" spans="1:22" x14ac:dyDescent="0.25">
      <c r="A682" s="4" t="s">
        <v>829</v>
      </c>
      <c r="B682" s="5">
        <v>45649</v>
      </c>
      <c r="C682" s="4">
        <f>YEAR(Table1_1[[#This Row],[Order Dates]])</f>
        <v>2024</v>
      </c>
      <c r="D682" s="6">
        <f>MONTH(Table1_1[[#This Row],[Order Dates]])</f>
        <v>12</v>
      </c>
      <c r="E682" s="4" t="s">
        <v>37</v>
      </c>
      <c r="F682" s="4" t="s">
        <v>213</v>
      </c>
      <c r="G682" s="4" t="s">
        <v>39</v>
      </c>
      <c r="H682" s="4" t="str">
        <f>TRIM(CLEAN(SUBSTITUTE(Table1_1[[#This Row],[Salesperson]],"   "," ")))</f>
        <v>Sourav Das</v>
      </c>
      <c r="I682" s="4" t="s">
        <v>52</v>
      </c>
      <c r="J682" s="4" t="s">
        <v>46</v>
      </c>
      <c r="K682" s="4" t="s">
        <v>47</v>
      </c>
      <c r="L682" s="4" t="s">
        <v>1673</v>
      </c>
      <c r="M682" s="4" t="s">
        <v>23</v>
      </c>
      <c r="N682" s="4" t="s">
        <v>119</v>
      </c>
      <c r="O682" s="4">
        <v>19</v>
      </c>
      <c r="P682" s="7">
        <v>1240</v>
      </c>
      <c r="Q682" s="8">
        <v>0.15</v>
      </c>
      <c r="R682" s="7">
        <v>820</v>
      </c>
      <c r="S682" s="7">
        <f>Table1_1[[#This Row],[Units Sold]]*Table1_1[[#This Row],[Unit Price]]*(1-Table1_1[[#This Row],[Discount %]])</f>
        <v>20026</v>
      </c>
      <c r="T682" s="7">
        <f>Table1_1[[#This Row],[Units Sold]]*Table1_1[[#This Row],[Unit Cost]]</f>
        <v>15580</v>
      </c>
      <c r="U682" s="7">
        <f>Table1_1[[#This Row],[Calculated sales]]-Table1_1[[#This Row],[Total cost]]</f>
        <v>4446</v>
      </c>
      <c r="V682" s="4">
        <f>IFERROR(Table1_1[[#This Row],[Profit/Loss]]/Table1_1[[#This Row],[Calculated sales]],0)</f>
        <v>0.22201138519924099</v>
      </c>
    </row>
    <row r="683" spans="1:22" x14ac:dyDescent="0.25">
      <c r="A683" s="4" t="s">
        <v>830</v>
      </c>
      <c r="B683" s="5">
        <v>45651</v>
      </c>
      <c r="C683" s="4">
        <f>YEAR(Table1_1[[#This Row],[Order Dates]])</f>
        <v>2024</v>
      </c>
      <c r="D683" s="6">
        <f>MONTH(Table1_1[[#This Row],[Order Dates]])</f>
        <v>12</v>
      </c>
      <c r="E683" s="4" t="s">
        <v>56</v>
      </c>
      <c r="F683" s="4" t="s">
        <v>127</v>
      </c>
      <c r="G683" s="4" t="s">
        <v>58</v>
      </c>
      <c r="H683" s="4" t="str">
        <f>TRIM(CLEAN(SUBSTITUTE(Table1_1[[#This Row],[Salesperson]],"   "," ")))</f>
        <v>Karthik Raman</v>
      </c>
      <c r="I683" s="4" t="s">
        <v>92</v>
      </c>
      <c r="J683" s="4" t="s">
        <v>27</v>
      </c>
      <c r="K683" s="4" t="s">
        <v>79</v>
      </c>
      <c r="L683" s="4" t="s">
        <v>80</v>
      </c>
      <c r="M683" s="4" t="s">
        <v>23</v>
      </c>
      <c r="N683" s="4" t="s">
        <v>24</v>
      </c>
      <c r="O683" s="4">
        <v>8</v>
      </c>
      <c r="P683" s="7">
        <v>4330</v>
      </c>
      <c r="Q683" s="8">
        <v>0</v>
      </c>
      <c r="R683" s="7">
        <v>2870</v>
      </c>
      <c r="S683" s="7">
        <f>Table1_1[[#This Row],[Units Sold]]*Table1_1[[#This Row],[Unit Price]]*(1-Table1_1[[#This Row],[Discount %]])</f>
        <v>34640</v>
      </c>
      <c r="T683" s="7">
        <f>Table1_1[[#This Row],[Units Sold]]*Table1_1[[#This Row],[Unit Cost]]</f>
        <v>22960</v>
      </c>
      <c r="U683" s="7">
        <f>Table1_1[[#This Row],[Calculated sales]]-Table1_1[[#This Row],[Total cost]]</f>
        <v>11680</v>
      </c>
      <c r="V683" s="4">
        <f>IFERROR(Table1_1[[#This Row],[Profit/Loss]]/Table1_1[[#This Row],[Calculated sales]],0)</f>
        <v>0.33718244803695152</v>
      </c>
    </row>
    <row r="684" spans="1:22" x14ac:dyDescent="0.25">
      <c r="A684" s="4" t="s">
        <v>831</v>
      </c>
      <c r="B684" s="5">
        <v>45651</v>
      </c>
      <c r="C684" s="4">
        <f>YEAR(Table1_1[[#This Row],[Order Dates]])</f>
        <v>2024</v>
      </c>
      <c r="D684" s="6">
        <f>MONTH(Table1_1[[#This Row],[Order Dates]])</f>
        <v>12</v>
      </c>
      <c r="E684" s="4" t="s">
        <v>42</v>
      </c>
      <c r="F684" s="4" t="s">
        <v>265</v>
      </c>
      <c r="G684" s="4" t="s">
        <v>64</v>
      </c>
      <c r="H684" s="4" t="str">
        <f>TRIM(CLEAN(SUBSTITUTE(Table1_1[[#This Row],[Salesperson]],"   "," ")))</f>
        <v>Aditya Verma</v>
      </c>
      <c r="I684" s="4" t="s">
        <v>19</v>
      </c>
      <c r="J684" s="4" t="s">
        <v>20</v>
      </c>
      <c r="K684" s="4" t="s">
        <v>33</v>
      </c>
      <c r="L684" s="4" t="s">
        <v>34</v>
      </c>
      <c r="M684" s="4" t="s">
        <v>23</v>
      </c>
      <c r="N684" s="4" t="s">
        <v>24</v>
      </c>
      <c r="O684" s="4">
        <v>3</v>
      </c>
      <c r="P684" s="7">
        <v>58620</v>
      </c>
      <c r="Q684" s="8">
        <v>0.05</v>
      </c>
      <c r="R684" s="7">
        <v>43970</v>
      </c>
      <c r="S684" s="7">
        <f>Table1_1[[#This Row],[Units Sold]]*Table1_1[[#This Row],[Unit Price]]*(1-Table1_1[[#This Row],[Discount %]])</f>
        <v>167067</v>
      </c>
      <c r="T684" s="7">
        <f>Table1_1[[#This Row],[Units Sold]]*Table1_1[[#This Row],[Unit Cost]]</f>
        <v>131910</v>
      </c>
      <c r="U684" s="7">
        <f>Table1_1[[#This Row],[Calculated sales]]-Table1_1[[#This Row],[Total cost]]</f>
        <v>35157</v>
      </c>
      <c r="V684" s="4">
        <f>IFERROR(Table1_1[[#This Row],[Profit/Loss]]/Table1_1[[#This Row],[Calculated sales]],0)</f>
        <v>0.21043653145145361</v>
      </c>
    </row>
    <row r="685" spans="1:22" x14ac:dyDescent="0.25">
      <c r="A685" s="4" t="s">
        <v>832</v>
      </c>
      <c r="B685" s="5">
        <v>45651</v>
      </c>
      <c r="C685" s="4">
        <f>YEAR(Table1_1[[#This Row],[Order Dates]])</f>
        <v>2024</v>
      </c>
      <c r="D685" s="6">
        <f>MONTH(Table1_1[[#This Row],[Order Dates]])</f>
        <v>12</v>
      </c>
      <c r="E685" s="4" t="s">
        <v>16</v>
      </c>
      <c r="F685" s="4" t="s">
        <v>191</v>
      </c>
      <c r="G685" s="4" t="s">
        <v>32</v>
      </c>
      <c r="H685" s="4" t="str">
        <f>TRIM(CLEAN(SUBSTITUTE(Table1_1[[#This Row],[Salesperson]],"   "," ")))</f>
        <v>Neha Deshpande</v>
      </c>
      <c r="I685" s="4" t="s">
        <v>52</v>
      </c>
      <c r="J685" s="4" t="s">
        <v>83</v>
      </c>
      <c r="K685" s="4" t="s">
        <v>84</v>
      </c>
      <c r="L685" s="4" t="s">
        <v>1671</v>
      </c>
      <c r="M685" s="4" t="s">
        <v>40</v>
      </c>
      <c r="N685" s="4" t="s">
        <v>24</v>
      </c>
      <c r="O685" s="4">
        <v>37</v>
      </c>
      <c r="P685" s="7">
        <v>2320</v>
      </c>
      <c r="Q685" s="8">
        <v>0.05</v>
      </c>
      <c r="R685" s="7">
        <v>1510</v>
      </c>
      <c r="S685" s="7">
        <f>Table1_1[[#This Row],[Units Sold]]*Table1_1[[#This Row],[Unit Price]]*(1-Table1_1[[#This Row],[Discount %]])</f>
        <v>81548</v>
      </c>
      <c r="T685" s="7">
        <f>Table1_1[[#This Row],[Units Sold]]*Table1_1[[#This Row],[Unit Cost]]</f>
        <v>55870</v>
      </c>
      <c r="U685" s="7">
        <f>Table1_1[[#This Row],[Calculated sales]]-Table1_1[[#This Row],[Total cost]]</f>
        <v>25678</v>
      </c>
      <c r="V685" s="4">
        <f>IFERROR(Table1_1[[#This Row],[Profit/Loss]]/Table1_1[[#This Row],[Calculated sales]],0)</f>
        <v>0.31488203266787657</v>
      </c>
    </row>
    <row r="686" spans="1:22" x14ac:dyDescent="0.25">
      <c r="A686" s="4" t="s">
        <v>833</v>
      </c>
      <c r="B686" s="5">
        <v>45651</v>
      </c>
      <c r="C686" s="4">
        <f>YEAR(Table1_1[[#This Row],[Order Dates]])</f>
        <v>2024</v>
      </c>
      <c r="D686" s="6">
        <f>MONTH(Table1_1[[#This Row],[Order Dates]])</f>
        <v>12</v>
      </c>
      <c r="E686" s="4" t="s">
        <v>16</v>
      </c>
      <c r="F686" s="4" t="s">
        <v>153</v>
      </c>
      <c r="G686" s="4" t="s">
        <v>26</v>
      </c>
      <c r="H686" s="4" t="str">
        <f>TRIM(CLEAN(SUBSTITUTE(Table1_1[[#This Row],[Salesperson]],"   "," ")))</f>
        <v>Prateek Shah</v>
      </c>
      <c r="I686" s="4" t="s">
        <v>92</v>
      </c>
      <c r="J686" s="4" t="s">
        <v>83</v>
      </c>
      <c r="K686" s="4" t="s">
        <v>136</v>
      </c>
      <c r="L686" s="4" t="s">
        <v>137</v>
      </c>
      <c r="M686" s="4" t="s">
        <v>49</v>
      </c>
      <c r="N686" s="4" t="s">
        <v>24</v>
      </c>
      <c r="O686" s="4">
        <v>9</v>
      </c>
      <c r="P686" s="7">
        <v>1700</v>
      </c>
      <c r="Q686" s="8">
        <v>0.15</v>
      </c>
      <c r="R686" s="7">
        <v>1090</v>
      </c>
      <c r="S686" s="7">
        <f>Table1_1[[#This Row],[Units Sold]]*Table1_1[[#This Row],[Unit Price]]*(1-Table1_1[[#This Row],[Discount %]])</f>
        <v>13005</v>
      </c>
      <c r="T686" s="7">
        <f>Table1_1[[#This Row],[Units Sold]]*Table1_1[[#This Row],[Unit Cost]]</f>
        <v>9810</v>
      </c>
      <c r="U686" s="7">
        <f>Table1_1[[#This Row],[Calculated sales]]-Table1_1[[#This Row],[Total cost]]</f>
        <v>3195</v>
      </c>
      <c r="V686" s="4">
        <f>IFERROR(Table1_1[[#This Row],[Profit/Loss]]/Table1_1[[#This Row],[Calculated sales]],0)</f>
        <v>0.24567474048442905</v>
      </c>
    </row>
    <row r="687" spans="1:22" x14ac:dyDescent="0.25">
      <c r="A687" s="4" t="s">
        <v>834</v>
      </c>
      <c r="B687" s="5">
        <v>45653</v>
      </c>
      <c r="C687" s="4">
        <f>YEAR(Table1_1[[#This Row],[Order Dates]])</f>
        <v>2024</v>
      </c>
      <c r="D687" s="6">
        <f>MONTH(Table1_1[[#This Row],[Order Dates]])</f>
        <v>12</v>
      </c>
      <c r="E687" s="4" t="s">
        <v>42</v>
      </c>
      <c r="F687" s="4" t="s">
        <v>43</v>
      </c>
      <c r="G687" s="4" t="s">
        <v>64</v>
      </c>
      <c r="H687" s="4" t="str">
        <f>TRIM(CLEAN(SUBSTITUTE(Table1_1[[#This Row],[Salesperson]],"   "," ")))</f>
        <v>Aditya Verma</v>
      </c>
      <c r="I687" s="4" t="s">
        <v>45</v>
      </c>
      <c r="J687" s="4" t="s">
        <v>20</v>
      </c>
      <c r="K687" s="4" t="s">
        <v>87</v>
      </c>
      <c r="L687" s="4" t="s">
        <v>1672</v>
      </c>
      <c r="M687" s="4" t="s">
        <v>49</v>
      </c>
      <c r="N687" s="4" t="s">
        <v>24</v>
      </c>
      <c r="O687" s="4">
        <v>6</v>
      </c>
      <c r="P687" s="7">
        <v>33420</v>
      </c>
      <c r="Q687" s="8">
        <v>0.2</v>
      </c>
      <c r="R687" s="7">
        <v>25940</v>
      </c>
      <c r="S687" s="7">
        <f>Table1_1[[#This Row],[Units Sold]]*Table1_1[[#This Row],[Unit Price]]*(1-Table1_1[[#This Row],[Discount %]])</f>
        <v>160416</v>
      </c>
      <c r="T687" s="7">
        <f>Table1_1[[#This Row],[Units Sold]]*Table1_1[[#This Row],[Unit Cost]]</f>
        <v>155640</v>
      </c>
      <c r="U687" s="7">
        <f>Table1_1[[#This Row],[Calculated sales]]-Table1_1[[#This Row],[Total cost]]</f>
        <v>4776</v>
      </c>
      <c r="V687" s="4">
        <f>IFERROR(Table1_1[[#This Row],[Profit/Loss]]/Table1_1[[#This Row],[Calculated sales]],0)</f>
        <v>2.9772591262716936E-2</v>
      </c>
    </row>
    <row r="688" spans="1:22" x14ac:dyDescent="0.25">
      <c r="A688" s="4" t="s">
        <v>835</v>
      </c>
      <c r="B688" s="5">
        <v>45653</v>
      </c>
      <c r="C688" s="4">
        <f>YEAR(Table1_1[[#This Row],[Order Dates]])</f>
        <v>2024</v>
      </c>
      <c r="D688" s="6">
        <f>MONTH(Table1_1[[#This Row],[Order Dates]])</f>
        <v>12</v>
      </c>
      <c r="E688" s="4" t="s">
        <v>42</v>
      </c>
      <c r="F688" s="4" t="s">
        <v>123</v>
      </c>
      <c r="G688" s="4" t="s">
        <v>44</v>
      </c>
      <c r="H688" s="4" t="str">
        <f>TRIM(CLEAN(SUBSTITUTE(Table1_1[[#This Row],[Salesperson]],"   "," ")))</f>
        <v>Simran Kaur</v>
      </c>
      <c r="I688" s="4" t="s">
        <v>52</v>
      </c>
      <c r="J688" s="4" t="s">
        <v>46</v>
      </c>
      <c r="K688" s="4" t="s">
        <v>47</v>
      </c>
      <c r="L688" s="4" t="s">
        <v>1673</v>
      </c>
      <c r="M688" s="4" t="s">
        <v>23</v>
      </c>
      <c r="N688" s="4" t="s">
        <v>35</v>
      </c>
      <c r="O688" s="4">
        <v>10</v>
      </c>
      <c r="P688" s="7">
        <v>1240</v>
      </c>
      <c r="Q688" s="8">
        <v>0</v>
      </c>
      <c r="R688" s="7">
        <v>770</v>
      </c>
      <c r="S688" s="7">
        <f>Table1_1[[#This Row],[Units Sold]]*Table1_1[[#This Row],[Unit Price]]*(1-Table1_1[[#This Row],[Discount %]])</f>
        <v>12400</v>
      </c>
      <c r="T688" s="7">
        <f>Table1_1[[#This Row],[Units Sold]]*Table1_1[[#This Row],[Unit Cost]]</f>
        <v>7700</v>
      </c>
      <c r="U688" s="7">
        <f>Table1_1[[#This Row],[Calculated sales]]-Table1_1[[#This Row],[Total cost]]</f>
        <v>4700</v>
      </c>
      <c r="V688" s="4">
        <f>IFERROR(Table1_1[[#This Row],[Profit/Loss]]/Table1_1[[#This Row],[Calculated sales]],0)</f>
        <v>0.37903225806451613</v>
      </c>
    </row>
    <row r="689" spans="1:22" x14ac:dyDescent="0.25">
      <c r="A689" s="4" t="s">
        <v>836</v>
      </c>
      <c r="B689" s="5">
        <v>45653</v>
      </c>
      <c r="C689" s="4">
        <f>YEAR(Table1_1[[#This Row],[Order Dates]])</f>
        <v>2024</v>
      </c>
      <c r="D689" s="6">
        <f>MONTH(Table1_1[[#This Row],[Order Dates]])</f>
        <v>12</v>
      </c>
      <c r="E689" s="4" t="s">
        <v>76</v>
      </c>
      <c r="F689" s="4" t="s">
        <v>77</v>
      </c>
      <c r="G689" s="4" t="s">
        <v>78</v>
      </c>
      <c r="H689" s="4" t="str">
        <f>TRIM(CLEAN(SUBSTITUTE(Table1_1[[#This Row],[Salesperson]],"   "," ")))</f>
        <v>Pooja Chouhan</v>
      </c>
      <c r="I689" s="4" t="s">
        <v>92</v>
      </c>
      <c r="J689" s="4" t="s">
        <v>27</v>
      </c>
      <c r="K689" s="4" t="s">
        <v>28</v>
      </c>
      <c r="L689" s="4" t="s">
        <v>1668</v>
      </c>
      <c r="M689" s="4" t="s">
        <v>23</v>
      </c>
      <c r="N689" s="4" t="s">
        <v>24</v>
      </c>
      <c r="O689" s="4">
        <v>11</v>
      </c>
      <c r="P689" s="7">
        <v>28880</v>
      </c>
      <c r="Q689" s="8">
        <v>0</v>
      </c>
      <c r="R689" s="7">
        <v>22380</v>
      </c>
      <c r="S689" s="7">
        <f>Table1_1[[#This Row],[Units Sold]]*Table1_1[[#This Row],[Unit Price]]*(1-Table1_1[[#This Row],[Discount %]])</f>
        <v>317680</v>
      </c>
      <c r="T689" s="7">
        <f>Table1_1[[#This Row],[Units Sold]]*Table1_1[[#This Row],[Unit Cost]]</f>
        <v>246180</v>
      </c>
      <c r="U689" s="7">
        <f>Table1_1[[#This Row],[Calculated sales]]-Table1_1[[#This Row],[Total cost]]</f>
        <v>71500</v>
      </c>
      <c r="V689" s="4">
        <f>IFERROR(Table1_1[[#This Row],[Profit/Loss]]/Table1_1[[#This Row],[Calculated sales]],0)</f>
        <v>0.22506925207756232</v>
      </c>
    </row>
    <row r="690" spans="1:22" x14ac:dyDescent="0.25">
      <c r="A690" s="4" t="s">
        <v>837</v>
      </c>
      <c r="B690" s="5">
        <v>45653</v>
      </c>
      <c r="C690" s="4">
        <f>YEAR(Table1_1[[#This Row],[Order Dates]])</f>
        <v>2024</v>
      </c>
      <c r="D690" s="6">
        <f>MONTH(Table1_1[[#This Row],[Order Dates]])</f>
        <v>12</v>
      </c>
      <c r="E690" s="4" t="s">
        <v>16</v>
      </c>
      <c r="F690" s="4" t="s">
        <v>31</v>
      </c>
      <c r="G690" s="4" t="s">
        <v>32</v>
      </c>
      <c r="H690" s="4" t="str">
        <f>TRIM(CLEAN(SUBSTITUTE(Table1_1[[#This Row],[Salesperson]],"   "," ")))</f>
        <v>Neha Deshpande</v>
      </c>
      <c r="I690" s="4" t="s">
        <v>19</v>
      </c>
      <c r="J690" s="4" t="s">
        <v>20</v>
      </c>
      <c r="K690" s="4" t="s">
        <v>21</v>
      </c>
      <c r="L690" s="4" t="s">
        <v>1670</v>
      </c>
      <c r="M690" s="4" t="s">
        <v>23</v>
      </c>
      <c r="N690" s="4" t="s">
        <v>24</v>
      </c>
      <c r="O690" s="4">
        <v>10</v>
      </c>
      <c r="P690" s="7">
        <v>8810</v>
      </c>
      <c r="Q690" s="8">
        <v>0</v>
      </c>
      <c r="R690" s="7">
        <v>5380</v>
      </c>
      <c r="S690" s="7">
        <f>Table1_1[[#This Row],[Units Sold]]*Table1_1[[#This Row],[Unit Price]]*(1-Table1_1[[#This Row],[Discount %]])</f>
        <v>88100</v>
      </c>
      <c r="T690" s="7">
        <f>Table1_1[[#This Row],[Units Sold]]*Table1_1[[#This Row],[Unit Cost]]</f>
        <v>53800</v>
      </c>
      <c r="U690" s="7">
        <f>Table1_1[[#This Row],[Calculated sales]]-Table1_1[[#This Row],[Total cost]]</f>
        <v>34300</v>
      </c>
      <c r="V690" s="4">
        <f>IFERROR(Table1_1[[#This Row],[Profit/Loss]]/Table1_1[[#This Row],[Calculated sales]],0)</f>
        <v>0.38933030646992056</v>
      </c>
    </row>
    <row r="691" spans="1:22" x14ac:dyDescent="0.25">
      <c r="A691" s="4" t="s">
        <v>838</v>
      </c>
      <c r="B691" s="5">
        <v>45653</v>
      </c>
      <c r="C691" s="4">
        <f>YEAR(Table1_1[[#This Row],[Order Dates]])</f>
        <v>2024</v>
      </c>
      <c r="D691" s="6">
        <f>MONTH(Table1_1[[#This Row],[Order Dates]])</f>
        <v>12</v>
      </c>
      <c r="E691" s="4" t="s">
        <v>56</v>
      </c>
      <c r="F691" s="4" t="s">
        <v>72</v>
      </c>
      <c r="G691" s="4" t="s">
        <v>91</v>
      </c>
      <c r="H691" s="4" t="str">
        <f>TRIM(CLEAN(SUBSTITUTE(Table1_1[[#This Row],[Salesperson]],"   "," ")))</f>
        <v>Anjali Menon</v>
      </c>
      <c r="I691" s="4" t="s">
        <v>92</v>
      </c>
      <c r="J691" s="4" t="s">
        <v>46</v>
      </c>
      <c r="K691" s="4" t="s">
        <v>100</v>
      </c>
      <c r="L691" s="4" t="s">
        <v>177</v>
      </c>
      <c r="M691" s="4" t="s">
        <v>23</v>
      </c>
      <c r="N691" s="4" t="s">
        <v>24</v>
      </c>
      <c r="O691" s="4">
        <v>66</v>
      </c>
      <c r="P691" s="7">
        <v>2470</v>
      </c>
      <c r="Q691" s="8">
        <v>0.12</v>
      </c>
      <c r="R691" s="7">
        <v>1400</v>
      </c>
      <c r="S691" s="7">
        <f>Table1_1[[#This Row],[Units Sold]]*Table1_1[[#This Row],[Unit Price]]*(1-Table1_1[[#This Row],[Discount %]])</f>
        <v>143457.60000000001</v>
      </c>
      <c r="T691" s="7">
        <f>Table1_1[[#This Row],[Units Sold]]*Table1_1[[#This Row],[Unit Cost]]</f>
        <v>92400</v>
      </c>
      <c r="U691" s="7">
        <f>Table1_1[[#This Row],[Calculated sales]]-Table1_1[[#This Row],[Total cost]]</f>
        <v>51057.600000000006</v>
      </c>
      <c r="V691" s="4">
        <f>IFERROR(Table1_1[[#This Row],[Profit/Loss]]/Table1_1[[#This Row],[Calculated sales]],0)</f>
        <v>0.35590725064409279</v>
      </c>
    </row>
    <row r="692" spans="1:22" x14ac:dyDescent="0.25">
      <c r="A692" s="4" t="s">
        <v>839</v>
      </c>
      <c r="B692" s="5">
        <v>45654</v>
      </c>
      <c r="C692" s="4">
        <f>YEAR(Table1_1[[#This Row],[Order Dates]])</f>
        <v>2024</v>
      </c>
      <c r="D692" s="6">
        <f>MONTH(Table1_1[[#This Row],[Order Dates]])</f>
        <v>12</v>
      </c>
      <c r="E692" s="4" t="s">
        <v>42</v>
      </c>
      <c r="F692" s="4" t="s">
        <v>146</v>
      </c>
      <c r="G692" s="4" t="s">
        <v>64</v>
      </c>
      <c r="H692" s="4" t="str">
        <f>TRIM(CLEAN(SUBSTITUTE(Table1_1[[#This Row],[Salesperson]],"   "," ")))</f>
        <v>Aditya Verma</v>
      </c>
      <c r="I692" s="4" t="s">
        <v>52</v>
      </c>
      <c r="J692" s="4" t="s">
        <v>59</v>
      </c>
      <c r="K692" s="4" t="s">
        <v>69</v>
      </c>
      <c r="L692" s="4" t="s">
        <v>121</v>
      </c>
      <c r="M692" s="4" t="s">
        <v>23</v>
      </c>
      <c r="N692" s="4" t="s">
        <v>24</v>
      </c>
      <c r="O692" s="4">
        <v>15</v>
      </c>
      <c r="P692" s="7">
        <v>3340</v>
      </c>
      <c r="Q692" s="8">
        <v>0.18</v>
      </c>
      <c r="R692" s="7">
        <v>2160</v>
      </c>
      <c r="S692" s="7">
        <f>Table1_1[[#This Row],[Units Sold]]*Table1_1[[#This Row],[Unit Price]]*(1-Table1_1[[#This Row],[Discount %]])</f>
        <v>41082</v>
      </c>
      <c r="T692" s="7">
        <f>Table1_1[[#This Row],[Units Sold]]*Table1_1[[#This Row],[Unit Cost]]</f>
        <v>32400</v>
      </c>
      <c r="U692" s="7">
        <f>Table1_1[[#This Row],[Calculated sales]]-Table1_1[[#This Row],[Total cost]]</f>
        <v>8682</v>
      </c>
      <c r="V692" s="4">
        <f>IFERROR(Table1_1[[#This Row],[Profit/Loss]]/Table1_1[[#This Row],[Calculated sales]],0)</f>
        <v>0.21133343069957647</v>
      </c>
    </row>
    <row r="693" spans="1:22" x14ac:dyDescent="0.25">
      <c r="A693" s="4" t="s">
        <v>840</v>
      </c>
      <c r="B693" s="5">
        <v>45654</v>
      </c>
      <c r="C693" s="4">
        <f>YEAR(Table1_1[[#This Row],[Order Dates]])</f>
        <v>2024</v>
      </c>
      <c r="D693" s="6">
        <f>MONTH(Table1_1[[#This Row],[Order Dates]])</f>
        <v>12</v>
      </c>
      <c r="E693" s="4" t="s">
        <v>16</v>
      </c>
      <c r="F693" s="4" t="s">
        <v>153</v>
      </c>
      <c r="G693" s="4" t="s">
        <v>26</v>
      </c>
      <c r="H693" s="4" t="str">
        <f>TRIM(CLEAN(SUBSTITUTE(Table1_1[[#This Row],[Salesperson]],"   "," ")))</f>
        <v>Prateek Shah</v>
      </c>
      <c r="I693" s="4" t="s">
        <v>52</v>
      </c>
      <c r="J693" s="4" t="s">
        <v>59</v>
      </c>
      <c r="K693" s="4" t="s">
        <v>154</v>
      </c>
      <c r="L693" s="4" t="s">
        <v>249</v>
      </c>
      <c r="M693" s="4" t="s">
        <v>23</v>
      </c>
      <c r="N693" s="4" t="s">
        <v>24</v>
      </c>
      <c r="O693" s="4">
        <v>9</v>
      </c>
      <c r="P693" s="7">
        <v>6550</v>
      </c>
      <c r="Q693" s="8">
        <v>0</v>
      </c>
      <c r="R693" s="7">
        <v>4260</v>
      </c>
      <c r="S693" s="7">
        <f>Table1_1[[#This Row],[Units Sold]]*Table1_1[[#This Row],[Unit Price]]*(1-Table1_1[[#This Row],[Discount %]])</f>
        <v>58950</v>
      </c>
      <c r="T693" s="7">
        <f>Table1_1[[#This Row],[Units Sold]]*Table1_1[[#This Row],[Unit Cost]]</f>
        <v>38340</v>
      </c>
      <c r="U693" s="7">
        <f>Table1_1[[#This Row],[Calculated sales]]-Table1_1[[#This Row],[Total cost]]</f>
        <v>20610</v>
      </c>
      <c r="V693" s="4">
        <f>IFERROR(Table1_1[[#This Row],[Profit/Loss]]/Table1_1[[#This Row],[Calculated sales]],0)</f>
        <v>0.34961832061068704</v>
      </c>
    </row>
    <row r="694" spans="1:22" x14ac:dyDescent="0.25">
      <c r="A694" s="4" t="s">
        <v>841</v>
      </c>
      <c r="B694" s="5">
        <v>45654</v>
      </c>
      <c r="C694" s="4">
        <f>YEAR(Table1_1[[#This Row],[Order Dates]])</f>
        <v>2024</v>
      </c>
      <c r="D694" s="6">
        <f>MONTH(Table1_1[[#This Row],[Order Dates]])</f>
        <v>12</v>
      </c>
      <c r="E694" s="4" t="s">
        <v>76</v>
      </c>
      <c r="F694" s="4" t="s">
        <v>112</v>
      </c>
      <c r="G694" s="4" t="s">
        <v>78</v>
      </c>
      <c r="H694" s="4" t="str">
        <f>TRIM(CLEAN(SUBSTITUTE(Table1_1[[#This Row],[Salesperson]],"   "," ")))</f>
        <v>Pooja Chouhan</v>
      </c>
      <c r="I694" s="4" t="s">
        <v>45</v>
      </c>
      <c r="J694" s="4" t="s">
        <v>20</v>
      </c>
      <c r="K694" s="4" t="s">
        <v>21</v>
      </c>
      <c r="L694" s="4" t="s">
        <v>1667</v>
      </c>
      <c r="M694" s="4" t="s">
        <v>49</v>
      </c>
      <c r="N694" s="4" t="s">
        <v>24</v>
      </c>
      <c r="O694" s="4">
        <v>45</v>
      </c>
      <c r="P694" s="7">
        <v>1800</v>
      </c>
      <c r="Q694" s="8">
        <v>0.18</v>
      </c>
      <c r="R694" s="7">
        <v>1340</v>
      </c>
      <c r="S694" s="7">
        <f>Table1_1[[#This Row],[Units Sold]]*Table1_1[[#This Row],[Unit Price]]*(1-Table1_1[[#This Row],[Discount %]])</f>
        <v>66420</v>
      </c>
      <c r="T694" s="7">
        <f>Table1_1[[#This Row],[Units Sold]]*Table1_1[[#This Row],[Unit Cost]]</f>
        <v>60300</v>
      </c>
      <c r="U694" s="7">
        <f>Table1_1[[#This Row],[Calculated sales]]-Table1_1[[#This Row],[Total cost]]</f>
        <v>6120</v>
      </c>
      <c r="V694" s="4">
        <f>IFERROR(Table1_1[[#This Row],[Profit/Loss]]/Table1_1[[#This Row],[Calculated sales]],0)</f>
        <v>9.2140921409214094E-2</v>
      </c>
    </row>
    <row r="695" spans="1:22" x14ac:dyDescent="0.25">
      <c r="A695" s="4" t="s">
        <v>842</v>
      </c>
      <c r="B695" s="5">
        <v>45654</v>
      </c>
      <c r="C695" s="4">
        <f>YEAR(Table1_1[[#This Row],[Order Dates]])</f>
        <v>2024</v>
      </c>
      <c r="D695" s="6">
        <f>MONTH(Table1_1[[#This Row],[Order Dates]])</f>
        <v>12</v>
      </c>
      <c r="E695" s="4" t="s">
        <v>56</v>
      </c>
      <c r="F695" s="4" t="s">
        <v>127</v>
      </c>
      <c r="G695" s="4" t="s">
        <v>91</v>
      </c>
      <c r="H695" s="4" t="str">
        <f>TRIM(CLEAN(SUBSTITUTE(Table1_1[[#This Row],[Salesperson]],"   "," ")))</f>
        <v>Anjali Menon</v>
      </c>
      <c r="I695" s="4" t="s">
        <v>19</v>
      </c>
      <c r="J695" s="4" t="s">
        <v>46</v>
      </c>
      <c r="K695" s="4" t="s">
        <v>179</v>
      </c>
      <c r="L695" s="4" t="s">
        <v>221</v>
      </c>
      <c r="M695" s="4" t="s">
        <v>40</v>
      </c>
      <c r="N695" s="4" t="s">
        <v>24</v>
      </c>
      <c r="O695" s="4">
        <v>37</v>
      </c>
      <c r="P695" s="7">
        <v>1710</v>
      </c>
      <c r="Q695" s="8">
        <v>0.05</v>
      </c>
      <c r="R695" s="7">
        <v>1300</v>
      </c>
      <c r="S695" s="7">
        <f>Table1_1[[#This Row],[Units Sold]]*Table1_1[[#This Row],[Unit Price]]*(1-Table1_1[[#This Row],[Discount %]])</f>
        <v>60106.5</v>
      </c>
      <c r="T695" s="7">
        <f>Table1_1[[#This Row],[Units Sold]]*Table1_1[[#This Row],[Unit Cost]]</f>
        <v>48100</v>
      </c>
      <c r="U695" s="7">
        <f>Table1_1[[#This Row],[Calculated sales]]-Table1_1[[#This Row],[Total cost]]</f>
        <v>12006.5</v>
      </c>
      <c r="V695" s="4">
        <f>IFERROR(Table1_1[[#This Row],[Profit/Loss]]/Table1_1[[#This Row],[Calculated sales]],0)</f>
        <v>0.19975377039088951</v>
      </c>
    </row>
    <row r="696" spans="1:22" x14ac:dyDescent="0.25">
      <c r="A696" s="4" t="s">
        <v>843</v>
      </c>
      <c r="B696" s="5">
        <v>45656</v>
      </c>
      <c r="C696" s="4">
        <f>YEAR(Table1_1[[#This Row],[Order Dates]])</f>
        <v>2024</v>
      </c>
      <c r="D696" s="6">
        <f>MONTH(Table1_1[[#This Row],[Order Dates]])</f>
        <v>12</v>
      </c>
      <c r="E696" s="4" t="s">
        <v>56</v>
      </c>
      <c r="F696" s="4" t="s">
        <v>57</v>
      </c>
      <c r="G696" s="4" t="s">
        <v>91</v>
      </c>
      <c r="H696" s="4" t="str">
        <f>TRIM(CLEAN(SUBSTITUTE(Table1_1[[#This Row],[Salesperson]],"   "," ")))</f>
        <v>Anjali Menon</v>
      </c>
      <c r="I696" s="4" t="s">
        <v>19</v>
      </c>
      <c r="J696" s="4" t="s">
        <v>27</v>
      </c>
      <c r="K696" s="4" t="s">
        <v>79</v>
      </c>
      <c r="L696" s="4" t="s">
        <v>262</v>
      </c>
      <c r="M696" s="4" t="s">
        <v>49</v>
      </c>
      <c r="N696" s="4" t="s">
        <v>24</v>
      </c>
      <c r="O696" s="4">
        <v>21</v>
      </c>
      <c r="P696" s="7">
        <v>2640</v>
      </c>
      <c r="Q696" s="8">
        <v>0.18</v>
      </c>
      <c r="R696" s="7">
        <v>1520</v>
      </c>
      <c r="S696" s="7">
        <f>Table1_1[[#This Row],[Units Sold]]*Table1_1[[#This Row],[Unit Price]]*(1-Table1_1[[#This Row],[Discount %]])</f>
        <v>45460.800000000003</v>
      </c>
      <c r="T696" s="7">
        <f>Table1_1[[#This Row],[Units Sold]]*Table1_1[[#This Row],[Unit Cost]]</f>
        <v>31920</v>
      </c>
      <c r="U696" s="7">
        <f>Table1_1[[#This Row],[Calculated sales]]-Table1_1[[#This Row],[Total cost]]</f>
        <v>13540.800000000003</v>
      </c>
      <c r="V696" s="4">
        <f>IFERROR(Table1_1[[#This Row],[Profit/Loss]]/Table1_1[[#This Row],[Calculated sales]],0)</f>
        <v>0.29785661492978571</v>
      </c>
    </row>
    <row r="697" spans="1:22" x14ac:dyDescent="0.25">
      <c r="A697" s="4" t="s">
        <v>844</v>
      </c>
      <c r="B697" s="5">
        <v>45657</v>
      </c>
      <c r="C697" s="4">
        <f>YEAR(Table1_1[[#This Row],[Order Dates]])</f>
        <v>2024</v>
      </c>
      <c r="D697" s="6">
        <f>MONTH(Table1_1[[#This Row],[Order Dates]])</f>
        <v>12</v>
      </c>
      <c r="E697" s="4" t="s">
        <v>16</v>
      </c>
      <c r="F697" s="4" t="s">
        <v>51</v>
      </c>
      <c r="G697" s="4" t="s">
        <v>26</v>
      </c>
      <c r="H697" s="4" t="str">
        <f>TRIM(CLEAN(SUBSTITUTE(Table1_1[[#This Row],[Salesperson]],"   "," ")))</f>
        <v>Prateek Shah</v>
      </c>
      <c r="I697" s="4" t="s">
        <v>92</v>
      </c>
      <c r="J697" s="4" t="s">
        <v>59</v>
      </c>
      <c r="K697" s="4" t="s">
        <v>73</v>
      </c>
      <c r="L697" s="4" t="s">
        <v>113</v>
      </c>
      <c r="M697" s="4" t="s">
        <v>49</v>
      </c>
      <c r="N697" s="4" t="s">
        <v>24</v>
      </c>
      <c r="O697" s="4">
        <v>7</v>
      </c>
      <c r="P697" s="7">
        <v>34540</v>
      </c>
      <c r="Q697" s="8">
        <v>0.12</v>
      </c>
      <c r="R697" s="7">
        <v>22520</v>
      </c>
      <c r="S697" s="7">
        <f>Table1_1[[#This Row],[Units Sold]]*Table1_1[[#This Row],[Unit Price]]*(1-Table1_1[[#This Row],[Discount %]])</f>
        <v>212766.4</v>
      </c>
      <c r="T697" s="7">
        <f>Table1_1[[#This Row],[Units Sold]]*Table1_1[[#This Row],[Unit Cost]]</f>
        <v>157640</v>
      </c>
      <c r="U697" s="7">
        <f>Table1_1[[#This Row],[Calculated sales]]-Table1_1[[#This Row],[Total cost]]</f>
        <v>55126.399999999994</v>
      </c>
      <c r="V697" s="4">
        <f>IFERROR(Table1_1[[#This Row],[Profit/Loss]]/Table1_1[[#This Row],[Calculated sales]],0)</f>
        <v>0.25909354108543453</v>
      </c>
    </row>
    <row r="698" spans="1:22" x14ac:dyDescent="0.25">
      <c r="A698" s="4" t="s">
        <v>845</v>
      </c>
      <c r="B698" s="5">
        <v>45658</v>
      </c>
      <c r="C698" s="4">
        <f>YEAR(Table1_1[[#This Row],[Order Dates]])</f>
        <v>2025</v>
      </c>
      <c r="D698" s="6">
        <f>MONTH(Table1_1[[#This Row],[Order Dates]])</f>
        <v>1</v>
      </c>
      <c r="E698" s="4" t="s">
        <v>37</v>
      </c>
      <c r="F698" s="4" t="s">
        <v>166</v>
      </c>
      <c r="G698" s="4" t="s">
        <v>68</v>
      </c>
      <c r="H698" s="4" t="str">
        <f>TRIM(CLEAN(SUBSTITUTE(Table1_1[[#This Row],[Salesperson]],"   "," ")))</f>
        <v>Ritika Ghosh</v>
      </c>
      <c r="I698" s="4" t="s">
        <v>92</v>
      </c>
      <c r="J698" s="4" t="s">
        <v>46</v>
      </c>
      <c r="K698" s="4" t="s">
        <v>100</v>
      </c>
      <c r="L698" s="4" t="s">
        <v>101</v>
      </c>
      <c r="M698" s="4" t="s">
        <v>23</v>
      </c>
      <c r="N698" s="4" t="s">
        <v>24</v>
      </c>
      <c r="O698" s="4">
        <v>50</v>
      </c>
      <c r="P698" s="7">
        <v>2000</v>
      </c>
      <c r="Q698" s="8">
        <v>0.1</v>
      </c>
      <c r="R698" s="7">
        <v>1380</v>
      </c>
      <c r="S698" s="7">
        <f>Table1_1[[#This Row],[Units Sold]]*Table1_1[[#This Row],[Unit Price]]*(1-Table1_1[[#This Row],[Discount %]])</f>
        <v>90000</v>
      </c>
      <c r="T698" s="7">
        <f>Table1_1[[#This Row],[Units Sold]]*Table1_1[[#This Row],[Unit Cost]]</f>
        <v>69000</v>
      </c>
      <c r="U698" s="7">
        <f>Table1_1[[#This Row],[Calculated sales]]-Table1_1[[#This Row],[Total cost]]</f>
        <v>21000</v>
      </c>
      <c r="V698" s="4">
        <f>IFERROR(Table1_1[[#This Row],[Profit/Loss]]/Table1_1[[#This Row],[Calculated sales]],0)</f>
        <v>0.23333333333333334</v>
      </c>
    </row>
    <row r="699" spans="1:22" x14ac:dyDescent="0.25">
      <c r="A699" s="4" t="s">
        <v>846</v>
      </c>
      <c r="B699" s="5">
        <v>45659</v>
      </c>
      <c r="C699" s="4">
        <f>YEAR(Table1_1[[#This Row],[Order Dates]])</f>
        <v>2025</v>
      </c>
      <c r="D699" s="6">
        <f>MONTH(Table1_1[[#This Row],[Order Dates]])</f>
        <v>1</v>
      </c>
      <c r="E699" s="4" t="s">
        <v>42</v>
      </c>
      <c r="F699" s="4" t="s">
        <v>130</v>
      </c>
      <c r="G699" s="4" t="s">
        <v>44</v>
      </c>
      <c r="H699" s="4" t="str">
        <f>TRIM(CLEAN(SUBSTITUTE(Table1_1[[#This Row],[Salesperson]],"   "," ")))</f>
        <v>Simran Kaur</v>
      </c>
      <c r="I699" s="4" t="s">
        <v>45</v>
      </c>
      <c r="J699" s="4" t="s">
        <v>46</v>
      </c>
      <c r="K699" s="4" t="s">
        <v>179</v>
      </c>
      <c r="L699" s="4" t="s">
        <v>180</v>
      </c>
      <c r="M699" s="4" t="s">
        <v>23</v>
      </c>
      <c r="N699" s="4" t="s">
        <v>24</v>
      </c>
      <c r="O699" s="4">
        <v>16</v>
      </c>
      <c r="P699" s="7">
        <v>3810</v>
      </c>
      <c r="Q699" s="8">
        <v>0</v>
      </c>
      <c r="R699" s="7">
        <v>2210</v>
      </c>
      <c r="S699" s="7">
        <f>Table1_1[[#This Row],[Units Sold]]*Table1_1[[#This Row],[Unit Price]]*(1-Table1_1[[#This Row],[Discount %]])</f>
        <v>60960</v>
      </c>
      <c r="T699" s="7">
        <f>Table1_1[[#This Row],[Units Sold]]*Table1_1[[#This Row],[Unit Cost]]</f>
        <v>35360</v>
      </c>
      <c r="U699" s="7">
        <f>Table1_1[[#This Row],[Calculated sales]]-Table1_1[[#This Row],[Total cost]]</f>
        <v>25600</v>
      </c>
      <c r="V699" s="4">
        <f>IFERROR(Table1_1[[#This Row],[Profit/Loss]]/Table1_1[[#This Row],[Calculated sales]],0)</f>
        <v>0.41994750656167978</v>
      </c>
    </row>
    <row r="700" spans="1:22" x14ac:dyDescent="0.25">
      <c r="A700" s="4" t="s">
        <v>847</v>
      </c>
      <c r="B700" s="5">
        <v>45659</v>
      </c>
      <c r="C700" s="4">
        <f>YEAR(Table1_1[[#This Row],[Order Dates]])</f>
        <v>2025</v>
      </c>
      <c r="D700" s="6">
        <f>MONTH(Table1_1[[#This Row],[Order Dates]])</f>
        <v>1</v>
      </c>
      <c r="E700" s="4" t="s">
        <v>56</v>
      </c>
      <c r="F700" s="4" t="s">
        <v>72</v>
      </c>
      <c r="G700" s="4" t="s">
        <v>58</v>
      </c>
      <c r="H700" s="4" t="str">
        <f>TRIM(CLEAN(SUBSTITUTE(Table1_1[[#This Row],[Salesperson]],"   "," ")))</f>
        <v>Karthik Raman</v>
      </c>
      <c r="I700" s="4" t="s">
        <v>92</v>
      </c>
      <c r="J700" s="4" t="s">
        <v>27</v>
      </c>
      <c r="K700" s="4" t="s">
        <v>214</v>
      </c>
      <c r="L700" s="4" t="s">
        <v>1681</v>
      </c>
      <c r="M700" s="4" t="s">
        <v>23</v>
      </c>
      <c r="N700" s="4" t="s">
        <v>24</v>
      </c>
      <c r="O700" s="4">
        <v>8</v>
      </c>
      <c r="P700" s="7">
        <v>14600</v>
      </c>
      <c r="Q700" s="8">
        <v>0</v>
      </c>
      <c r="R700" s="7">
        <v>8460</v>
      </c>
      <c r="S700" s="7">
        <f>Table1_1[[#This Row],[Units Sold]]*Table1_1[[#This Row],[Unit Price]]*(1-Table1_1[[#This Row],[Discount %]])</f>
        <v>116800</v>
      </c>
      <c r="T700" s="7">
        <f>Table1_1[[#This Row],[Units Sold]]*Table1_1[[#This Row],[Unit Cost]]</f>
        <v>67680</v>
      </c>
      <c r="U700" s="7">
        <f>Table1_1[[#This Row],[Calculated sales]]-Table1_1[[#This Row],[Total cost]]</f>
        <v>49120</v>
      </c>
      <c r="V700" s="4">
        <f>IFERROR(Table1_1[[#This Row],[Profit/Loss]]/Table1_1[[#This Row],[Calculated sales]],0)</f>
        <v>0.42054794520547945</v>
      </c>
    </row>
    <row r="701" spans="1:22" x14ac:dyDescent="0.25">
      <c r="A701" s="4" t="s">
        <v>848</v>
      </c>
      <c r="B701" s="5">
        <v>45659</v>
      </c>
      <c r="C701" s="4">
        <f>YEAR(Table1_1[[#This Row],[Order Dates]])</f>
        <v>2025</v>
      </c>
      <c r="D701" s="6">
        <f>MONTH(Table1_1[[#This Row],[Order Dates]])</f>
        <v>1</v>
      </c>
      <c r="E701" s="4" t="s">
        <v>56</v>
      </c>
      <c r="F701" s="4" t="s">
        <v>127</v>
      </c>
      <c r="G701" s="4" t="s">
        <v>58</v>
      </c>
      <c r="H701" s="4" t="str">
        <f>TRIM(CLEAN(SUBSTITUTE(Table1_1[[#This Row],[Salesperson]],"   "," ")))</f>
        <v>Karthik Raman</v>
      </c>
      <c r="I701" s="4" t="s">
        <v>19</v>
      </c>
      <c r="J701" s="4" t="s">
        <v>83</v>
      </c>
      <c r="K701" s="4" t="s">
        <v>184</v>
      </c>
      <c r="L701" s="4" t="s">
        <v>1679</v>
      </c>
      <c r="M701" s="4" t="s">
        <v>40</v>
      </c>
      <c r="N701" s="4" t="s">
        <v>24</v>
      </c>
      <c r="O701" s="4">
        <v>6</v>
      </c>
      <c r="P701" s="7">
        <v>4470</v>
      </c>
      <c r="Q701" s="8">
        <v>0.05</v>
      </c>
      <c r="R701" s="7">
        <v>3100</v>
      </c>
      <c r="S701" s="7">
        <f>Table1_1[[#This Row],[Units Sold]]*Table1_1[[#This Row],[Unit Price]]*(1-Table1_1[[#This Row],[Discount %]])</f>
        <v>25479</v>
      </c>
      <c r="T701" s="7">
        <f>Table1_1[[#This Row],[Units Sold]]*Table1_1[[#This Row],[Unit Cost]]</f>
        <v>18600</v>
      </c>
      <c r="U701" s="7">
        <f>Table1_1[[#This Row],[Calculated sales]]-Table1_1[[#This Row],[Total cost]]</f>
        <v>6879</v>
      </c>
      <c r="V701" s="4">
        <f>IFERROR(Table1_1[[#This Row],[Profit/Loss]]/Table1_1[[#This Row],[Calculated sales]],0)</f>
        <v>0.26998704815730601</v>
      </c>
    </row>
    <row r="702" spans="1:22" x14ac:dyDescent="0.25">
      <c r="A702" s="4" t="s">
        <v>849</v>
      </c>
      <c r="B702" s="5">
        <v>45659</v>
      </c>
      <c r="C702" s="4">
        <f>YEAR(Table1_1[[#This Row],[Order Dates]])</f>
        <v>2025</v>
      </c>
      <c r="D702" s="6">
        <f>MONTH(Table1_1[[#This Row],[Order Dates]])</f>
        <v>1</v>
      </c>
      <c r="E702" s="4" t="s">
        <v>76</v>
      </c>
      <c r="F702" s="4" t="s">
        <v>77</v>
      </c>
      <c r="G702" s="4" t="s">
        <v>78</v>
      </c>
      <c r="H702" s="4" t="str">
        <f>TRIM(CLEAN(SUBSTITUTE(Table1_1[[#This Row],[Salesperson]],"   "," ")))</f>
        <v>Pooja Chouhan</v>
      </c>
      <c r="I702" s="4" t="s">
        <v>45</v>
      </c>
      <c r="J702" s="4" t="s">
        <v>46</v>
      </c>
      <c r="K702" s="4" t="s">
        <v>47</v>
      </c>
      <c r="L702" s="4" t="s">
        <v>259</v>
      </c>
      <c r="M702" s="4" t="s">
        <v>40</v>
      </c>
      <c r="N702" s="4" t="s">
        <v>119</v>
      </c>
      <c r="O702" s="4">
        <v>13</v>
      </c>
      <c r="P702" s="7">
        <v>2850</v>
      </c>
      <c r="Q702" s="8">
        <v>0.12</v>
      </c>
      <c r="R702" s="7">
        <v>2130</v>
      </c>
      <c r="S702" s="7">
        <f>Table1_1[[#This Row],[Units Sold]]*Table1_1[[#This Row],[Unit Price]]*(1-Table1_1[[#This Row],[Discount %]])</f>
        <v>32604</v>
      </c>
      <c r="T702" s="7">
        <f>Table1_1[[#This Row],[Units Sold]]*Table1_1[[#This Row],[Unit Cost]]</f>
        <v>27690</v>
      </c>
      <c r="U702" s="7">
        <f>Table1_1[[#This Row],[Calculated sales]]-Table1_1[[#This Row],[Total cost]]</f>
        <v>4914</v>
      </c>
      <c r="V702" s="4">
        <f>IFERROR(Table1_1[[#This Row],[Profit/Loss]]/Table1_1[[#This Row],[Calculated sales]],0)</f>
        <v>0.15071770334928231</v>
      </c>
    </row>
    <row r="703" spans="1:22" x14ac:dyDescent="0.25">
      <c r="A703" s="4" t="s">
        <v>850</v>
      </c>
      <c r="B703" s="5">
        <v>45659</v>
      </c>
      <c r="C703" s="4">
        <f>YEAR(Table1_1[[#This Row],[Order Dates]])</f>
        <v>2025</v>
      </c>
      <c r="D703" s="6">
        <f>MONTH(Table1_1[[#This Row],[Order Dates]])</f>
        <v>1</v>
      </c>
      <c r="E703" s="4" t="s">
        <v>42</v>
      </c>
      <c r="F703" s="4" t="s">
        <v>146</v>
      </c>
      <c r="G703" s="4" t="s">
        <v>97</v>
      </c>
      <c r="H703" s="4" t="str">
        <f>TRIM(CLEAN(SUBSTITUTE(Table1_1[[#This Row],[Salesperson]],"   "," ")))</f>
        <v>Rohit Malhotra</v>
      </c>
      <c r="I703" s="4" t="s">
        <v>19</v>
      </c>
      <c r="J703" s="4" t="s">
        <v>46</v>
      </c>
      <c r="K703" s="4" t="s">
        <v>100</v>
      </c>
      <c r="L703" s="4" t="s">
        <v>177</v>
      </c>
      <c r="M703" s="4" t="s">
        <v>40</v>
      </c>
      <c r="N703" s="4" t="s">
        <v>24</v>
      </c>
      <c r="O703" s="4">
        <v>31</v>
      </c>
      <c r="P703" s="7">
        <v>2690</v>
      </c>
      <c r="Q703" s="8">
        <v>0.05</v>
      </c>
      <c r="R703" s="7">
        <v>1890</v>
      </c>
      <c r="S703" s="7">
        <f>Table1_1[[#This Row],[Units Sold]]*Table1_1[[#This Row],[Unit Price]]*(1-Table1_1[[#This Row],[Discount %]])</f>
        <v>79220.5</v>
      </c>
      <c r="T703" s="7">
        <f>Table1_1[[#This Row],[Units Sold]]*Table1_1[[#This Row],[Unit Cost]]</f>
        <v>58590</v>
      </c>
      <c r="U703" s="7">
        <f>Table1_1[[#This Row],[Calculated sales]]-Table1_1[[#This Row],[Total cost]]</f>
        <v>20630.5</v>
      </c>
      <c r="V703" s="4">
        <f>IFERROR(Table1_1[[#This Row],[Profit/Loss]]/Table1_1[[#This Row],[Calculated sales]],0)</f>
        <v>0.26041870475445117</v>
      </c>
    </row>
    <row r="704" spans="1:22" x14ac:dyDescent="0.25">
      <c r="A704" s="4" t="s">
        <v>851</v>
      </c>
      <c r="B704" s="5">
        <v>45659</v>
      </c>
      <c r="C704" s="4">
        <f>YEAR(Table1_1[[#This Row],[Order Dates]])</f>
        <v>2025</v>
      </c>
      <c r="D704" s="6">
        <f>MONTH(Table1_1[[#This Row],[Order Dates]])</f>
        <v>1</v>
      </c>
      <c r="E704" s="4" t="s">
        <v>76</v>
      </c>
      <c r="F704" s="4" t="s">
        <v>77</v>
      </c>
      <c r="G704" s="4" t="s">
        <v>170</v>
      </c>
      <c r="H704" s="4" t="str">
        <f>TRIM(CLEAN(SUBSTITUTE(Table1_1[[#This Row],[Salesperson]],"   "," ")))</f>
        <v>Manish Tiwari</v>
      </c>
      <c r="I704" s="4" t="s">
        <v>92</v>
      </c>
      <c r="J704" s="4" t="s">
        <v>46</v>
      </c>
      <c r="K704" s="4" t="s">
        <v>47</v>
      </c>
      <c r="L704" s="4" t="s">
        <v>259</v>
      </c>
      <c r="M704" s="4" t="s">
        <v>40</v>
      </c>
      <c r="N704" s="4" t="s">
        <v>24</v>
      </c>
      <c r="O704" s="4">
        <v>17</v>
      </c>
      <c r="P704" s="7">
        <v>2960</v>
      </c>
      <c r="Q704" s="8">
        <v>0.05</v>
      </c>
      <c r="R704" s="7">
        <v>2280</v>
      </c>
      <c r="S704" s="7">
        <f>Table1_1[[#This Row],[Units Sold]]*Table1_1[[#This Row],[Unit Price]]*(1-Table1_1[[#This Row],[Discount %]])</f>
        <v>47804</v>
      </c>
      <c r="T704" s="7">
        <f>Table1_1[[#This Row],[Units Sold]]*Table1_1[[#This Row],[Unit Cost]]</f>
        <v>38760</v>
      </c>
      <c r="U704" s="7">
        <f>Table1_1[[#This Row],[Calculated sales]]-Table1_1[[#This Row],[Total cost]]</f>
        <v>9044</v>
      </c>
      <c r="V704" s="4">
        <f>IFERROR(Table1_1[[#This Row],[Profit/Loss]]/Table1_1[[#This Row],[Calculated sales]],0)</f>
        <v>0.1891891891891892</v>
      </c>
    </row>
    <row r="705" spans="1:22" x14ac:dyDescent="0.25">
      <c r="A705" s="4" t="s">
        <v>852</v>
      </c>
      <c r="B705" s="5">
        <v>45660</v>
      </c>
      <c r="C705" s="4">
        <f>YEAR(Table1_1[[#This Row],[Order Dates]])</f>
        <v>2025</v>
      </c>
      <c r="D705" s="6">
        <f>MONTH(Table1_1[[#This Row],[Order Dates]])</f>
        <v>1</v>
      </c>
      <c r="E705" s="4" t="s">
        <v>42</v>
      </c>
      <c r="F705" s="4" t="s">
        <v>265</v>
      </c>
      <c r="G705" s="4" t="s">
        <v>97</v>
      </c>
      <c r="H705" s="4" t="str">
        <f>TRIM(CLEAN(SUBSTITUTE(Table1_1[[#This Row],[Salesperson]],"   "," ")))</f>
        <v>Rohit Malhotra</v>
      </c>
      <c r="I705" s="4" t="s">
        <v>52</v>
      </c>
      <c r="J705" s="4" t="s">
        <v>27</v>
      </c>
      <c r="K705" s="4" t="s">
        <v>214</v>
      </c>
      <c r="L705" s="4" t="s">
        <v>1680</v>
      </c>
      <c r="M705" s="4" t="s">
        <v>23</v>
      </c>
      <c r="N705" s="4" t="s">
        <v>24</v>
      </c>
      <c r="O705" s="4">
        <v>3</v>
      </c>
      <c r="P705" s="7">
        <v>35380</v>
      </c>
      <c r="Q705" s="8">
        <v>0</v>
      </c>
      <c r="R705" s="7">
        <v>25430</v>
      </c>
      <c r="S705" s="7">
        <f>Table1_1[[#This Row],[Units Sold]]*Table1_1[[#This Row],[Unit Price]]*(1-Table1_1[[#This Row],[Discount %]])</f>
        <v>106140</v>
      </c>
      <c r="T705" s="7">
        <f>Table1_1[[#This Row],[Units Sold]]*Table1_1[[#This Row],[Unit Cost]]</f>
        <v>76290</v>
      </c>
      <c r="U705" s="7">
        <f>Table1_1[[#This Row],[Calculated sales]]-Table1_1[[#This Row],[Total cost]]</f>
        <v>29850</v>
      </c>
      <c r="V705" s="4">
        <f>IFERROR(Table1_1[[#This Row],[Profit/Loss]]/Table1_1[[#This Row],[Calculated sales]],0)</f>
        <v>0.28123233465234598</v>
      </c>
    </row>
    <row r="706" spans="1:22" x14ac:dyDescent="0.25">
      <c r="A706" s="4" t="s">
        <v>853</v>
      </c>
      <c r="B706" s="5">
        <v>45660</v>
      </c>
      <c r="C706" s="4">
        <f>YEAR(Table1_1[[#This Row],[Order Dates]])</f>
        <v>2025</v>
      </c>
      <c r="D706" s="6">
        <f>MONTH(Table1_1[[#This Row],[Order Dates]])</f>
        <v>1</v>
      </c>
      <c r="E706" s="4" t="s">
        <v>42</v>
      </c>
      <c r="F706" s="4" t="s">
        <v>123</v>
      </c>
      <c r="G706" s="4" t="s">
        <v>64</v>
      </c>
      <c r="H706" s="4" t="str">
        <f>TRIM(CLEAN(SUBSTITUTE(Table1_1[[#This Row],[Salesperson]],"   "," ")))</f>
        <v>Aditya Verma</v>
      </c>
      <c r="I706" s="4" t="s">
        <v>19</v>
      </c>
      <c r="J706" s="4" t="s">
        <v>46</v>
      </c>
      <c r="K706" s="4" t="s">
        <v>47</v>
      </c>
      <c r="L706" s="4" t="s">
        <v>259</v>
      </c>
      <c r="M706" s="4" t="s">
        <v>40</v>
      </c>
      <c r="N706" s="4" t="s">
        <v>119</v>
      </c>
      <c r="O706" s="4">
        <v>34</v>
      </c>
      <c r="P706" s="7">
        <v>2790</v>
      </c>
      <c r="Q706" s="8">
        <v>0.05</v>
      </c>
      <c r="R706" s="7">
        <v>1890</v>
      </c>
      <c r="S706" s="7">
        <f>Table1_1[[#This Row],[Units Sold]]*Table1_1[[#This Row],[Unit Price]]*(1-Table1_1[[#This Row],[Discount %]])</f>
        <v>90117</v>
      </c>
      <c r="T706" s="7">
        <f>Table1_1[[#This Row],[Units Sold]]*Table1_1[[#This Row],[Unit Cost]]</f>
        <v>64260</v>
      </c>
      <c r="U706" s="7">
        <f>Table1_1[[#This Row],[Calculated sales]]-Table1_1[[#This Row],[Total cost]]</f>
        <v>25857</v>
      </c>
      <c r="V706" s="4">
        <f>IFERROR(Table1_1[[#This Row],[Profit/Loss]]/Table1_1[[#This Row],[Calculated sales]],0)</f>
        <v>0.28692699490662138</v>
      </c>
    </row>
    <row r="707" spans="1:22" x14ac:dyDescent="0.25">
      <c r="A707" s="4" t="s">
        <v>854</v>
      </c>
      <c r="B707" s="5">
        <v>45660</v>
      </c>
      <c r="C707" s="4">
        <f>YEAR(Table1_1[[#This Row],[Order Dates]])</f>
        <v>2025</v>
      </c>
      <c r="D707" s="6">
        <f>MONTH(Table1_1[[#This Row],[Order Dates]])</f>
        <v>1</v>
      </c>
      <c r="E707" s="4" t="s">
        <v>56</v>
      </c>
      <c r="F707" s="4" t="s">
        <v>103</v>
      </c>
      <c r="G707" s="4" t="s">
        <v>91</v>
      </c>
      <c r="H707" s="4" t="str">
        <f>TRIM(CLEAN(SUBSTITUTE(Table1_1[[#This Row],[Salesperson]],"   "," ")))</f>
        <v>Anjali Menon</v>
      </c>
      <c r="I707" s="4" t="s">
        <v>19</v>
      </c>
      <c r="J707" s="4" t="s">
        <v>59</v>
      </c>
      <c r="K707" s="4" t="s">
        <v>69</v>
      </c>
      <c r="L707" s="4" t="s">
        <v>70</v>
      </c>
      <c r="M707" s="4" t="s">
        <v>23</v>
      </c>
      <c r="N707" s="4" t="s">
        <v>94</v>
      </c>
      <c r="O707" s="4">
        <v>7</v>
      </c>
      <c r="P707" s="7">
        <v>29290</v>
      </c>
      <c r="Q707" s="8">
        <v>0</v>
      </c>
      <c r="R707" s="7">
        <v>22740</v>
      </c>
      <c r="S707" s="7">
        <f>Table1_1[[#This Row],[Units Sold]]*Table1_1[[#This Row],[Unit Price]]*(1-Table1_1[[#This Row],[Discount %]])</f>
        <v>205030</v>
      </c>
      <c r="T707" s="7">
        <f>Table1_1[[#This Row],[Units Sold]]*Table1_1[[#This Row],[Unit Cost]]</f>
        <v>159180</v>
      </c>
      <c r="U707" s="7">
        <f>Table1_1[[#This Row],[Calculated sales]]-Table1_1[[#This Row],[Total cost]]</f>
        <v>45850</v>
      </c>
      <c r="V707" s="4">
        <f>IFERROR(Table1_1[[#This Row],[Profit/Loss]]/Table1_1[[#This Row],[Calculated sales]],0)</f>
        <v>0.22362581085694777</v>
      </c>
    </row>
    <row r="708" spans="1:22" x14ac:dyDescent="0.25">
      <c r="A708" s="4" t="s">
        <v>855</v>
      </c>
      <c r="B708" s="5">
        <v>45660</v>
      </c>
      <c r="C708" s="4">
        <f>YEAR(Table1_1[[#This Row],[Order Dates]])</f>
        <v>2025</v>
      </c>
      <c r="D708" s="6">
        <f>MONTH(Table1_1[[#This Row],[Order Dates]])</f>
        <v>1</v>
      </c>
      <c r="E708" s="4" t="s">
        <v>16</v>
      </c>
      <c r="F708" s="4" t="s">
        <v>31</v>
      </c>
      <c r="G708" s="4" t="s">
        <v>32</v>
      </c>
      <c r="H708" s="4" t="str">
        <f>TRIM(CLEAN(SUBSTITUTE(Table1_1[[#This Row],[Salesperson]],"   "," ")))</f>
        <v>Neha Deshpande</v>
      </c>
      <c r="I708" s="4" t="s">
        <v>92</v>
      </c>
      <c r="J708" s="4" t="s">
        <v>20</v>
      </c>
      <c r="K708" s="4" t="s">
        <v>87</v>
      </c>
      <c r="L708" s="4" t="s">
        <v>1674</v>
      </c>
      <c r="M708" s="4" t="s">
        <v>23</v>
      </c>
      <c r="N708" s="4" t="s">
        <v>24</v>
      </c>
      <c r="O708" s="4">
        <v>4</v>
      </c>
      <c r="P708" s="7">
        <v>53040</v>
      </c>
      <c r="Q708" s="8">
        <v>0.08</v>
      </c>
      <c r="R708" s="7">
        <v>39220</v>
      </c>
      <c r="S708" s="7">
        <f>Table1_1[[#This Row],[Units Sold]]*Table1_1[[#This Row],[Unit Price]]*(1-Table1_1[[#This Row],[Discount %]])</f>
        <v>195187.20000000001</v>
      </c>
      <c r="T708" s="7">
        <f>Table1_1[[#This Row],[Units Sold]]*Table1_1[[#This Row],[Unit Cost]]</f>
        <v>156880</v>
      </c>
      <c r="U708" s="7">
        <f>Table1_1[[#This Row],[Calculated sales]]-Table1_1[[#This Row],[Total cost]]</f>
        <v>38307.200000000012</v>
      </c>
      <c r="V708" s="4">
        <f>IFERROR(Table1_1[[#This Row],[Profit/Loss]]/Table1_1[[#This Row],[Calculated sales]],0)</f>
        <v>0.19625877106695525</v>
      </c>
    </row>
    <row r="709" spans="1:22" x14ac:dyDescent="0.25">
      <c r="A709" s="4" t="s">
        <v>856</v>
      </c>
      <c r="B709" s="5">
        <v>45660</v>
      </c>
      <c r="C709" s="4">
        <f>YEAR(Table1_1[[#This Row],[Order Dates]])</f>
        <v>2025</v>
      </c>
      <c r="D709" s="6">
        <f>MONTH(Table1_1[[#This Row],[Order Dates]])</f>
        <v>1</v>
      </c>
      <c r="E709" s="4" t="s">
        <v>76</v>
      </c>
      <c r="F709" s="4" t="s">
        <v>217</v>
      </c>
      <c r="G709" s="4" t="s">
        <v>78</v>
      </c>
      <c r="H709" s="4" t="str">
        <f>TRIM(CLEAN(SUBSTITUTE(Table1_1[[#This Row],[Salesperson]],"   "," ")))</f>
        <v>Pooja Chouhan</v>
      </c>
      <c r="I709" s="4" t="s">
        <v>19</v>
      </c>
      <c r="J709" s="4" t="s">
        <v>46</v>
      </c>
      <c r="K709" s="4" t="s">
        <v>47</v>
      </c>
      <c r="L709" s="4" t="s">
        <v>259</v>
      </c>
      <c r="M709" s="4" t="s">
        <v>23</v>
      </c>
      <c r="N709" s="4" t="s">
        <v>24</v>
      </c>
      <c r="O709" s="4">
        <v>22</v>
      </c>
      <c r="P709" s="7">
        <v>2870</v>
      </c>
      <c r="Q709" s="8">
        <v>0.1</v>
      </c>
      <c r="R709" s="7">
        <v>1770</v>
      </c>
      <c r="S709" s="7">
        <f>Table1_1[[#This Row],[Units Sold]]*Table1_1[[#This Row],[Unit Price]]*(1-Table1_1[[#This Row],[Discount %]])</f>
        <v>56826</v>
      </c>
      <c r="T709" s="7">
        <f>Table1_1[[#This Row],[Units Sold]]*Table1_1[[#This Row],[Unit Cost]]</f>
        <v>38940</v>
      </c>
      <c r="U709" s="7">
        <f>Table1_1[[#This Row],[Calculated sales]]-Table1_1[[#This Row],[Total cost]]</f>
        <v>17886</v>
      </c>
      <c r="V709" s="4">
        <f>IFERROR(Table1_1[[#This Row],[Profit/Loss]]/Table1_1[[#This Row],[Calculated sales]],0)</f>
        <v>0.31475029036004648</v>
      </c>
    </row>
    <row r="710" spans="1:22" x14ac:dyDescent="0.25">
      <c r="A710" s="4" t="s">
        <v>857</v>
      </c>
      <c r="B710" s="5">
        <v>45660</v>
      </c>
      <c r="C710" s="4">
        <f>YEAR(Table1_1[[#This Row],[Order Dates]])</f>
        <v>2025</v>
      </c>
      <c r="D710" s="6">
        <f>MONTH(Table1_1[[#This Row],[Order Dates]])</f>
        <v>1</v>
      </c>
      <c r="E710" s="4" t="s">
        <v>56</v>
      </c>
      <c r="F710" s="4" t="s">
        <v>57</v>
      </c>
      <c r="G710" s="4" t="s">
        <v>58</v>
      </c>
      <c r="H710" s="4" t="str">
        <f>TRIM(CLEAN(SUBSTITUTE(Table1_1[[#This Row],[Salesperson]],"   "," ")))</f>
        <v>Karthik Raman</v>
      </c>
      <c r="I710" s="4" t="s">
        <v>19</v>
      </c>
      <c r="J710" s="4" t="s">
        <v>46</v>
      </c>
      <c r="K710" s="4" t="s">
        <v>100</v>
      </c>
      <c r="L710" s="4" t="s">
        <v>177</v>
      </c>
      <c r="M710" s="4" t="s">
        <v>40</v>
      </c>
      <c r="N710" s="4" t="s">
        <v>24</v>
      </c>
      <c r="O710" s="4">
        <v>9</v>
      </c>
      <c r="P710" s="7">
        <v>2610</v>
      </c>
      <c r="Q710" s="8">
        <v>0.1</v>
      </c>
      <c r="R710" s="7">
        <v>1730</v>
      </c>
      <c r="S710" s="7">
        <f>Table1_1[[#This Row],[Units Sold]]*Table1_1[[#This Row],[Unit Price]]*(1-Table1_1[[#This Row],[Discount %]])</f>
        <v>21141</v>
      </c>
      <c r="T710" s="7">
        <f>Table1_1[[#This Row],[Units Sold]]*Table1_1[[#This Row],[Unit Cost]]</f>
        <v>15570</v>
      </c>
      <c r="U710" s="7">
        <f>Table1_1[[#This Row],[Calculated sales]]-Table1_1[[#This Row],[Total cost]]</f>
        <v>5571</v>
      </c>
      <c r="V710" s="4">
        <f>IFERROR(Table1_1[[#This Row],[Profit/Loss]]/Table1_1[[#This Row],[Calculated sales]],0)</f>
        <v>0.26351638995317156</v>
      </c>
    </row>
    <row r="711" spans="1:22" x14ac:dyDescent="0.25">
      <c r="A711" s="4" t="s">
        <v>858</v>
      </c>
      <c r="B711" s="5">
        <v>45661</v>
      </c>
      <c r="C711" s="4">
        <f>YEAR(Table1_1[[#This Row],[Order Dates]])</f>
        <v>2025</v>
      </c>
      <c r="D711" s="6">
        <f>MONTH(Table1_1[[#This Row],[Order Dates]])</f>
        <v>1</v>
      </c>
      <c r="E711" s="4" t="s">
        <v>76</v>
      </c>
      <c r="F711" s="4" t="s">
        <v>112</v>
      </c>
      <c r="G711" s="4" t="s">
        <v>78</v>
      </c>
      <c r="H711" s="4" t="str">
        <f>TRIM(CLEAN(SUBSTITUTE(Table1_1[[#This Row],[Salesperson]],"   "," ")))</f>
        <v>Pooja Chouhan</v>
      </c>
      <c r="I711" s="4" t="s">
        <v>92</v>
      </c>
      <c r="J711" s="4" t="s">
        <v>27</v>
      </c>
      <c r="K711" s="4" t="s">
        <v>214</v>
      </c>
      <c r="L711" s="4" t="s">
        <v>1681</v>
      </c>
      <c r="M711" s="4" t="s">
        <v>49</v>
      </c>
      <c r="N711" s="4" t="s">
        <v>24</v>
      </c>
      <c r="O711" s="4">
        <v>12</v>
      </c>
      <c r="P711" s="7">
        <v>13530</v>
      </c>
      <c r="Q711" s="8">
        <v>0.05</v>
      </c>
      <c r="R711" s="7">
        <v>8660</v>
      </c>
      <c r="S711" s="7">
        <f>Table1_1[[#This Row],[Units Sold]]*Table1_1[[#This Row],[Unit Price]]*(1-Table1_1[[#This Row],[Discount %]])</f>
        <v>154242</v>
      </c>
      <c r="T711" s="7">
        <f>Table1_1[[#This Row],[Units Sold]]*Table1_1[[#This Row],[Unit Cost]]</f>
        <v>103920</v>
      </c>
      <c r="U711" s="7">
        <f>Table1_1[[#This Row],[Calculated sales]]-Table1_1[[#This Row],[Total cost]]</f>
        <v>50322</v>
      </c>
      <c r="V711" s="4">
        <f>IFERROR(Table1_1[[#This Row],[Profit/Loss]]/Table1_1[[#This Row],[Calculated sales]],0)</f>
        <v>0.32625354961683589</v>
      </c>
    </row>
    <row r="712" spans="1:22" x14ac:dyDescent="0.25">
      <c r="A712" s="4" t="s">
        <v>859</v>
      </c>
      <c r="B712" s="5">
        <v>45661</v>
      </c>
      <c r="C712" s="4">
        <f>YEAR(Table1_1[[#This Row],[Order Dates]])</f>
        <v>2025</v>
      </c>
      <c r="D712" s="6">
        <f>MONTH(Table1_1[[#This Row],[Order Dates]])</f>
        <v>1</v>
      </c>
      <c r="E712" s="4" t="s">
        <v>76</v>
      </c>
      <c r="F712" s="4" t="s">
        <v>112</v>
      </c>
      <c r="G712" s="4" t="s">
        <v>78</v>
      </c>
      <c r="H712" s="4" t="str">
        <f>TRIM(CLEAN(SUBSTITUTE(Table1_1[[#This Row],[Salesperson]],"   "," ")))</f>
        <v>Pooja Chouhan</v>
      </c>
      <c r="I712" s="4" t="s">
        <v>52</v>
      </c>
      <c r="J712" s="4" t="s">
        <v>46</v>
      </c>
      <c r="K712" s="4" t="s">
        <v>179</v>
      </c>
      <c r="L712" s="4" t="s">
        <v>180</v>
      </c>
      <c r="M712" s="4" t="s">
        <v>23</v>
      </c>
      <c r="N712" s="4" t="s">
        <v>24</v>
      </c>
      <c r="O712" s="4">
        <v>6</v>
      </c>
      <c r="P712" s="7">
        <v>3620</v>
      </c>
      <c r="Q712" s="8">
        <v>0.08</v>
      </c>
      <c r="R712" s="7">
        <v>2230</v>
      </c>
      <c r="S712" s="7">
        <f>Table1_1[[#This Row],[Units Sold]]*Table1_1[[#This Row],[Unit Price]]*(1-Table1_1[[#This Row],[Discount %]])</f>
        <v>19982.400000000001</v>
      </c>
      <c r="T712" s="7">
        <f>Table1_1[[#This Row],[Units Sold]]*Table1_1[[#This Row],[Unit Cost]]</f>
        <v>13380</v>
      </c>
      <c r="U712" s="7">
        <f>Table1_1[[#This Row],[Calculated sales]]-Table1_1[[#This Row],[Total cost]]</f>
        <v>6602.4000000000015</v>
      </c>
      <c r="V712" s="4">
        <f>IFERROR(Table1_1[[#This Row],[Profit/Loss]]/Table1_1[[#This Row],[Calculated sales]],0)</f>
        <v>0.33041076147009374</v>
      </c>
    </row>
    <row r="713" spans="1:22" x14ac:dyDescent="0.25">
      <c r="A713" s="4" t="s">
        <v>860</v>
      </c>
      <c r="B713" s="5">
        <v>45661</v>
      </c>
      <c r="C713" s="4">
        <f>YEAR(Table1_1[[#This Row],[Order Dates]])</f>
        <v>2025</v>
      </c>
      <c r="D713" s="6">
        <f>MONTH(Table1_1[[#This Row],[Order Dates]])</f>
        <v>1</v>
      </c>
      <c r="E713" s="4" t="s">
        <v>42</v>
      </c>
      <c r="F713" s="4" t="s">
        <v>96</v>
      </c>
      <c r="G713" s="4" t="s">
        <v>44</v>
      </c>
      <c r="H713" s="4" t="str">
        <f>TRIM(CLEAN(SUBSTITUTE(Table1_1[[#This Row],[Salesperson]],"   "," ")))</f>
        <v>Simran Kaur</v>
      </c>
      <c r="I713" s="4" t="s">
        <v>19</v>
      </c>
      <c r="J713" s="4" t="s">
        <v>27</v>
      </c>
      <c r="K713" s="4" t="s">
        <v>53</v>
      </c>
      <c r="L713" s="4" t="s">
        <v>1676</v>
      </c>
      <c r="M713" s="4" t="s">
        <v>49</v>
      </c>
      <c r="N713" s="4" t="s">
        <v>24</v>
      </c>
      <c r="O713" s="4">
        <v>1</v>
      </c>
      <c r="P713" s="7">
        <v>36630</v>
      </c>
      <c r="Q713" s="8">
        <v>0.05</v>
      </c>
      <c r="R713" s="7">
        <v>21110</v>
      </c>
      <c r="S713" s="7">
        <f>Table1_1[[#This Row],[Units Sold]]*Table1_1[[#This Row],[Unit Price]]*(1-Table1_1[[#This Row],[Discount %]])</f>
        <v>34798.5</v>
      </c>
      <c r="T713" s="7">
        <f>Table1_1[[#This Row],[Units Sold]]*Table1_1[[#This Row],[Unit Cost]]</f>
        <v>21110</v>
      </c>
      <c r="U713" s="7">
        <f>Table1_1[[#This Row],[Calculated sales]]-Table1_1[[#This Row],[Total cost]]</f>
        <v>13688.5</v>
      </c>
      <c r="V713" s="4">
        <f>IFERROR(Table1_1[[#This Row],[Profit/Loss]]/Table1_1[[#This Row],[Calculated sales]],0)</f>
        <v>0.39336465652255126</v>
      </c>
    </row>
    <row r="714" spans="1:22" x14ac:dyDescent="0.25">
      <c r="A714" s="4" t="s">
        <v>861</v>
      </c>
      <c r="B714" s="5">
        <v>45661</v>
      </c>
      <c r="C714" s="4">
        <f>YEAR(Table1_1[[#This Row],[Order Dates]])</f>
        <v>2025</v>
      </c>
      <c r="D714" s="6">
        <f>MONTH(Table1_1[[#This Row],[Order Dates]])</f>
        <v>1</v>
      </c>
      <c r="E714" s="4" t="s">
        <v>56</v>
      </c>
      <c r="F714" s="4" t="s">
        <v>103</v>
      </c>
      <c r="G714" s="4" t="s">
        <v>134</v>
      </c>
      <c r="H714" s="4" t="str">
        <f>TRIM(CLEAN(SUBSTITUTE(Table1_1[[#This Row],[Salesperson]],"   "," ")))</f>
        <v>Divya Nair</v>
      </c>
      <c r="I714" s="4" t="s">
        <v>19</v>
      </c>
      <c r="J714" s="4" t="s">
        <v>20</v>
      </c>
      <c r="K714" s="4" t="s">
        <v>33</v>
      </c>
      <c r="L714" s="4" t="s">
        <v>34</v>
      </c>
      <c r="M714" s="4" t="s">
        <v>40</v>
      </c>
      <c r="N714" s="4" t="s">
        <v>24</v>
      </c>
      <c r="O714" s="4">
        <v>3</v>
      </c>
      <c r="P714" s="7">
        <v>55230</v>
      </c>
      <c r="Q714" s="8">
        <v>0.08</v>
      </c>
      <c r="R714" s="7">
        <v>33580</v>
      </c>
      <c r="S714" s="7">
        <f>Table1_1[[#This Row],[Units Sold]]*Table1_1[[#This Row],[Unit Price]]*(1-Table1_1[[#This Row],[Discount %]])</f>
        <v>152434.80000000002</v>
      </c>
      <c r="T714" s="7">
        <f>Table1_1[[#This Row],[Units Sold]]*Table1_1[[#This Row],[Unit Cost]]</f>
        <v>100740</v>
      </c>
      <c r="U714" s="7">
        <f>Table1_1[[#This Row],[Calculated sales]]-Table1_1[[#This Row],[Total cost]]</f>
        <v>51694.800000000017</v>
      </c>
      <c r="V714" s="4">
        <f>IFERROR(Table1_1[[#This Row],[Profit/Loss]]/Table1_1[[#This Row],[Calculated sales]],0)</f>
        <v>0.3391272858953468</v>
      </c>
    </row>
    <row r="715" spans="1:22" x14ac:dyDescent="0.25">
      <c r="A715" s="4" t="s">
        <v>862</v>
      </c>
      <c r="B715" s="5">
        <v>45662</v>
      </c>
      <c r="C715" s="4">
        <f>YEAR(Table1_1[[#This Row],[Order Dates]])</f>
        <v>2025</v>
      </c>
      <c r="D715" s="6">
        <f>MONTH(Table1_1[[#This Row],[Order Dates]])</f>
        <v>1</v>
      </c>
      <c r="E715" s="4" t="s">
        <v>42</v>
      </c>
      <c r="F715" s="4" t="s">
        <v>130</v>
      </c>
      <c r="G715" s="4" t="s">
        <v>64</v>
      </c>
      <c r="H715" s="4" t="str">
        <f>TRIM(CLEAN(SUBSTITUTE(Table1_1[[#This Row],[Salesperson]],"   "," ")))</f>
        <v>Aditya Verma</v>
      </c>
      <c r="I715" s="4" t="s">
        <v>52</v>
      </c>
      <c r="J715" s="4" t="s">
        <v>83</v>
      </c>
      <c r="K715" s="4" t="s">
        <v>84</v>
      </c>
      <c r="L715" s="4" t="s">
        <v>1671</v>
      </c>
      <c r="M715" s="4" t="s">
        <v>49</v>
      </c>
      <c r="N715" s="4" t="s">
        <v>24</v>
      </c>
      <c r="O715" s="4">
        <v>15</v>
      </c>
      <c r="P715" s="7">
        <v>2540</v>
      </c>
      <c r="Q715" s="8">
        <v>0.18</v>
      </c>
      <c r="R715" s="7">
        <v>1810</v>
      </c>
      <c r="S715" s="7">
        <f>Table1_1[[#This Row],[Units Sold]]*Table1_1[[#This Row],[Unit Price]]*(1-Table1_1[[#This Row],[Discount %]])</f>
        <v>31242.000000000004</v>
      </c>
      <c r="T715" s="7">
        <f>Table1_1[[#This Row],[Units Sold]]*Table1_1[[#This Row],[Unit Cost]]</f>
        <v>27150</v>
      </c>
      <c r="U715" s="7">
        <f>Table1_1[[#This Row],[Calculated sales]]-Table1_1[[#This Row],[Total cost]]</f>
        <v>4092.0000000000036</v>
      </c>
      <c r="V715" s="4">
        <f>IFERROR(Table1_1[[#This Row],[Profit/Loss]]/Table1_1[[#This Row],[Calculated sales]],0)</f>
        <v>0.13097753024774353</v>
      </c>
    </row>
    <row r="716" spans="1:22" x14ac:dyDescent="0.25">
      <c r="A716" s="4" t="s">
        <v>863</v>
      </c>
      <c r="B716" s="5">
        <v>45662</v>
      </c>
      <c r="C716" s="4">
        <f>YEAR(Table1_1[[#This Row],[Order Dates]])</f>
        <v>2025</v>
      </c>
      <c r="D716" s="6">
        <f>MONTH(Table1_1[[#This Row],[Order Dates]])</f>
        <v>1</v>
      </c>
      <c r="E716" s="4" t="s">
        <v>42</v>
      </c>
      <c r="F716" s="4" t="s">
        <v>43</v>
      </c>
      <c r="G716" s="4" t="s">
        <v>64</v>
      </c>
      <c r="H716" s="4" t="str">
        <f>TRIM(CLEAN(SUBSTITUTE(Table1_1[[#This Row],[Salesperson]],"   "," ")))</f>
        <v>Aditya Verma</v>
      </c>
      <c r="I716" s="4" t="s">
        <v>92</v>
      </c>
      <c r="J716" s="4" t="s">
        <v>46</v>
      </c>
      <c r="K716" s="4" t="s">
        <v>47</v>
      </c>
      <c r="L716" s="4" t="s">
        <v>1673</v>
      </c>
      <c r="M716" s="4" t="s">
        <v>40</v>
      </c>
      <c r="N716" s="4" t="s">
        <v>119</v>
      </c>
      <c r="O716" s="4">
        <v>42</v>
      </c>
      <c r="P716" s="7">
        <v>1230</v>
      </c>
      <c r="Q716" s="8">
        <v>0.2</v>
      </c>
      <c r="R716" s="7">
        <v>830</v>
      </c>
      <c r="S716" s="7">
        <f>Table1_1[[#This Row],[Units Sold]]*Table1_1[[#This Row],[Unit Price]]*(1-Table1_1[[#This Row],[Discount %]])</f>
        <v>41328</v>
      </c>
      <c r="T716" s="7">
        <f>Table1_1[[#This Row],[Units Sold]]*Table1_1[[#This Row],[Unit Cost]]</f>
        <v>34860</v>
      </c>
      <c r="U716" s="7">
        <f>Table1_1[[#This Row],[Calculated sales]]-Table1_1[[#This Row],[Total cost]]</f>
        <v>6468</v>
      </c>
      <c r="V716" s="4">
        <f>IFERROR(Table1_1[[#This Row],[Profit/Loss]]/Table1_1[[#This Row],[Calculated sales]],0)</f>
        <v>0.1565040650406504</v>
      </c>
    </row>
    <row r="717" spans="1:22" x14ac:dyDescent="0.25">
      <c r="A717" s="4" t="s">
        <v>864</v>
      </c>
      <c r="B717" s="5">
        <v>45662</v>
      </c>
      <c r="C717" s="4">
        <f>YEAR(Table1_1[[#This Row],[Order Dates]])</f>
        <v>2025</v>
      </c>
      <c r="D717" s="6">
        <f>MONTH(Table1_1[[#This Row],[Order Dates]])</f>
        <v>1</v>
      </c>
      <c r="E717" s="4" t="s">
        <v>56</v>
      </c>
      <c r="F717" s="4" t="s">
        <v>57</v>
      </c>
      <c r="G717" s="4" t="s">
        <v>134</v>
      </c>
      <c r="H717" s="4" t="str">
        <f>TRIM(CLEAN(SUBSTITUTE(Table1_1[[#This Row],[Salesperson]],"   "," ")))</f>
        <v>Divya Nair</v>
      </c>
      <c r="I717" s="4" t="s">
        <v>92</v>
      </c>
      <c r="J717" s="4" t="s">
        <v>20</v>
      </c>
      <c r="K717" s="4" t="s">
        <v>87</v>
      </c>
      <c r="L717" s="4" t="s">
        <v>1672</v>
      </c>
      <c r="M717" s="4" t="s">
        <v>23</v>
      </c>
      <c r="N717" s="4" t="s">
        <v>24</v>
      </c>
      <c r="O717" s="4">
        <v>8</v>
      </c>
      <c r="P717" s="7">
        <v>33790</v>
      </c>
      <c r="Q717" s="8">
        <v>0.08</v>
      </c>
      <c r="R717" s="7">
        <v>21130</v>
      </c>
      <c r="S717" s="7">
        <f>Table1_1[[#This Row],[Units Sold]]*Table1_1[[#This Row],[Unit Price]]*(1-Table1_1[[#This Row],[Discount %]])</f>
        <v>248694.40000000002</v>
      </c>
      <c r="T717" s="7">
        <f>Table1_1[[#This Row],[Units Sold]]*Table1_1[[#This Row],[Unit Cost]]</f>
        <v>169040</v>
      </c>
      <c r="U717" s="7">
        <f>Table1_1[[#This Row],[Calculated sales]]-Table1_1[[#This Row],[Total cost]]</f>
        <v>79654.400000000023</v>
      </c>
      <c r="V717" s="4">
        <f>IFERROR(Table1_1[[#This Row],[Profit/Loss]]/Table1_1[[#This Row],[Calculated sales]],0)</f>
        <v>0.32029028397905229</v>
      </c>
    </row>
    <row r="718" spans="1:22" x14ac:dyDescent="0.25">
      <c r="A718" s="4" t="s">
        <v>865</v>
      </c>
      <c r="B718" s="5">
        <v>45662</v>
      </c>
      <c r="C718" s="4">
        <f>YEAR(Table1_1[[#This Row],[Order Dates]])</f>
        <v>2025</v>
      </c>
      <c r="D718" s="6">
        <f>MONTH(Table1_1[[#This Row],[Order Dates]])</f>
        <v>1</v>
      </c>
      <c r="E718" s="4" t="s">
        <v>56</v>
      </c>
      <c r="F718" s="4" t="s">
        <v>127</v>
      </c>
      <c r="G718" s="4" t="s">
        <v>134</v>
      </c>
      <c r="H718" s="4" t="str">
        <f>TRIM(CLEAN(SUBSTITUTE(Table1_1[[#This Row],[Salesperson]],"   "," ")))</f>
        <v>Divya Nair</v>
      </c>
      <c r="I718" s="4" t="s">
        <v>19</v>
      </c>
      <c r="J718" s="4" t="s">
        <v>46</v>
      </c>
      <c r="K718" s="4" t="s">
        <v>100</v>
      </c>
      <c r="L718" s="4" t="s">
        <v>177</v>
      </c>
      <c r="M718" s="4" t="s">
        <v>40</v>
      </c>
      <c r="N718" s="4" t="s">
        <v>24</v>
      </c>
      <c r="O718" s="4">
        <v>5</v>
      </c>
      <c r="P718" s="7">
        <v>2530</v>
      </c>
      <c r="Q718" s="8">
        <v>0.05</v>
      </c>
      <c r="R718" s="7">
        <v>1960</v>
      </c>
      <c r="S718" s="7">
        <f>Table1_1[[#This Row],[Units Sold]]*Table1_1[[#This Row],[Unit Price]]*(1-Table1_1[[#This Row],[Discount %]])</f>
        <v>12017.5</v>
      </c>
      <c r="T718" s="7">
        <f>Table1_1[[#This Row],[Units Sold]]*Table1_1[[#This Row],[Unit Cost]]</f>
        <v>9800</v>
      </c>
      <c r="U718" s="7">
        <f>Table1_1[[#This Row],[Calculated sales]]-Table1_1[[#This Row],[Total cost]]</f>
        <v>2217.5</v>
      </c>
      <c r="V718" s="4">
        <f>IFERROR(Table1_1[[#This Row],[Profit/Loss]]/Table1_1[[#This Row],[Calculated sales]],0)</f>
        <v>0.18452257125026003</v>
      </c>
    </row>
    <row r="719" spans="1:22" x14ac:dyDescent="0.25">
      <c r="A719" s="4" t="s">
        <v>866</v>
      </c>
      <c r="B719" s="5">
        <v>45663</v>
      </c>
      <c r="C719" s="4">
        <f>YEAR(Table1_1[[#This Row],[Order Dates]])</f>
        <v>2025</v>
      </c>
      <c r="D719" s="6">
        <f>MONTH(Table1_1[[#This Row],[Order Dates]])</f>
        <v>1</v>
      </c>
      <c r="E719" s="4" t="s">
        <v>56</v>
      </c>
      <c r="F719" s="4" t="s">
        <v>103</v>
      </c>
      <c r="G719" s="4" t="s">
        <v>91</v>
      </c>
      <c r="H719" s="4" t="str">
        <f>TRIM(CLEAN(SUBSTITUTE(Table1_1[[#This Row],[Salesperson]],"   "," ")))</f>
        <v>Anjali Menon</v>
      </c>
      <c r="I719" s="4" t="s">
        <v>19</v>
      </c>
      <c r="J719" s="4" t="s">
        <v>20</v>
      </c>
      <c r="K719" s="4" t="s">
        <v>109</v>
      </c>
      <c r="L719" s="4" t="s">
        <v>171</v>
      </c>
      <c r="M719" s="4" t="s">
        <v>49</v>
      </c>
      <c r="N719" s="4" t="s">
        <v>24</v>
      </c>
      <c r="O719" s="4">
        <v>1</v>
      </c>
      <c r="P719" s="7">
        <v>22600</v>
      </c>
      <c r="Q719" s="8">
        <v>0.08</v>
      </c>
      <c r="R719" s="7">
        <v>14090</v>
      </c>
      <c r="S719" s="7">
        <f>Table1_1[[#This Row],[Units Sold]]*Table1_1[[#This Row],[Unit Price]]*(1-Table1_1[[#This Row],[Discount %]])</f>
        <v>20792</v>
      </c>
      <c r="T719" s="7">
        <f>Table1_1[[#This Row],[Units Sold]]*Table1_1[[#This Row],[Unit Cost]]</f>
        <v>14090</v>
      </c>
      <c r="U719" s="7">
        <f>Table1_1[[#This Row],[Calculated sales]]-Table1_1[[#This Row],[Total cost]]</f>
        <v>6702</v>
      </c>
      <c r="V719" s="4">
        <f>IFERROR(Table1_1[[#This Row],[Profit/Loss]]/Table1_1[[#This Row],[Calculated sales]],0)</f>
        <v>0.32233551365909963</v>
      </c>
    </row>
    <row r="720" spans="1:22" x14ac:dyDescent="0.25">
      <c r="A720" s="4" t="s">
        <v>867</v>
      </c>
      <c r="B720" s="5">
        <v>45663</v>
      </c>
      <c r="C720" s="4">
        <f>YEAR(Table1_1[[#This Row],[Order Dates]])</f>
        <v>2025</v>
      </c>
      <c r="D720" s="6">
        <f>MONTH(Table1_1[[#This Row],[Order Dates]])</f>
        <v>1</v>
      </c>
      <c r="E720" s="4" t="s">
        <v>16</v>
      </c>
      <c r="F720" s="4" t="s">
        <v>51</v>
      </c>
      <c r="G720" s="4" t="s">
        <v>32</v>
      </c>
      <c r="H720" s="4" t="str">
        <f>TRIM(CLEAN(SUBSTITUTE(Table1_1[[#This Row],[Salesperson]],"   "," ")))</f>
        <v>Neha Deshpande</v>
      </c>
      <c r="I720" s="4" t="s">
        <v>19</v>
      </c>
      <c r="J720" s="4" t="s">
        <v>83</v>
      </c>
      <c r="K720" s="4" t="s">
        <v>184</v>
      </c>
      <c r="L720" s="4" t="s">
        <v>196</v>
      </c>
      <c r="M720" s="4" t="s">
        <v>23</v>
      </c>
      <c r="N720" s="4" t="s">
        <v>24</v>
      </c>
      <c r="O720" s="4">
        <v>15</v>
      </c>
      <c r="P720" s="7">
        <v>3050</v>
      </c>
      <c r="Q720" s="8">
        <v>0.2</v>
      </c>
      <c r="R720" s="7">
        <v>1980</v>
      </c>
      <c r="S720" s="7">
        <f>Table1_1[[#This Row],[Units Sold]]*Table1_1[[#This Row],[Unit Price]]*(1-Table1_1[[#This Row],[Discount %]])</f>
        <v>36600</v>
      </c>
      <c r="T720" s="7">
        <f>Table1_1[[#This Row],[Units Sold]]*Table1_1[[#This Row],[Unit Cost]]</f>
        <v>29700</v>
      </c>
      <c r="U720" s="7">
        <f>Table1_1[[#This Row],[Calculated sales]]-Table1_1[[#This Row],[Total cost]]</f>
        <v>6900</v>
      </c>
      <c r="V720" s="4">
        <f>IFERROR(Table1_1[[#This Row],[Profit/Loss]]/Table1_1[[#This Row],[Calculated sales]],0)</f>
        <v>0.18852459016393441</v>
      </c>
    </row>
    <row r="721" spans="1:22" x14ac:dyDescent="0.25">
      <c r="A721" s="4" t="s">
        <v>868</v>
      </c>
      <c r="B721" s="5">
        <v>45663</v>
      </c>
      <c r="C721" s="4">
        <f>YEAR(Table1_1[[#This Row],[Order Dates]])</f>
        <v>2025</v>
      </c>
      <c r="D721" s="6">
        <f>MONTH(Table1_1[[#This Row],[Order Dates]])</f>
        <v>1</v>
      </c>
      <c r="E721" s="4" t="s">
        <v>16</v>
      </c>
      <c r="F721" s="4" t="s">
        <v>82</v>
      </c>
      <c r="G721" s="4" t="s">
        <v>18</v>
      </c>
      <c r="H721" s="4" t="str">
        <f>TRIM(CLEAN(SUBSTITUTE(Table1_1[[#This Row],[Salesperson]],"   "," ")))</f>
        <v>Imran Sheikh</v>
      </c>
      <c r="I721" s="4" t="s">
        <v>19</v>
      </c>
      <c r="J721" s="4" t="s">
        <v>27</v>
      </c>
      <c r="K721" s="4" t="s">
        <v>28</v>
      </c>
      <c r="L721" s="4" t="s">
        <v>141</v>
      </c>
      <c r="M721" s="4" t="s">
        <v>40</v>
      </c>
      <c r="N721" s="4" t="s">
        <v>24</v>
      </c>
      <c r="O721" s="4">
        <v>1</v>
      </c>
      <c r="P721" s="7">
        <v>15540</v>
      </c>
      <c r="Q721" s="8">
        <v>0.1</v>
      </c>
      <c r="R721" s="7">
        <v>9800</v>
      </c>
      <c r="S721" s="7">
        <f>Table1_1[[#This Row],[Units Sold]]*Table1_1[[#This Row],[Unit Price]]*(1-Table1_1[[#This Row],[Discount %]])</f>
        <v>13986</v>
      </c>
      <c r="T721" s="7">
        <f>Table1_1[[#This Row],[Units Sold]]*Table1_1[[#This Row],[Unit Cost]]</f>
        <v>9800</v>
      </c>
      <c r="U721" s="7">
        <f>Table1_1[[#This Row],[Calculated sales]]-Table1_1[[#This Row],[Total cost]]</f>
        <v>4186</v>
      </c>
      <c r="V721" s="4">
        <f>IFERROR(Table1_1[[#This Row],[Profit/Loss]]/Table1_1[[#This Row],[Calculated sales]],0)</f>
        <v>0.29929929929929933</v>
      </c>
    </row>
    <row r="722" spans="1:22" x14ac:dyDescent="0.25">
      <c r="A722" s="4" t="s">
        <v>869</v>
      </c>
      <c r="B722" s="5">
        <v>45663</v>
      </c>
      <c r="C722" s="4">
        <f>YEAR(Table1_1[[#This Row],[Order Dates]])</f>
        <v>2025</v>
      </c>
      <c r="D722" s="6">
        <f>MONTH(Table1_1[[#This Row],[Order Dates]])</f>
        <v>1</v>
      </c>
      <c r="E722" s="4" t="s">
        <v>16</v>
      </c>
      <c r="F722" s="4" t="s">
        <v>31</v>
      </c>
      <c r="G722" s="4" t="s">
        <v>32</v>
      </c>
      <c r="H722" s="4" t="str">
        <f>TRIM(CLEAN(SUBSTITUTE(Table1_1[[#This Row],[Salesperson]],"   "," ")))</f>
        <v>Neha Deshpande</v>
      </c>
      <c r="I722" s="4" t="s">
        <v>52</v>
      </c>
      <c r="J722" s="4" t="s">
        <v>83</v>
      </c>
      <c r="K722" s="4" t="s">
        <v>184</v>
      </c>
      <c r="L722" s="4" t="s">
        <v>1679</v>
      </c>
      <c r="M722" s="4" t="s">
        <v>23</v>
      </c>
      <c r="N722" s="4" t="s">
        <v>24</v>
      </c>
      <c r="O722" s="4">
        <v>6</v>
      </c>
      <c r="P722" s="7">
        <v>4450</v>
      </c>
      <c r="Q722" s="8">
        <v>0</v>
      </c>
      <c r="R722" s="7">
        <v>2580</v>
      </c>
      <c r="S722" s="7">
        <f>Table1_1[[#This Row],[Units Sold]]*Table1_1[[#This Row],[Unit Price]]*(1-Table1_1[[#This Row],[Discount %]])</f>
        <v>26700</v>
      </c>
      <c r="T722" s="7">
        <f>Table1_1[[#This Row],[Units Sold]]*Table1_1[[#This Row],[Unit Cost]]</f>
        <v>15480</v>
      </c>
      <c r="U722" s="7">
        <f>Table1_1[[#This Row],[Calculated sales]]-Table1_1[[#This Row],[Total cost]]</f>
        <v>11220</v>
      </c>
      <c r="V722" s="4">
        <f>IFERROR(Table1_1[[#This Row],[Profit/Loss]]/Table1_1[[#This Row],[Calculated sales]],0)</f>
        <v>0.42022471910112358</v>
      </c>
    </row>
    <row r="723" spans="1:22" x14ac:dyDescent="0.25">
      <c r="A723" s="4" t="s">
        <v>870</v>
      </c>
      <c r="B723" s="5">
        <v>45666</v>
      </c>
      <c r="C723" s="4">
        <f>YEAR(Table1_1[[#This Row],[Order Dates]])</f>
        <v>2025</v>
      </c>
      <c r="D723" s="6">
        <f>MONTH(Table1_1[[#This Row],[Order Dates]])</f>
        <v>1</v>
      </c>
      <c r="E723" s="4" t="s">
        <v>16</v>
      </c>
      <c r="F723" s="4" t="s">
        <v>82</v>
      </c>
      <c r="G723" s="4" t="s">
        <v>26</v>
      </c>
      <c r="H723" s="4" t="str">
        <f>TRIM(CLEAN(SUBSTITUTE(Table1_1[[#This Row],[Salesperson]],"   "," ")))</f>
        <v>Prateek Shah</v>
      </c>
      <c r="I723" s="4" t="s">
        <v>52</v>
      </c>
      <c r="J723" s="4" t="s">
        <v>20</v>
      </c>
      <c r="K723" s="4" t="s">
        <v>87</v>
      </c>
      <c r="L723" s="4" t="s">
        <v>1674</v>
      </c>
      <c r="M723" s="4" t="s">
        <v>23</v>
      </c>
      <c r="N723" s="4" t="s">
        <v>24</v>
      </c>
      <c r="O723" s="4">
        <v>4</v>
      </c>
      <c r="P723" s="7">
        <v>55190</v>
      </c>
      <c r="Q723" s="8">
        <v>0</v>
      </c>
      <c r="R723" s="7">
        <v>41300</v>
      </c>
      <c r="S723" s="7">
        <f>Table1_1[[#This Row],[Units Sold]]*Table1_1[[#This Row],[Unit Price]]*(1-Table1_1[[#This Row],[Discount %]])</f>
        <v>220760</v>
      </c>
      <c r="T723" s="7">
        <f>Table1_1[[#This Row],[Units Sold]]*Table1_1[[#This Row],[Unit Cost]]</f>
        <v>165200</v>
      </c>
      <c r="U723" s="7">
        <f>Table1_1[[#This Row],[Calculated sales]]-Table1_1[[#This Row],[Total cost]]</f>
        <v>55560</v>
      </c>
      <c r="V723" s="4">
        <f>IFERROR(Table1_1[[#This Row],[Profit/Loss]]/Table1_1[[#This Row],[Calculated sales]],0)</f>
        <v>0.25167602826599023</v>
      </c>
    </row>
    <row r="724" spans="1:22" x14ac:dyDescent="0.25">
      <c r="A724" s="4" t="s">
        <v>871</v>
      </c>
      <c r="B724" s="5">
        <v>45667</v>
      </c>
      <c r="C724" s="4">
        <f>YEAR(Table1_1[[#This Row],[Order Dates]])</f>
        <v>2025</v>
      </c>
      <c r="D724" s="6">
        <f>MONTH(Table1_1[[#This Row],[Order Dates]])</f>
        <v>1</v>
      </c>
      <c r="E724" s="4" t="s">
        <v>56</v>
      </c>
      <c r="F724" s="4" t="s">
        <v>57</v>
      </c>
      <c r="G724" s="4" t="s">
        <v>58</v>
      </c>
      <c r="H724" s="4" t="str">
        <f>TRIM(CLEAN(SUBSTITUTE(Table1_1[[#This Row],[Salesperson]],"   "," ")))</f>
        <v>Karthik Raman</v>
      </c>
      <c r="I724" s="4" t="s">
        <v>52</v>
      </c>
      <c r="J724" s="4" t="s">
        <v>59</v>
      </c>
      <c r="K724" s="4" t="s">
        <v>69</v>
      </c>
      <c r="L724" s="4" t="s">
        <v>70</v>
      </c>
      <c r="M724" s="4" t="s">
        <v>40</v>
      </c>
      <c r="N724" s="4" t="s">
        <v>24</v>
      </c>
      <c r="O724" s="4">
        <v>5</v>
      </c>
      <c r="P724" s="7">
        <v>28010</v>
      </c>
      <c r="Q724" s="8">
        <v>0.15</v>
      </c>
      <c r="R724" s="7">
        <v>21930</v>
      </c>
      <c r="S724" s="7">
        <f>Table1_1[[#This Row],[Units Sold]]*Table1_1[[#This Row],[Unit Price]]*(1-Table1_1[[#This Row],[Discount %]])</f>
        <v>119042.5</v>
      </c>
      <c r="T724" s="7">
        <f>Table1_1[[#This Row],[Units Sold]]*Table1_1[[#This Row],[Unit Cost]]</f>
        <v>109650</v>
      </c>
      <c r="U724" s="7">
        <f>Table1_1[[#This Row],[Calculated sales]]-Table1_1[[#This Row],[Total cost]]</f>
        <v>9392.5</v>
      </c>
      <c r="V724" s="4">
        <f>IFERROR(Table1_1[[#This Row],[Profit/Loss]]/Table1_1[[#This Row],[Calculated sales]],0)</f>
        <v>7.8900392716886827E-2</v>
      </c>
    </row>
    <row r="725" spans="1:22" x14ac:dyDescent="0.25">
      <c r="A725" s="4" t="s">
        <v>872</v>
      </c>
      <c r="B725" s="5">
        <v>45667</v>
      </c>
      <c r="C725" s="4">
        <f>YEAR(Table1_1[[#This Row],[Order Dates]])</f>
        <v>2025</v>
      </c>
      <c r="D725" s="6">
        <f>MONTH(Table1_1[[#This Row],[Order Dates]])</f>
        <v>1</v>
      </c>
      <c r="E725" s="4" t="s">
        <v>16</v>
      </c>
      <c r="F725" s="4" t="s">
        <v>191</v>
      </c>
      <c r="G725" s="4" t="s">
        <v>18</v>
      </c>
      <c r="H725" s="4" t="str">
        <f>TRIM(CLEAN(SUBSTITUTE(Table1_1[[#This Row],[Salesperson]],"   "," ")))</f>
        <v>Imran Sheikh</v>
      </c>
      <c r="I725" s="4" t="s">
        <v>92</v>
      </c>
      <c r="J725" s="4" t="s">
        <v>46</v>
      </c>
      <c r="K725" s="4" t="s">
        <v>179</v>
      </c>
      <c r="L725" s="4" t="s">
        <v>221</v>
      </c>
      <c r="M725" s="4" t="s">
        <v>23</v>
      </c>
      <c r="N725" s="4" t="s">
        <v>94</v>
      </c>
      <c r="O725" s="4">
        <v>48</v>
      </c>
      <c r="P725" s="7">
        <v>1570</v>
      </c>
      <c r="Q725" s="8">
        <v>0.18</v>
      </c>
      <c r="R725" s="7">
        <v>1100</v>
      </c>
      <c r="S725" s="7">
        <f>Table1_1[[#This Row],[Units Sold]]*Table1_1[[#This Row],[Unit Price]]*(1-Table1_1[[#This Row],[Discount %]])</f>
        <v>61795.200000000004</v>
      </c>
      <c r="T725" s="7">
        <f>Table1_1[[#This Row],[Units Sold]]*Table1_1[[#This Row],[Unit Cost]]</f>
        <v>52800</v>
      </c>
      <c r="U725" s="7">
        <f>Table1_1[[#This Row],[Calculated sales]]-Table1_1[[#This Row],[Total cost]]</f>
        <v>8995.2000000000044</v>
      </c>
      <c r="V725" s="4">
        <f>IFERROR(Table1_1[[#This Row],[Profit/Loss]]/Table1_1[[#This Row],[Calculated sales]],0)</f>
        <v>0.14556470405468391</v>
      </c>
    </row>
    <row r="726" spans="1:22" x14ac:dyDescent="0.25">
      <c r="A726" s="4" t="s">
        <v>873</v>
      </c>
      <c r="B726" s="5">
        <v>45667</v>
      </c>
      <c r="C726" s="4">
        <f>YEAR(Table1_1[[#This Row],[Order Dates]])</f>
        <v>2025</v>
      </c>
      <c r="D726" s="6">
        <f>MONTH(Table1_1[[#This Row],[Order Dates]])</f>
        <v>1</v>
      </c>
      <c r="E726" s="4" t="s">
        <v>56</v>
      </c>
      <c r="F726" s="4" t="s">
        <v>57</v>
      </c>
      <c r="G726" s="4" t="s">
        <v>58</v>
      </c>
      <c r="H726" s="4" t="str">
        <f>TRIM(CLEAN(SUBSTITUTE(Table1_1[[#This Row],[Salesperson]],"   "," ")))</f>
        <v>Karthik Raman</v>
      </c>
      <c r="I726" s="4" t="s">
        <v>19</v>
      </c>
      <c r="J726" s="4" t="s">
        <v>20</v>
      </c>
      <c r="K726" s="4" t="s">
        <v>33</v>
      </c>
      <c r="L726" s="4" t="s">
        <v>34</v>
      </c>
      <c r="M726" s="4" t="s">
        <v>40</v>
      </c>
      <c r="N726" s="4" t="s">
        <v>94</v>
      </c>
      <c r="O726" s="4">
        <v>1</v>
      </c>
      <c r="P726" s="7">
        <v>55580</v>
      </c>
      <c r="Q726" s="8">
        <v>0.08</v>
      </c>
      <c r="R726" s="7">
        <v>32210</v>
      </c>
      <c r="S726" s="7">
        <f>Table1_1[[#This Row],[Units Sold]]*Table1_1[[#This Row],[Unit Price]]*(1-Table1_1[[#This Row],[Discount %]])</f>
        <v>51133.600000000006</v>
      </c>
      <c r="T726" s="7">
        <f>Table1_1[[#This Row],[Units Sold]]*Table1_1[[#This Row],[Unit Cost]]</f>
        <v>32210</v>
      </c>
      <c r="U726" s="7">
        <f>Table1_1[[#This Row],[Calculated sales]]-Table1_1[[#This Row],[Total cost]]</f>
        <v>18923.600000000006</v>
      </c>
      <c r="V726" s="4">
        <f>IFERROR(Table1_1[[#This Row],[Profit/Loss]]/Table1_1[[#This Row],[Calculated sales]],0)</f>
        <v>0.37008151196082428</v>
      </c>
    </row>
    <row r="727" spans="1:22" x14ac:dyDescent="0.25">
      <c r="A727" s="4" t="s">
        <v>874</v>
      </c>
      <c r="B727" s="5">
        <v>45668</v>
      </c>
      <c r="C727" s="4">
        <f>YEAR(Table1_1[[#This Row],[Order Dates]])</f>
        <v>2025</v>
      </c>
      <c r="D727" s="6">
        <f>MONTH(Table1_1[[#This Row],[Order Dates]])</f>
        <v>1</v>
      </c>
      <c r="E727" s="4" t="s">
        <v>56</v>
      </c>
      <c r="F727" s="4" t="s">
        <v>133</v>
      </c>
      <c r="G727" s="4" t="s">
        <v>134</v>
      </c>
      <c r="H727" s="4" t="str">
        <f>TRIM(CLEAN(SUBSTITUTE(Table1_1[[#This Row],[Salesperson]],"   "," ")))</f>
        <v>Divya Nair</v>
      </c>
      <c r="I727" s="4" t="s">
        <v>92</v>
      </c>
      <c r="J727" s="4" t="s">
        <v>46</v>
      </c>
      <c r="K727" s="4" t="s">
        <v>47</v>
      </c>
      <c r="L727" s="4" t="s">
        <v>48</v>
      </c>
      <c r="M727" s="4" t="s">
        <v>49</v>
      </c>
      <c r="N727" s="4" t="s">
        <v>24</v>
      </c>
      <c r="O727" s="4">
        <v>54</v>
      </c>
      <c r="P727" s="7">
        <v>1820</v>
      </c>
      <c r="Q727" s="8">
        <v>0.2</v>
      </c>
      <c r="R727" s="7">
        <v>1230</v>
      </c>
      <c r="S727" s="7">
        <f>Table1_1[[#This Row],[Units Sold]]*Table1_1[[#This Row],[Unit Price]]*(1-Table1_1[[#This Row],[Discount %]])</f>
        <v>78624</v>
      </c>
      <c r="T727" s="7">
        <f>Table1_1[[#This Row],[Units Sold]]*Table1_1[[#This Row],[Unit Cost]]</f>
        <v>66420</v>
      </c>
      <c r="U727" s="7">
        <f>Table1_1[[#This Row],[Calculated sales]]-Table1_1[[#This Row],[Total cost]]</f>
        <v>12204</v>
      </c>
      <c r="V727" s="4">
        <f>IFERROR(Table1_1[[#This Row],[Profit/Loss]]/Table1_1[[#This Row],[Calculated sales]],0)</f>
        <v>0.15521978021978022</v>
      </c>
    </row>
    <row r="728" spans="1:22" x14ac:dyDescent="0.25">
      <c r="A728" s="4" t="s">
        <v>875</v>
      </c>
      <c r="B728" s="5">
        <v>45668</v>
      </c>
      <c r="C728" s="4">
        <f>YEAR(Table1_1[[#This Row],[Order Dates]])</f>
        <v>2025</v>
      </c>
      <c r="D728" s="6">
        <f>MONTH(Table1_1[[#This Row],[Order Dates]])</f>
        <v>1</v>
      </c>
      <c r="E728" s="4" t="s">
        <v>76</v>
      </c>
      <c r="F728" s="4" t="s">
        <v>217</v>
      </c>
      <c r="G728" s="4" t="s">
        <v>78</v>
      </c>
      <c r="H728" s="4" t="str">
        <f>TRIM(CLEAN(SUBSTITUTE(Table1_1[[#This Row],[Salesperson]],"   "," ")))</f>
        <v>Pooja Chouhan</v>
      </c>
      <c r="I728" s="4" t="s">
        <v>92</v>
      </c>
      <c r="J728" s="4" t="s">
        <v>83</v>
      </c>
      <c r="K728" s="4" t="s">
        <v>184</v>
      </c>
      <c r="L728" s="4" t="s">
        <v>196</v>
      </c>
      <c r="M728" s="4" t="s">
        <v>40</v>
      </c>
      <c r="N728" s="4" t="s">
        <v>24</v>
      </c>
      <c r="O728" s="4">
        <v>16</v>
      </c>
      <c r="P728" s="7">
        <v>3280</v>
      </c>
      <c r="Q728" s="8">
        <v>0.15</v>
      </c>
      <c r="R728" s="7">
        <v>2340</v>
      </c>
      <c r="S728" s="7">
        <f>Table1_1[[#This Row],[Units Sold]]*Table1_1[[#This Row],[Unit Price]]*(1-Table1_1[[#This Row],[Discount %]])</f>
        <v>44608</v>
      </c>
      <c r="T728" s="7">
        <f>Table1_1[[#This Row],[Units Sold]]*Table1_1[[#This Row],[Unit Cost]]</f>
        <v>37440</v>
      </c>
      <c r="U728" s="7">
        <f>Table1_1[[#This Row],[Calculated sales]]-Table1_1[[#This Row],[Total cost]]</f>
        <v>7168</v>
      </c>
      <c r="V728" s="4">
        <f>IFERROR(Table1_1[[#This Row],[Profit/Loss]]/Table1_1[[#This Row],[Calculated sales]],0)</f>
        <v>0.1606886657101865</v>
      </c>
    </row>
    <row r="729" spans="1:22" x14ac:dyDescent="0.25">
      <c r="A729" s="4" t="s">
        <v>876</v>
      </c>
      <c r="B729" s="5">
        <v>45669</v>
      </c>
      <c r="C729" s="4">
        <f>YEAR(Table1_1[[#This Row],[Order Dates]])</f>
        <v>2025</v>
      </c>
      <c r="D729" s="6">
        <f>MONTH(Table1_1[[#This Row],[Order Dates]])</f>
        <v>1</v>
      </c>
      <c r="E729" s="4" t="s">
        <v>16</v>
      </c>
      <c r="F729" s="4" t="s">
        <v>31</v>
      </c>
      <c r="G729" s="4" t="s">
        <v>18</v>
      </c>
      <c r="H729" s="4" t="str">
        <f>TRIM(CLEAN(SUBSTITUTE(Table1_1[[#This Row],[Salesperson]],"   "," ")))</f>
        <v>Imran Sheikh</v>
      </c>
      <c r="I729" s="4" t="s">
        <v>52</v>
      </c>
      <c r="J729" s="4" t="s">
        <v>59</v>
      </c>
      <c r="K729" s="4" t="s">
        <v>73</v>
      </c>
      <c r="L729" s="4" t="s">
        <v>113</v>
      </c>
      <c r="M729" s="4" t="s">
        <v>40</v>
      </c>
      <c r="N729" s="4" t="s">
        <v>24</v>
      </c>
      <c r="O729" s="4">
        <v>4</v>
      </c>
      <c r="P729" s="7">
        <v>33810</v>
      </c>
      <c r="Q729" s="8">
        <v>0.18</v>
      </c>
      <c r="R729" s="7">
        <v>19810</v>
      </c>
      <c r="S729" s="7">
        <f>Table1_1[[#This Row],[Units Sold]]*Table1_1[[#This Row],[Unit Price]]*(1-Table1_1[[#This Row],[Discount %]])</f>
        <v>110896.8</v>
      </c>
      <c r="T729" s="7">
        <f>Table1_1[[#This Row],[Units Sold]]*Table1_1[[#This Row],[Unit Cost]]</f>
        <v>79240</v>
      </c>
      <c r="U729" s="7">
        <f>Table1_1[[#This Row],[Calculated sales]]-Table1_1[[#This Row],[Total cost]]</f>
        <v>31656.800000000003</v>
      </c>
      <c r="V729" s="4">
        <f>IFERROR(Table1_1[[#This Row],[Profit/Loss]]/Table1_1[[#This Row],[Calculated sales]],0)</f>
        <v>0.2854617987173661</v>
      </c>
    </row>
    <row r="730" spans="1:22" x14ac:dyDescent="0.25">
      <c r="A730" s="4" t="s">
        <v>877</v>
      </c>
      <c r="B730" s="5">
        <v>45670</v>
      </c>
      <c r="C730" s="4">
        <f>YEAR(Table1_1[[#This Row],[Order Dates]])</f>
        <v>2025</v>
      </c>
      <c r="D730" s="6">
        <f>MONTH(Table1_1[[#This Row],[Order Dates]])</f>
        <v>1</v>
      </c>
      <c r="E730" s="4" t="s">
        <v>42</v>
      </c>
      <c r="F730" s="4" t="s">
        <v>130</v>
      </c>
      <c r="G730" s="4" t="s">
        <v>44</v>
      </c>
      <c r="H730" s="4" t="str">
        <f>TRIM(CLEAN(SUBSTITUTE(Table1_1[[#This Row],[Salesperson]],"   "," ")))</f>
        <v>Simran Kaur</v>
      </c>
      <c r="I730" s="4" t="s">
        <v>19</v>
      </c>
      <c r="J730" s="4" t="s">
        <v>20</v>
      </c>
      <c r="K730" s="4" t="s">
        <v>21</v>
      </c>
      <c r="L730" s="4" t="s">
        <v>1670</v>
      </c>
      <c r="M730" s="4" t="s">
        <v>23</v>
      </c>
      <c r="N730" s="4" t="s">
        <v>24</v>
      </c>
      <c r="O730" s="4">
        <v>13</v>
      </c>
      <c r="P730" s="7">
        <v>8880</v>
      </c>
      <c r="Q730" s="8">
        <v>0.2</v>
      </c>
      <c r="R730" s="7">
        <v>6660</v>
      </c>
      <c r="S730" s="7">
        <f>Table1_1[[#This Row],[Units Sold]]*Table1_1[[#This Row],[Unit Price]]*(1-Table1_1[[#This Row],[Discount %]])</f>
        <v>92352</v>
      </c>
      <c r="T730" s="7">
        <f>Table1_1[[#This Row],[Units Sold]]*Table1_1[[#This Row],[Unit Cost]]</f>
        <v>86580</v>
      </c>
      <c r="U730" s="7">
        <f>Table1_1[[#This Row],[Calculated sales]]-Table1_1[[#This Row],[Total cost]]</f>
        <v>5772</v>
      </c>
      <c r="V730" s="4">
        <f>IFERROR(Table1_1[[#This Row],[Profit/Loss]]/Table1_1[[#This Row],[Calculated sales]],0)</f>
        <v>6.25E-2</v>
      </c>
    </row>
    <row r="731" spans="1:22" x14ac:dyDescent="0.25">
      <c r="A731" s="4" t="s">
        <v>878</v>
      </c>
      <c r="B731" s="5">
        <v>45670</v>
      </c>
      <c r="C731" s="4">
        <f>YEAR(Table1_1[[#This Row],[Order Dates]])</f>
        <v>2025</v>
      </c>
      <c r="D731" s="6">
        <f>MONTH(Table1_1[[#This Row],[Order Dates]])</f>
        <v>1</v>
      </c>
      <c r="E731" s="4" t="s">
        <v>42</v>
      </c>
      <c r="F731" s="4" t="s">
        <v>123</v>
      </c>
      <c r="G731" s="4" t="s">
        <v>97</v>
      </c>
      <c r="H731" s="4" t="str">
        <f>TRIM(CLEAN(SUBSTITUTE(Table1_1[[#This Row],[Salesperson]],"   "," ")))</f>
        <v>Rohit Malhotra</v>
      </c>
      <c r="I731" s="4" t="s">
        <v>19</v>
      </c>
      <c r="J731" s="4" t="s">
        <v>20</v>
      </c>
      <c r="K731" s="4" t="s">
        <v>21</v>
      </c>
      <c r="L731" s="4" t="s">
        <v>1682</v>
      </c>
      <c r="M731" s="4" t="s">
        <v>23</v>
      </c>
      <c r="N731" s="4" t="s">
        <v>24</v>
      </c>
      <c r="O731" s="4">
        <v>10</v>
      </c>
      <c r="P731" s="7">
        <v>8870</v>
      </c>
      <c r="Q731" s="8">
        <v>0.1</v>
      </c>
      <c r="R731" s="7">
        <v>6760</v>
      </c>
      <c r="S731" s="7">
        <f>Table1_1[[#This Row],[Units Sold]]*Table1_1[[#This Row],[Unit Price]]*(1-Table1_1[[#This Row],[Discount %]])</f>
        <v>79830</v>
      </c>
      <c r="T731" s="7">
        <f>Table1_1[[#This Row],[Units Sold]]*Table1_1[[#This Row],[Unit Cost]]</f>
        <v>67600</v>
      </c>
      <c r="U731" s="7">
        <f>Table1_1[[#This Row],[Calculated sales]]-Table1_1[[#This Row],[Total cost]]</f>
        <v>12230</v>
      </c>
      <c r="V731" s="4">
        <f>IFERROR(Table1_1[[#This Row],[Profit/Loss]]/Table1_1[[#This Row],[Calculated sales]],0)</f>
        <v>0.15320055117123887</v>
      </c>
    </row>
    <row r="732" spans="1:22" x14ac:dyDescent="0.25">
      <c r="A732" s="4" t="s">
        <v>879</v>
      </c>
      <c r="B732" s="5">
        <v>45672</v>
      </c>
      <c r="C732" s="4">
        <f>YEAR(Table1_1[[#This Row],[Order Dates]])</f>
        <v>2025</v>
      </c>
      <c r="D732" s="6">
        <f>MONTH(Table1_1[[#This Row],[Order Dates]])</f>
        <v>1</v>
      </c>
      <c r="E732" s="4" t="s">
        <v>76</v>
      </c>
      <c r="F732" s="4" t="s">
        <v>77</v>
      </c>
      <c r="G732" s="4" t="s">
        <v>170</v>
      </c>
      <c r="H732" s="4" t="str">
        <f>TRIM(CLEAN(SUBSTITUTE(Table1_1[[#This Row],[Salesperson]],"   "," ")))</f>
        <v>Manish Tiwari</v>
      </c>
      <c r="I732" s="4" t="s">
        <v>45</v>
      </c>
      <c r="J732" s="4" t="s">
        <v>20</v>
      </c>
      <c r="K732" s="4" t="s">
        <v>87</v>
      </c>
      <c r="L732" s="4" t="s">
        <v>1674</v>
      </c>
      <c r="M732" s="4" t="s">
        <v>49</v>
      </c>
      <c r="N732" s="4" t="s">
        <v>119</v>
      </c>
      <c r="O732" s="4">
        <v>5</v>
      </c>
      <c r="P732" s="7">
        <v>50760</v>
      </c>
      <c r="Q732" s="8">
        <v>0.1</v>
      </c>
      <c r="R732" s="7">
        <v>30970</v>
      </c>
      <c r="S732" s="7">
        <f>Table1_1[[#This Row],[Units Sold]]*Table1_1[[#This Row],[Unit Price]]*(1-Table1_1[[#This Row],[Discount %]])</f>
        <v>228420</v>
      </c>
      <c r="T732" s="7">
        <f>Table1_1[[#This Row],[Units Sold]]*Table1_1[[#This Row],[Unit Cost]]</f>
        <v>154850</v>
      </c>
      <c r="U732" s="7">
        <f>Table1_1[[#This Row],[Calculated sales]]-Table1_1[[#This Row],[Total cost]]</f>
        <v>73570</v>
      </c>
      <c r="V732" s="4">
        <f>IFERROR(Table1_1[[#This Row],[Profit/Loss]]/Table1_1[[#This Row],[Calculated sales]],0)</f>
        <v>0.32208212941073461</v>
      </c>
    </row>
    <row r="733" spans="1:22" x14ac:dyDescent="0.25">
      <c r="A733" s="4" t="s">
        <v>880</v>
      </c>
      <c r="B733" s="5">
        <v>45672</v>
      </c>
      <c r="C733" s="4">
        <f>YEAR(Table1_1[[#This Row],[Order Dates]])</f>
        <v>2025</v>
      </c>
      <c r="D733" s="6">
        <f>MONTH(Table1_1[[#This Row],[Order Dates]])</f>
        <v>1</v>
      </c>
      <c r="E733" s="4" t="s">
        <v>42</v>
      </c>
      <c r="F733" s="4" t="s">
        <v>123</v>
      </c>
      <c r="G733" s="4" t="s">
        <v>64</v>
      </c>
      <c r="H733" s="4" t="str">
        <f>TRIM(CLEAN(SUBSTITUTE(Table1_1[[#This Row],[Salesperson]],"   "," ")))</f>
        <v>Aditya Verma</v>
      </c>
      <c r="I733" s="4" t="s">
        <v>19</v>
      </c>
      <c r="J733" s="4" t="s">
        <v>27</v>
      </c>
      <c r="K733" s="4" t="s">
        <v>53</v>
      </c>
      <c r="L733" s="4" t="s">
        <v>1676</v>
      </c>
      <c r="M733" s="4" t="s">
        <v>49</v>
      </c>
      <c r="N733" s="4" t="s">
        <v>24</v>
      </c>
      <c r="O733" s="4">
        <v>3</v>
      </c>
      <c r="P733" s="7">
        <v>34980</v>
      </c>
      <c r="Q733" s="8">
        <v>0.08</v>
      </c>
      <c r="R733" s="7">
        <v>22940</v>
      </c>
      <c r="S733" s="7">
        <f>Table1_1[[#This Row],[Units Sold]]*Table1_1[[#This Row],[Unit Price]]*(1-Table1_1[[#This Row],[Discount %]])</f>
        <v>96544.8</v>
      </c>
      <c r="T733" s="7">
        <f>Table1_1[[#This Row],[Units Sold]]*Table1_1[[#This Row],[Unit Cost]]</f>
        <v>68820</v>
      </c>
      <c r="U733" s="7">
        <f>Table1_1[[#This Row],[Calculated sales]]-Table1_1[[#This Row],[Total cost]]</f>
        <v>27724.800000000003</v>
      </c>
      <c r="V733" s="4">
        <f>IFERROR(Table1_1[[#This Row],[Profit/Loss]]/Table1_1[[#This Row],[Calculated sales]],0)</f>
        <v>0.28717030849926667</v>
      </c>
    </row>
    <row r="734" spans="1:22" x14ac:dyDescent="0.25">
      <c r="A734" s="4" t="s">
        <v>881</v>
      </c>
      <c r="B734" s="5">
        <v>45672</v>
      </c>
      <c r="C734" s="4">
        <f>YEAR(Table1_1[[#This Row],[Order Dates]])</f>
        <v>2025</v>
      </c>
      <c r="D734" s="6">
        <f>MONTH(Table1_1[[#This Row],[Order Dates]])</f>
        <v>1</v>
      </c>
      <c r="E734" s="4" t="s">
        <v>76</v>
      </c>
      <c r="F734" s="4" t="s">
        <v>112</v>
      </c>
      <c r="G734" s="4" t="s">
        <v>170</v>
      </c>
      <c r="H734" s="4" t="str">
        <f>TRIM(CLEAN(SUBSTITUTE(Table1_1[[#This Row],[Salesperson]],"   "," ")))</f>
        <v>Manish Tiwari</v>
      </c>
      <c r="I734" s="4" t="s">
        <v>19</v>
      </c>
      <c r="J734" s="4" t="s">
        <v>20</v>
      </c>
      <c r="K734" s="4" t="s">
        <v>109</v>
      </c>
      <c r="L734" s="4" t="s">
        <v>171</v>
      </c>
      <c r="M734" s="4" t="s">
        <v>40</v>
      </c>
      <c r="N734" s="4" t="s">
        <v>24</v>
      </c>
      <c r="O734" s="4">
        <v>8</v>
      </c>
      <c r="P734" s="7">
        <v>23440</v>
      </c>
      <c r="Q734" s="8">
        <v>0.12</v>
      </c>
      <c r="R734" s="7">
        <v>14540</v>
      </c>
      <c r="S734" s="7">
        <f>Table1_1[[#This Row],[Units Sold]]*Table1_1[[#This Row],[Unit Price]]*(1-Table1_1[[#This Row],[Discount %]])</f>
        <v>165017.60000000001</v>
      </c>
      <c r="T734" s="7">
        <f>Table1_1[[#This Row],[Units Sold]]*Table1_1[[#This Row],[Unit Cost]]</f>
        <v>116320</v>
      </c>
      <c r="U734" s="7">
        <f>Table1_1[[#This Row],[Calculated sales]]-Table1_1[[#This Row],[Total cost]]</f>
        <v>48697.600000000006</v>
      </c>
      <c r="V734" s="4">
        <f>IFERROR(Table1_1[[#This Row],[Profit/Loss]]/Table1_1[[#This Row],[Calculated sales]],0)</f>
        <v>0.29510549177784673</v>
      </c>
    </row>
    <row r="735" spans="1:22" x14ac:dyDescent="0.25">
      <c r="A735" s="4" t="s">
        <v>882</v>
      </c>
      <c r="B735" s="5">
        <v>45673</v>
      </c>
      <c r="C735" s="4">
        <f>YEAR(Table1_1[[#This Row],[Order Dates]])</f>
        <v>2025</v>
      </c>
      <c r="D735" s="6">
        <f>MONTH(Table1_1[[#This Row],[Order Dates]])</f>
        <v>1</v>
      </c>
      <c r="E735" s="4" t="s">
        <v>56</v>
      </c>
      <c r="F735" s="4" t="s">
        <v>127</v>
      </c>
      <c r="G735" s="4" t="s">
        <v>134</v>
      </c>
      <c r="H735" s="4" t="str">
        <f>TRIM(CLEAN(SUBSTITUTE(Table1_1[[#This Row],[Salesperson]],"   "," ")))</f>
        <v>Divya Nair</v>
      </c>
      <c r="I735" s="4" t="s">
        <v>45</v>
      </c>
      <c r="J735" s="4" t="s">
        <v>20</v>
      </c>
      <c r="K735" s="4" t="s">
        <v>109</v>
      </c>
      <c r="L735" s="4" t="s">
        <v>1675</v>
      </c>
      <c r="M735" s="4" t="s">
        <v>40</v>
      </c>
      <c r="N735" s="4" t="s">
        <v>24</v>
      </c>
      <c r="O735" s="4">
        <v>6</v>
      </c>
      <c r="P735" s="7">
        <v>65920</v>
      </c>
      <c r="Q735" s="8">
        <v>0.05</v>
      </c>
      <c r="R735" s="7">
        <v>50150</v>
      </c>
      <c r="S735" s="7">
        <f>Table1_1[[#This Row],[Units Sold]]*Table1_1[[#This Row],[Unit Price]]*(1-Table1_1[[#This Row],[Discount %]])</f>
        <v>375744</v>
      </c>
      <c r="T735" s="7">
        <f>Table1_1[[#This Row],[Units Sold]]*Table1_1[[#This Row],[Unit Cost]]</f>
        <v>300900</v>
      </c>
      <c r="U735" s="7">
        <f>Table1_1[[#This Row],[Calculated sales]]-Table1_1[[#This Row],[Total cost]]</f>
        <v>74844</v>
      </c>
      <c r="V735" s="4">
        <f>IFERROR(Table1_1[[#This Row],[Profit/Loss]]/Table1_1[[#This Row],[Calculated sales]],0)</f>
        <v>0.19918880940214614</v>
      </c>
    </row>
    <row r="736" spans="1:22" x14ac:dyDescent="0.25">
      <c r="A736" s="4" t="s">
        <v>883</v>
      </c>
      <c r="B736" s="5">
        <v>45673</v>
      </c>
      <c r="C736" s="4">
        <f>YEAR(Table1_1[[#This Row],[Order Dates]])</f>
        <v>2025</v>
      </c>
      <c r="D736" s="6">
        <f>MONTH(Table1_1[[#This Row],[Order Dates]])</f>
        <v>1</v>
      </c>
      <c r="E736" s="4" t="s">
        <v>76</v>
      </c>
      <c r="F736" s="4" t="s">
        <v>150</v>
      </c>
      <c r="G736" s="4" t="s">
        <v>170</v>
      </c>
      <c r="H736" s="4" t="str">
        <f>TRIM(CLEAN(SUBSTITUTE(Table1_1[[#This Row],[Salesperson]],"   "," ")))</f>
        <v>Manish Tiwari</v>
      </c>
      <c r="I736" s="4" t="s">
        <v>19</v>
      </c>
      <c r="J736" s="4" t="s">
        <v>59</v>
      </c>
      <c r="K736" s="4" t="s">
        <v>154</v>
      </c>
      <c r="L736" s="4" t="s">
        <v>155</v>
      </c>
      <c r="M736" s="4" t="s">
        <v>23</v>
      </c>
      <c r="N736" s="4" t="s">
        <v>119</v>
      </c>
      <c r="O736" s="4">
        <v>4</v>
      </c>
      <c r="P736" s="7">
        <v>12740</v>
      </c>
      <c r="Q736" s="8">
        <v>0.05</v>
      </c>
      <c r="R736" s="7">
        <v>9750</v>
      </c>
      <c r="S736" s="7">
        <f>Table1_1[[#This Row],[Units Sold]]*Table1_1[[#This Row],[Unit Price]]*(1-Table1_1[[#This Row],[Discount %]])</f>
        <v>48412</v>
      </c>
      <c r="T736" s="7">
        <f>Table1_1[[#This Row],[Units Sold]]*Table1_1[[#This Row],[Unit Cost]]</f>
        <v>39000</v>
      </c>
      <c r="U736" s="7">
        <f>Table1_1[[#This Row],[Calculated sales]]-Table1_1[[#This Row],[Total cost]]</f>
        <v>9412</v>
      </c>
      <c r="V736" s="4">
        <f>IFERROR(Table1_1[[#This Row],[Profit/Loss]]/Table1_1[[#This Row],[Calculated sales]],0)</f>
        <v>0.19441460794844254</v>
      </c>
    </row>
    <row r="737" spans="1:22" x14ac:dyDescent="0.25">
      <c r="A737" s="4" t="s">
        <v>884</v>
      </c>
      <c r="B737" s="5">
        <v>45674</v>
      </c>
      <c r="C737" s="4">
        <f>YEAR(Table1_1[[#This Row],[Order Dates]])</f>
        <v>2025</v>
      </c>
      <c r="D737" s="6">
        <f>MONTH(Table1_1[[#This Row],[Order Dates]])</f>
        <v>1</v>
      </c>
      <c r="E737" s="4" t="s">
        <v>16</v>
      </c>
      <c r="F737" s="4" t="s">
        <v>31</v>
      </c>
      <c r="G737" s="4" t="s">
        <v>18</v>
      </c>
      <c r="H737" s="4" t="str">
        <f>TRIM(CLEAN(SUBSTITUTE(Table1_1[[#This Row],[Salesperson]],"   "," ")))</f>
        <v>Imran Sheikh</v>
      </c>
      <c r="I737" s="4" t="s">
        <v>19</v>
      </c>
      <c r="J737" s="4" t="s">
        <v>46</v>
      </c>
      <c r="K737" s="4" t="s">
        <v>179</v>
      </c>
      <c r="L737" s="4" t="s">
        <v>180</v>
      </c>
      <c r="M737" s="4" t="s">
        <v>40</v>
      </c>
      <c r="N737" s="4" t="s">
        <v>24</v>
      </c>
      <c r="O737" s="4">
        <v>13</v>
      </c>
      <c r="P737" s="7">
        <v>4070</v>
      </c>
      <c r="Q737" s="8">
        <v>0</v>
      </c>
      <c r="R737" s="7">
        <v>2790</v>
      </c>
      <c r="S737" s="7">
        <f>Table1_1[[#This Row],[Units Sold]]*Table1_1[[#This Row],[Unit Price]]*(1-Table1_1[[#This Row],[Discount %]])</f>
        <v>52910</v>
      </c>
      <c r="T737" s="7">
        <f>Table1_1[[#This Row],[Units Sold]]*Table1_1[[#This Row],[Unit Cost]]</f>
        <v>36270</v>
      </c>
      <c r="U737" s="7">
        <f>Table1_1[[#This Row],[Calculated sales]]-Table1_1[[#This Row],[Total cost]]</f>
        <v>16640</v>
      </c>
      <c r="V737" s="4">
        <f>IFERROR(Table1_1[[#This Row],[Profit/Loss]]/Table1_1[[#This Row],[Calculated sales]],0)</f>
        <v>0.31449631449631449</v>
      </c>
    </row>
    <row r="738" spans="1:22" x14ac:dyDescent="0.25">
      <c r="A738" s="4" t="s">
        <v>885</v>
      </c>
      <c r="B738" s="5">
        <v>45674</v>
      </c>
      <c r="C738" s="4">
        <f>YEAR(Table1_1[[#This Row],[Order Dates]])</f>
        <v>2025</v>
      </c>
      <c r="D738" s="6">
        <f>MONTH(Table1_1[[#This Row],[Order Dates]])</f>
        <v>1</v>
      </c>
      <c r="E738" s="4" t="s">
        <v>76</v>
      </c>
      <c r="F738" s="4" t="s">
        <v>217</v>
      </c>
      <c r="G738" s="4" t="s">
        <v>78</v>
      </c>
      <c r="H738" s="4" t="str">
        <f>TRIM(CLEAN(SUBSTITUTE(Table1_1[[#This Row],[Salesperson]],"   "," ")))</f>
        <v>Pooja Chouhan</v>
      </c>
      <c r="I738" s="4" t="s">
        <v>19</v>
      </c>
      <c r="J738" s="4" t="s">
        <v>20</v>
      </c>
      <c r="K738" s="4" t="s">
        <v>87</v>
      </c>
      <c r="L738" s="4" t="s">
        <v>1674</v>
      </c>
      <c r="M738" s="4" t="s">
        <v>40</v>
      </c>
      <c r="N738" s="4" t="s">
        <v>24</v>
      </c>
      <c r="O738" s="4">
        <v>2</v>
      </c>
      <c r="P738" s="7">
        <v>51430</v>
      </c>
      <c r="Q738" s="8">
        <v>0.15</v>
      </c>
      <c r="R738" s="7">
        <v>37810</v>
      </c>
      <c r="S738" s="7">
        <f>Table1_1[[#This Row],[Units Sold]]*Table1_1[[#This Row],[Unit Price]]*(1-Table1_1[[#This Row],[Discount %]])</f>
        <v>87431</v>
      </c>
      <c r="T738" s="7">
        <f>Table1_1[[#This Row],[Units Sold]]*Table1_1[[#This Row],[Unit Cost]]</f>
        <v>75620</v>
      </c>
      <c r="U738" s="7">
        <f>Table1_1[[#This Row],[Calculated sales]]-Table1_1[[#This Row],[Total cost]]</f>
        <v>11811</v>
      </c>
      <c r="V738" s="4">
        <f>IFERROR(Table1_1[[#This Row],[Profit/Loss]]/Table1_1[[#This Row],[Calculated sales]],0)</f>
        <v>0.13508938477199162</v>
      </c>
    </row>
    <row r="739" spans="1:22" x14ac:dyDescent="0.25">
      <c r="A739" s="4" t="s">
        <v>886</v>
      </c>
      <c r="B739" s="5">
        <v>45675</v>
      </c>
      <c r="C739" s="4">
        <f>YEAR(Table1_1[[#This Row],[Order Dates]])</f>
        <v>2025</v>
      </c>
      <c r="D739" s="6">
        <f>MONTH(Table1_1[[#This Row],[Order Dates]])</f>
        <v>1</v>
      </c>
      <c r="E739" s="4" t="s">
        <v>16</v>
      </c>
      <c r="F739" s="4" t="s">
        <v>17</v>
      </c>
      <c r="G739" s="4" t="s">
        <v>18</v>
      </c>
      <c r="H739" s="4" t="str">
        <f>TRIM(CLEAN(SUBSTITUTE(Table1_1[[#This Row],[Salesperson]],"   "," ")))</f>
        <v>Imran Sheikh</v>
      </c>
      <c r="I739" s="4" t="s">
        <v>92</v>
      </c>
      <c r="J739" s="4" t="s">
        <v>59</v>
      </c>
      <c r="K739" s="4" t="s">
        <v>154</v>
      </c>
      <c r="L739" s="4" t="s">
        <v>249</v>
      </c>
      <c r="M739" s="4" t="s">
        <v>23</v>
      </c>
      <c r="N739" s="4" t="s">
        <v>35</v>
      </c>
      <c r="O739" s="4">
        <v>7</v>
      </c>
      <c r="P739" s="7">
        <v>6520</v>
      </c>
      <c r="Q739" s="8">
        <v>0.25</v>
      </c>
      <c r="R739" s="7">
        <v>4810</v>
      </c>
      <c r="S739" s="7">
        <f>Table1_1[[#This Row],[Units Sold]]*Table1_1[[#This Row],[Unit Price]]*(1-Table1_1[[#This Row],[Discount %]])</f>
        <v>34230</v>
      </c>
      <c r="T739" s="7">
        <f>Table1_1[[#This Row],[Units Sold]]*Table1_1[[#This Row],[Unit Cost]]</f>
        <v>33670</v>
      </c>
      <c r="U739" s="7">
        <f>Table1_1[[#This Row],[Calculated sales]]-Table1_1[[#This Row],[Total cost]]</f>
        <v>560</v>
      </c>
      <c r="V739" s="4">
        <f>IFERROR(Table1_1[[#This Row],[Profit/Loss]]/Table1_1[[#This Row],[Calculated sales]],0)</f>
        <v>1.6359918200408999E-2</v>
      </c>
    </row>
    <row r="740" spans="1:22" x14ac:dyDescent="0.25">
      <c r="A740" s="4" t="s">
        <v>887</v>
      </c>
      <c r="B740" s="5">
        <v>45675</v>
      </c>
      <c r="C740" s="4">
        <f>YEAR(Table1_1[[#This Row],[Order Dates]])</f>
        <v>2025</v>
      </c>
      <c r="D740" s="6">
        <f>MONTH(Table1_1[[#This Row],[Order Dates]])</f>
        <v>1</v>
      </c>
      <c r="E740" s="4" t="s">
        <v>76</v>
      </c>
      <c r="F740" s="4" t="s">
        <v>77</v>
      </c>
      <c r="G740" s="4" t="s">
        <v>170</v>
      </c>
      <c r="H740" s="4" t="str">
        <f>TRIM(CLEAN(SUBSTITUTE(Table1_1[[#This Row],[Salesperson]],"   "," ")))</f>
        <v>Manish Tiwari</v>
      </c>
      <c r="I740" s="4" t="s">
        <v>52</v>
      </c>
      <c r="J740" s="4" t="s">
        <v>59</v>
      </c>
      <c r="K740" s="4" t="s">
        <v>73</v>
      </c>
      <c r="L740" s="4" t="s">
        <v>113</v>
      </c>
      <c r="M740" s="4" t="s">
        <v>23</v>
      </c>
      <c r="N740" s="4" t="s">
        <v>24</v>
      </c>
      <c r="O740" s="4">
        <v>1</v>
      </c>
      <c r="P740" s="7">
        <v>30970</v>
      </c>
      <c r="Q740" s="8">
        <v>0.15</v>
      </c>
      <c r="R740" s="7">
        <v>21340</v>
      </c>
      <c r="S740" s="7">
        <f>Table1_1[[#This Row],[Units Sold]]*Table1_1[[#This Row],[Unit Price]]*(1-Table1_1[[#This Row],[Discount %]])</f>
        <v>26324.5</v>
      </c>
      <c r="T740" s="7">
        <f>Table1_1[[#This Row],[Units Sold]]*Table1_1[[#This Row],[Unit Cost]]</f>
        <v>21340</v>
      </c>
      <c r="U740" s="7">
        <f>Table1_1[[#This Row],[Calculated sales]]-Table1_1[[#This Row],[Total cost]]</f>
        <v>4984.5</v>
      </c>
      <c r="V740" s="4">
        <f>IFERROR(Table1_1[[#This Row],[Profit/Loss]]/Table1_1[[#This Row],[Calculated sales]],0)</f>
        <v>0.18934832570419191</v>
      </c>
    </row>
    <row r="741" spans="1:22" x14ac:dyDescent="0.25">
      <c r="A741" s="4" t="s">
        <v>888</v>
      </c>
      <c r="B741" s="5">
        <v>45675</v>
      </c>
      <c r="C741" s="4">
        <f>YEAR(Table1_1[[#This Row],[Order Dates]])</f>
        <v>2025</v>
      </c>
      <c r="D741" s="6">
        <f>MONTH(Table1_1[[#This Row],[Order Dates]])</f>
        <v>1</v>
      </c>
      <c r="E741" s="4" t="s">
        <v>37</v>
      </c>
      <c r="F741" s="4" t="s">
        <v>115</v>
      </c>
      <c r="G741" s="4" t="s">
        <v>39</v>
      </c>
      <c r="H741" s="4" t="str">
        <f>TRIM(CLEAN(SUBSTITUTE(Table1_1[[#This Row],[Salesperson]],"   "," ")))</f>
        <v>Sourav Das</v>
      </c>
      <c r="I741" s="4" t="s">
        <v>92</v>
      </c>
      <c r="J741" s="4" t="s">
        <v>20</v>
      </c>
      <c r="K741" s="4" t="s">
        <v>33</v>
      </c>
      <c r="L741" s="4" t="s">
        <v>34</v>
      </c>
      <c r="M741" s="4" t="s">
        <v>40</v>
      </c>
      <c r="N741" s="4" t="s">
        <v>119</v>
      </c>
      <c r="O741" s="4">
        <v>4</v>
      </c>
      <c r="P741" s="7">
        <v>57920</v>
      </c>
      <c r="Q741" s="8">
        <v>0.1</v>
      </c>
      <c r="R741" s="7">
        <v>43520</v>
      </c>
      <c r="S741" s="7">
        <f>Table1_1[[#This Row],[Units Sold]]*Table1_1[[#This Row],[Unit Price]]*(1-Table1_1[[#This Row],[Discount %]])</f>
        <v>208512</v>
      </c>
      <c r="T741" s="7">
        <f>Table1_1[[#This Row],[Units Sold]]*Table1_1[[#This Row],[Unit Cost]]</f>
        <v>174080</v>
      </c>
      <c r="U741" s="7">
        <f>Table1_1[[#This Row],[Calculated sales]]-Table1_1[[#This Row],[Total cost]]</f>
        <v>34432</v>
      </c>
      <c r="V741" s="4">
        <f>IFERROR(Table1_1[[#This Row],[Profit/Loss]]/Table1_1[[#This Row],[Calculated sales]],0)</f>
        <v>0.16513198281154082</v>
      </c>
    </row>
    <row r="742" spans="1:22" x14ac:dyDescent="0.25">
      <c r="A742" s="4" t="s">
        <v>889</v>
      </c>
      <c r="B742" s="5">
        <v>45677</v>
      </c>
      <c r="C742" s="4">
        <f>YEAR(Table1_1[[#This Row],[Order Dates]])</f>
        <v>2025</v>
      </c>
      <c r="D742" s="6">
        <f>MONTH(Table1_1[[#This Row],[Order Dates]])</f>
        <v>1</v>
      </c>
      <c r="E742" s="4" t="s">
        <v>37</v>
      </c>
      <c r="F742" s="4" t="s">
        <v>213</v>
      </c>
      <c r="G742" s="4" t="s">
        <v>68</v>
      </c>
      <c r="H742" s="4" t="str">
        <f>TRIM(CLEAN(SUBSTITUTE(Table1_1[[#This Row],[Salesperson]],"   "," ")))</f>
        <v>Ritika Ghosh</v>
      </c>
      <c r="I742" s="4" t="s">
        <v>19</v>
      </c>
      <c r="J742" s="4" t="s">
        <v>20</v>
      </c>
      <c r="K742" s="4" t="s">
        <v>33</v>
      </c>
      <c r="L742" s="4" t="s">
        <v>1678</v>
      </c>
      <c r="M742" s="4" t="s">
        <v>49</v>
      </c>
      <c r="N742" s="4" t="s">
        <v>24</v>
      </c>
      <c r="O742" s="4">
        <v>3</v>
      </c>
      <c r="P742" s="7">
        <v>101960</v>
      </c>
      <c r="Q742" s="8">
        <v>0.2</v>
      </c>
      <c r="R742" s="7">
        <v>68490</v>
      </c>
      <c r="S742" s="7">
        <f>Table1_1[[#This Row],[Units Sold]]*Table1_1[[#This Row],[Unit Price]]*(1-Table1_1[[#This Row],[Discount %]])</f>
        <v>244704</v>
      </c>
      <c r="T742" s="7">
        <f>Table1_1[[#This Row],[Units Sold]]*Table1_1[[#This Row],[Unit Cost]]</f>
        <v>205470</v>
      </c>
      <c r="U742" s="7">
        <f>Table1_1[[#This Row],[Calculated sales]]-Table1_1[[#This Row],[Total cost]]</f>
        <v>39234</v>
      </c>
      <c r="V742" s="4">
        <f>IFERROR(Table1_1[[#This Row],[Profit/Loss]]/Table1_1[[#This Row],[Calculated sales]],0)</f>
        <v>0.16033248332679481</v>
      </c>
    </row>
    <row r="743" spans="1:22" x14ac:dyDescent="0.25">
      <c r="A743" s="4" t="s">
        <v>890</v>
      </c>
      <c r="B743" s="5">
        <v>45677</v>
      </c>
      <c r="C743" s="4">
        <f>YEAR(Table1_1[[#This Row],[Order Dates]])</f>
        <v>2025</v>
      </c>
      <c r="D743" s="6">
        <f>MONTH(Table1_1[[#This Row],[Order Dates]])</f>
        <v>1</v>
      </c>
      <c r="E743" s="4" t="s">
        <v>56</v>
      </c>
      <c r="F743" s="4" t="s">
        <v>103</v>
      </c>
      <c r="G743" s="4" t="s">
        <v>91</v>
      </c>
      <c r="H743" s="4" t="str">
        <f>TRIM(CLEAN(SUBSTITUTE(Table1_1[[#This Row],[Salesperson]],"   "," ")))</f>
        <v>Anjali Menon</v>
      </c>
      <c r="I743" s="4" t="s">
        <v>92</v>
      </c>
      <c r="J743" s="4" t="s">
        <v>46</v>
      </c>
      <c r="K743" s="4" t="s">
        <v>179</v>
      </c>
      <c r="L743" s="4" t="s">
        <v>236</v>
      </c>
      <c r="M743" s="4" t="s">
        <v>23</v>
      </c>
      <c r="N743" s="4" t="s">
        <v>94</v>
      </c>
      <c r="O743" s="4">
        <v>12</v>
      </c>
      <c r="P743" s="7">
        <v>2120</v>
      </c>
      <c r="Q743" s="8">
        <v>0.1</v>
      </c>
      <c r="R743" s="7">
        <v>1670</v>
      </c>
      <c r="S743" s="7">
        <f>Table1_1[[#This Row],[Units Sold]]*Table1_1[[#This Row],[Unit Price]]*(1-Table1_1[[#This Row],[Discount %]])</f>
        <v>22896</v>
      </c>
      <c r="T743" s="7">
        <f>Table1_1[[#This Row],[Units Sold]]*Table1_1[[#This Row],[Unit Cost]]</f>
        <v>20040</v>
      </c>
      <c r="U743" s="7">
        <f>Table1_1[[#This Row],[Calculated sales]]-Table1_1[[#This Row],[Total cost]]</f>
        <v>2856</v>
      </c>
      <c r="V743" s="4">
        <f>IFERROR(Table1_1[[#This Row],[Profit/Loss]]/Table1_1[[#This Row],[Calculated sales]],0)</f>
        <v>0.12473794549266247</v>
      </c>
    </row>
    <row r="744" spans="1:22" x14ac:dyDescent="0.25">
      <c r="A744" s="4" t="s">
        <v>891</v>
      </c>
      <c r="B744" s="5">
        <v>45678</v>
      </c>
      <c r="C744" s="4">
        <f>YEAR(Table1_1[[#This Row],[Order Dates]])</f>
        <v>2025</v>
      </c>
      <c r="D744" s="6">
        <f>MONTH(Table1_1[[#This Row],[Order Dates]])</f>
        <v>1</v>
      </c>
      <c r="E744" s="4" t="s">
        <v>37</v>
      </c>
      <c r="F744" s="4" t="s">
        <v>115</v>
      </c>
      <c r="G744" s="4" t="s">
        <v>39</v>
      </c>
      <c r="H744" s="4" t="str">
        <f>TRIM(CLEAN(SUBSTITUTE(Table1_1[[#This Row],[Salesperson]],"   "," ")))</f>
        <v>Sourav Das</v>
      </c>
      <c r="I744" s="4" t="s">
        <v>52</v>
      </c>
      <c r="J744" s="4" t="s">
        <v>20</v>
      </c>
      <c r="K744" s="4" t="s">
        <v>21</v>
      </c>
      <c r="L744" s="4" t="s">
        <v>1682</v>
      </c>
      <c r="M744" s="4" t="s">
        <v>40</v>
      </c>
      <c r="N744" s="4" t="s">
        <v>35</v>
      </c>
      <c r="O744" s="4">
        <v>11</v>
      </c>
      <c r="P744" s="7">
        <v>9880</v>
      </c>
      <c r="Q744" s="8">
        <v>0.08</v>
      </c>
      <c r="R744" s="7">
        <v>5850</v>
      </c>
      <c r="S744" s="7">
        <f>Table1_1[[#This Row],[Units Sold]]*Table1_1[[#This Row],[Unit Price]]*(1-Table1_1[[#This Row],[Discount %]])</f>
        <v>99985.600000000006</v>
      </c>
      <c r="T744" s="7">
        <f>Table1_1[[#This Row],[Units Sold]]*Table1_1[[#This Row],[Unit Cost]]</f>
        <v>64350</v>
      </c>
      <c r="U744" s="7">
        <f>Table1_1[[#This Row],[Calculated sales]]-Table1_1[[#This Row],[Total cost]]</f>
        <v>35635.600000000006</v>
      </c>
      <c r="V744" s="4">
        <f>IFERROR(Table1_1[[#This Row],[Profit/Loss]]/Table1_1[[#This Row],[Calculated sales]],0)</f>
        <v>0.35640732265446229</v>
      </c>
    </row>
    <row r="745" spans="1:22" x14ac:dyDescent="0.25">
      <c r="A745" s="4" t="s">
        <v>892</v>
      </c>
      <c r="B745" s="5">
        <v>45680</v>
      </c>
      <c r="C745" s="4">
        <f>YEAR(Table1_1[[#This Row],[Order Dates]])</f>
        <v>2025</v>
      </c>
      <c r="D745" s="6">
        <f>MONTH(Table1_1[[#This Row],[Order Dates]])</f>
        <v>1</v>
      </c>
      <c r="E745" s="4" t="s">
        <v>76</v>
      </c>
      <c r="F745" s="4" t="s">
        <v>77</v>
      </c>
      <c r="G745" s="4" t="s">
        <v>170</v>
      </c>
      <c r="H745" s="4" t="str">
        <f>TRIM(CLEAN(SUBSTITUTE(Table1_1[[#This Row],[Salesperson]],"   "," ")))</f>
        <v>Manish Tiwari</v>
      </c>
      <c r="I745" s="4" t="s">
        <v>52</v>
      </c>
      <c r="J745" s="4" t="s">
        <v>20</v>
      </c>
      <c r="K745" s="4" t="s">
        <v>33</v>
      </c>
      <c r="L745" s="4" t="s">
        <v>34</v>
      </c>
      <c r="M745" s="4" t="s">
        <v>23</v>
      </c>
      <c r="N745" s="4" t="s">
        <v>35</v>
      </c>
      <c r="O745" s="4">
        <v>2</v>
      </c>
      <c r="P745" s="7">
        <v>56100</v>
      </c>
      <c r="Q745" s="8">
        <v>0.05</v>
      </c>
      <c r="R745" s="7">
        <v>43790</v>
      </c>
      <c r="S745" s="7">
        <f>Table1_1[[#This Row],[Units Sold]]*Table1_1[[#This Row],[Unit Price]]*(1-Table1_1[[#This Row],[Discount %]])</f>
        <v>106590</v>
      </c>
      <c r="T745" s="7">
        <f>Table1_1[[#This Row],[Units Sold]]*Table1_1[[#This Row],[Unit Cost]]</f>
        <v>87580</v>
      </c>
      <c r="U745" s="7">
        <f>Table1_1[[#This Row],[Calculated sales]]-Table1_1[[#This Row],[Total cost]]</f>
        <v>19010</v>
      </c>
      <c r="V745" s="4">
        <f>IFERROR(Table1_1[[#This Row],[Profit/Loss]]/Table1_1[[#This Row],[Calculated sales]],0)</f>
        <v>0.17834693686086875</v>
      </c>
    </row>
    <row r="746" spans="1:22" x14ac:dyDescent="0.25">
      <c r="A746" s="4" t="s">
        <v>893</v>
      </c>
      <c r="B746" s="5">
        <v>45680</v>
      </c>
      <c r="C746" s="4">
        <f>YEAR(Table1_1[[#This Row],[Order Dates]])</f>
        <v>2025</v>
      </c>
      <c r="D746" s="6">
        <f>MONTH(Table1_1[[#This Row],[Order Dates]])</f>
        <v>1</v>
      </c>
      <c r="E746" s="4" t="s">
        <v>16</v>
      </c>
      <c r="F746" s="4" t="s">
        <v>51</v>
      </c>
      <c r="G746" s="4" t="s">
        <v>32</v>
      </c>
      <c r="H746" s="4" t="str">
        <f>TRIM(CLEAN(SUBSTITUTE(Table1_1[[#This Row],[Salesperson]],"   "," ")))</f>
        <v>Neha Deshpande</v>
      </c>
      <c r="I746" s="4" t="s">
        <v>19</v>
      </c>
      <c r="J746" s="4" t="s">
        <v>27</v>
      </c>
      <c r="K746" s="4" t="s">
        <v>214</v>
      </c>
      <c r="L746" s="4" t="s">
        <v>1680</v>
      </c>
      <c r="M746" s="4" t="s">
        <v>23</v>
      </c>
      <c r="N746" s="4" t="s">
        <v>24</v>
      </c>
      <c r="O746" s="4">
        <v>2</v>
      </c>
      <c r="P746" s="7">
        <v>32970</v>
      </c>
      <c r="Q746" s="8">
        <v>0.12</v>
      </c>
      <c r="R746" s="7">
        <v>24620</v>
      </c>
      <c r="S746" s="7">
        <f>Table1_1[[#This Row],[Units Sold]]*Table1_1[[#This Row],[Unit Price]]*(1-Table1_1[[#This Row],[Discount %]])</f>
        <v>58027.199999999997</v>
      </c>
      <c r="T746" s="7">
        <f>Table1_1[[#This Row],[Units Sold]]*Table1_1[[#This Row],[Unit Cost]]</f>
        <v>49240</v>
      </c>
      <c r="U746" s="7">
        <f>Table1_1[[#This Row],[Calculated sales]]-Table1_1[[#This Row],[Total cost]]</f>
        <v>8787.1999999999971</v>
      </c>
      <c r="V746" s="4">
        <f>IFERROR(Table1_1[[#This Row],[Profit/Loss]]/Table1_1[[#This Row],[Calculated sales]],0)</f>
        <v>0.15143243168720871</v>
      </c>
    </row>
    <row r="747" spans="1:22" x14ac:dyDescent="0.25">
      <c r="A747" s="4" t="s">
        <v>894</v>
      </c>
      <c r="B747" s="5">
        <v>45681</v>
      </c>
      <c r="C747" s="4">
        <f>YEAR(Table1_1[[#This Row],[Order Dates]])</f>
        <v>2025</v>
      </c>
      <c r="D747" s="6">
        <f>MONTH(Table1_1[[#This Row],[Order Dates]])</f>
        <v>1</v>
      </c>
      <c r="E747" s="4" t="s">
        <v>56</v>
      </c>
      <c r="F747" s="4" t="s">
        <v>143</v>
      </c>
      <c r="G747" s="4" t="s">
        <v>58</v>
      </c>
      <c r="H747" s="4" t="str">
        <f>TRIM(CLEAN(SUBSTITUTE(Table1_1[[#This Row],[Salesperson]],"   "," ")))</f>
        <v>Karthik Raman</v>
      </c>
      <c r="I747" s="4" t="s">
        <v>45</v>
      </c>
      <c r="J747" s="4" t="s">
        <v>20</v>
      </c>
      <c r="K747" s="4" t="s">
        <v>109</v>
      </c>
      <c r="L747" s="4" t="s">
        <v>1675</v>
      </c>
      <c r="M747" s="4" t="s">
        <v>49</v>
      </c>
      <c r="N747" s="4" t="s">
        <v>24</v>
      </c>
      <c r="O747" s="4">
        <v>6</v>
      </c>
      <c r="P747" s="7">
        <v>66690</v>
      </c>
      <c r="Q747" s="8">
        <v>0</v>
      </c>
      <c r="R747" s="7">
        <v>45240</v>
      </c>
      <c r="S747" s="7">
        <f>Table1_1[[#This Row],[Units Sold]]*Table1_1[[#This Row],[Unit Price]]*(1-Table1_1[[#This Row],[Discount %]])</f>
        <v>400140</v>
      </c>
      <c r="T747" s="7">
        <f>Table1_1[[#This Row],[Units Sold]]*Table1_1[[#This Row],[Unit Cost]]</f>
        <v>271440</v>
      </c>
      <c r="U747" s="7">
        <f>Table1_1[[#This Row],[Calculated sales]]-Table1_1[[#This Row],[Total cost]]</f>
        <v>128700</v>
      </c>
      <c r="V747" s="4">
        <f>IFERROR(Table1_1[[#This Row],[Profit/Loss]]/Table1_1[[#This Row],[Calculated sales]],0)</f>
        <v>0.32163742690058478</v>
      </c>
    </row>
    <row r="748" spans="1:22" x14ac:dyDescent="0.25">
      <c r="A748" s="4" t="s">
        <v>895</v>
      </c>
      <c r="B748" s="5">
        <v>45681</v>
      </c>
      <c r="C748" s="4">
        <f>YEAR(Table1_1[[#This Row],[Order Dates]])</f>
        <v>2025</v>
      </c>
      <c r="D748" s="6">
        <f>MONTH(Table1_1[[#This Row],[Order Dates]])</f>
        <v>1</v>
      </c>
      <c r="E748" s="4" t="s">
        <v>37</v>
      </c>
      <c r="F748" s="4" t="s">
        <v>115</v>
      </c>
      <c r="G748" s="4" t="s">
        <v>39</v>
      </c>
      <c r="H748" s="4" t="str">
        <f>TRIM(CLEAN(SUBSTITUTE(Table1_1[[#This Row],[Salesperson]],"   "," ")))</f>
        <v>Sourav Das</v>
      </c>
      <c r="I748" s="4" t="s">
        <v>19</v>
      </c>
      <c r="J748" s="4" t="s">
        <v>46</v>
      </c>
      <c r="K748" s="4" t="s">
        <v>179</v>
      </c>
      <c r="L748" s="4" t="s">
        <v>236</v>
      </c>
      <c r="M748" s="4" t="s">
        <v>49</v>
      </c>
      <c r="N748" s="4" t="s">
        <v>24</v>
      </c>
      <c r="O748" s="4">
        <v>18</v>
      </c>
      <c r="P748" s="7">
        <v>2360</v>
      </c>
      <c r="Q748" s="8">
        <v>0.1</v>
      </c>
      <c r="R748" s="7">
        <v>1720</v>
      </c>
      <c r="S748" s="7">
        <f>Table1_1[[#This Row],[Units Sold]]*Table1_1[[#This Row],[Unit Price]]*(1-Table1_1[[#This Row],[Discount %]])</f>
        <v>38232</v>
      </c>
      <c r="T748" s="7">
        <f>Table1_1[[#This Row],[Units Sold]]*Table1_1[[#This Row],[Unit Cost]]</f>
        <v>30960</v>
      </c>
      <c r="U748" s="7">
        <f>Table1_1[[#This Row],[Calculated sales]]-Table1_1[[#This Row],[Total cost]]</f>
        <v>7272</v>
      </c>
      <c r="V748" s="4">
        <f>IFERROR(Table1_1[[#This Row],[Profit/Loss]]/Table1_1[[#This Row],[Calculated sales]],0)</f>
        <v>0.19020715630885121</v>
      </c>
    </row>
    <row r="749" spans="1:22" x14ac:dyDescent="0.25">
      <c r="A749" s="4" t="s">
        <v>896</v>
      </c>
      <c r="B749" s="5">
        <v>45683</v>
      </c>
      <c r="C749" s="4">
        <f>YEAR(Table1_1[[#This Row],[Order Dates]])</f>
        <v>2025</v>
      </c>
      <c r="D749" s="6">
        <f>MONTH(Table1_1[[#This Row],[Order Dates]])</f>
        <v>1</v>
      </c>
      <c r="E749" s="4" t="s">
        <v>37</v>
      </c>
      <c r="F749" s="4" t="s">
        <v>166</v>
      </c>
      <c r="G749" s="4" t="s">
        <v>39</v>
      </c>
      <c r="H749" s="4" t="str">
        <f>TRIM(CLEAN(SUBSTITUTE(Table1_1[[#This Row],[Salesperson]],"   "," ")))</f>
        <v>Sourav Das</v>
      </c>
      <c r="I749" s="4" t="s">
        <v>45</v>
      </c>
      <c r="J749" s="4" t="s">
        <v>27</v>
      </c>
      <c r="K749" s="4" t="s">
        <v>53</v>
      </c>
      <c r="L749" s="4" t="s">
        <v>1669</v>
      </c>
      <c r="M749" s="4" t="s">
        <v>40</v>
      </c>
      <c r="N749" s="4" t="s">
        <v>24</v>
      </c>
      <c r="O749" s="4">
        <v>2</v>
      </c>
      <c r="P749" s="7">
        <v>43410</v>
      </c>
      <c r="Q749" s="8">
        <v>0</v>
      </c>
      <c r="R749" s="7">
        <v>31460</v>
      </c>
      <c r="S749" s="7">
        <f>Table1_1[[#This Row],[Units Sold]]*Table1_1[[#This Row],[Unit Price]]*(1-Table1_1[[#This Row],[Discount %]])</f>
        <v>86820</v>
      </c>
      <c r="T749" s="7">
        <f>Table1_1[[#This Row],[Units Sold]]*Table1_1[[#This Row],[Unit Cost]]</f>
        <v>62920</v>
      </c>
      <c r="U749" s="7">
        <f>Table1_1[[#This Row],[Calculated sales]]-Table1_1[[#This Row],[Total cost]]</f>
        <v>23900</v>
      </c>
      <c r="V749" s="4">
        <f>IFERROR(Table1_1[[#This Row],[Profit/Loss]]/Table1_1[[#This Row],[Calculated sales]],0)</f>
        <v>0.27528219304307761</v>
      </c>
    </row>
    <row r="750" spans="1:22" x14ac:dyDescent="0.25">
      <c r="A750" s="4" t="s">
        <v>897</v>
      </c>
      <c r="B750" s="5">
        <v>45683</v>
      </c>
      <c r="C750" s="4">
        <f>YEAR(Table1_1[[#This Row],[Order Dates]])</f>
        <v>2025</v>
      </c>
      <c r="D750" s="6">
        <f>MONTH(Table1_1[[#This Row],[Order Dates]])</f>
        <v>1</v>
      </c>
      <c r="E750" s="4" t="s">
        <v>42</v>
      </c>
      <c r="F750" s="4" t="s">
        <v>146</v>
      </c>
      <c r="G750" s="4" t="s">
        <v>64</v>
      </c>
      <c r="H750" s="4" t="str">
        <f>TRIM(CLEAN(SUBSTITUTE(Table1_1[[#This Row],[Salesperson]],"   "," ")))</f>
        <v>Aditya Verma</v>
      </c>
      <c r="I750" s="4" t="s">
        <v>92</v>
      </c>
      <c r="J750" s="4" t="s">
        <v>27</v>
      </c>
      <c r="K750" s="4" t="s">
        <v>214</v>
      </c>
      <c r="L750" s="4" t="s">
        <v>1681</v>
      </c>
      <c r="M750" s="4" t="s">
        <v>40</v>
      </c>
      <c r="N750" s="4" t="s">
        <v>24</v>
      </c>
      <c r="O750" s="4">
        <v>12</v>
      </c>
      <c r="P750" s="7">
        <v>13450</v>
      </c>
      <c r="Q750" s="8">
        <v>0.08</v>
      </c>
      <c r="R750" s="7">
        <v>9680</v>
      </c>
      <c r="S750" s="7">
        <f>Table1_1[[#This Row],[Units Sold]]*Table1_1[[#This Row],[Unit Price]]*(1-Table1_1[[#This Row],[Discount %]])</f>
        <v>148488</v>
      </c>
      <c r="T750" s="7">
        <f>Table1_1[[#This Row],[Units Sold]]*Table1_1[[#This Row],[Unit Cost]]</f>
        <v>116160</v>
      </c>
      <c r="U750" s="7">
        <f>Table1_1[[#This Row],[Calculated sales]]-Table1_1[[#This Row],[Total cost]]</f>
        <v>32328</v>
      </c>
      <c r="V750" s="4">
        <f>IFERROR(Table1_1[[#This Row],[Profit/Loss]]/Table1_1[[#This Row],[Calculated sales]],0)</f>
        <v>0.21771456279295295</v>
      </c>
    </row>
    <row r="751" spans="1:22" x14ac:dyDescent="0.25">
      <c r="A751" s="4" t="s">
        <v>898</v>
      </c>
      <c r="B751" s="5">
        <v>45683</v>
      </c>
      <c r="C751" s="4">
        <f>YEAR(Table1_1[[#This Row],[Order Dates]])</f>
        <v>2025</v>
      </c>
      <c r="D751" s="6">
        <f>MONTH(Table1_1[[#This Row],[Order Dates]])</f>
        <v>1</v>
      </c>
      <c r="E751" s="4" t="s">
        <v>42</v>
      </c>
      <c r="F751" s="4" t="s">
        <v>265</v>
      </c>
      <c r="G751" s="4" t="s">
        <v>64</v>
      </c>
      <c r="H751" s="4" t="str">
        <f>TRIM(CLEAN(SUBSTITUTE(Table1_1[[#This Row],[Salesperson]],"   "," ")))</f>
        <v>Aditya Verma</v>
      </c>
      <c r="I751" s="4" t="s">
        <v>92</v>
      </c>
      <c r="J751" s="4" t="s">
        <v>83</v>
      </c>
      <c r="K751" s="4" t="s">
        <v>136</v>
      </c>
      <c r="L751" s="4" t="s">
        <v>137</v>
      </c>
      <c r="M751" s="4" t="s">
        <v>49</v>
      </c>
      <c r="N751" s="4" t="s">
        <v>24</v>
      </c>
      <c r="O751" s="4">
        <v>13</v>
      </c>
      <c r="P751" s="7">
        <v>1560</v>
      </c>
      <c r="Q751" s="8">
        <v>0.08</v>
      </c>
      <c r="R751" s="7">
        <v>1030</v>
      </c>
      <c r="S751" s="7">
        <f>Table1_1[[#This Row],[Units Sold]]*Table1_1[[#This Row],[Unit Price]]*(1-Table1_1[[#This Row],[Discount %]])</f>
        <v>18657.600000000002</v>
      </c>
      <c r="T751" s="7">
        <f>Table1_1[[#This Row],[Units Sold]]*Table1_1[[#This Row],[Unit Cost]]</f>
        <v>13390</v>
      </c>
      <c r="U751" s="7">
        <f>Table1_1[[#This Row],[Calculated sales]]-Table1_1[[#This Row],[Total cost]]</f>
        <v>5267.6000000000022</v>
      </c>
      <c r="V751" s="4">
        <f>IFERROR(Table1_1[[#This Row],[Profit/Loss]]/Table1_1[[#This Row],[Calculated sales]],0)</f>
        <v>0.28232998885172805</v>
      </c>
    </row>
    <row r="752" spans="1:22" x14ac:dyDescent="0.25">
      <c r="A752" s="4" t="s">
        <v>899</v>
      </c>
      <c r="B752" s="5">
        <v>45683</v>
      </c>
      <c r="C752" s="4">
        <f>YEAR(Table1_1[[#This Row],[Order Dates]])</f>
        <v>2025</v>
      </c>
      <c r="D752" s="6">
        <f>MONTH(Table1_1[[#This Row],[Order Dates]])</f>
        <v>1</v>
      </c>
      <c r="E752" s="4" t="s">
        <v>76</v>
      </c>
      <c r="F752" s="4" t="s">
        <v>77</v>
      </c>
      <c r="G752" s="4" t="s">
        <v>170</v>
      </c>
      <c r="H752" s="4" t="str">
        <f>TRIM(CLEAN(SUBSTITUTE(Table1_1[[#This Row],[Salesperson]],"   "," ")))</f>
        <v>Manish Tiwari</v>
      </c>
      <c r="I752" s="4" t="s">
        <v>52</v>
      </c>
      <c r="J752" s="4" t="s">
        <v>59</v>
      </c>
      <c r="K752" s="4" t="s">
        <v>154</v>
      </c>
      <c r="L752" s="4" t="s">
        <v>249</v>
      </c>
      <c r="M752" s="4" t="s">
        <v>40</v>
      </c>
      <c r="N752" s="4" t="s">
        <v>24</v>
      </c>
      <c r="O752" s="4">
        <v>7</v>
      </c>
      <c r="P752" s="7">
        <v>6310</v>
      </c>
      <c r="Q752" s="8">
        <v>0</v>
      </c>
      <c r="R752" s="7">
        <v>4340</v>
      </c>
      <c r="S752" s="7">
        <f>Table1_1[[#This Row],[Units Sold]]*Table1_1[[#This Row],[Unit Price]]*(1-Table1_1[[#This Row],[Discount %]])</f>
        <v>44170</v>
      </c>
      <c r="T752" s="7">
        <f>Table1_1[[#This Row],[Units Sold]]*Table1_1[[#This Row],[Unit Cost]]</f>
        <v>30380</v>
      </c>
      <c r="U752" s="7">
        <f>Table1_1[[#This Row],[Calculated sales]]-Table1_1[[#This Row],[Total cost]]</f>
        <v>13790</v>
      </c>
      <c r="V752" s="4">
        <f>IFERROR(Table1_1[[#This Row],[Profit/Loss]]/Table1_1[[#This Row],[Calculated sales]],0)</f>
        <v>0.312202852614897</v>
      </c>
    </row>
    <row r="753" spans="1:22" x14ac:dyDescent="0.25">
      <c r="A753" s="4" t="s">
        <v>900</v>
      </c>
      <c r="B753" s="5">
        <v>45684</v>
      </c>
      <c r="C753" s="4">
        <f>YEAR(Table1_1[[#This Row],[Order Dates]])</f>
        <v>2025</v>
      </c>
      <c r="D753" s="6">
        <f>MONTH(Table1_1[[#This Row],[Order Dates]])</f>
        <v>1</v>
      </c>
      <c r="E753" s="4" t="s">
        <v>56</v>
      </c>
      <c r="F753" s="4" t="s">
        <v>57</v>
      </c>
      <c r="G753" s="4" t="s">
        <v>91</v>
      </c>
      <c r="H753" s="4" t="str">
        <f>TRIM(CLEAN(SUBSTITUTE(Table1_1[[#This Row],[Salesperson]],"   "," ")))</f>
        <v>Anjali Menon</v>
      </c>
      <c r="I753" s="4" t="s">
        <v>19</v>
      </c>
      <c r="J753" s="4" t="s">
        <v>27</v>
      </c>
      <c r="K753" s="4" t="s">
        <v>79</v>
      </c>
      <c r="L753" s="4" t="s">
        <v>168</v>
      </c>
      <c r="M753" s="4" t="s">
        <v>40</v>
      </c>
      <c r="N753" s="4" t="s">
        <v>24</v>
      </c>
      <c r="O753" s="4">
        <v>12</v>
      </c>
      <c r="P753" s="7">
        <v>9190</v>
      </c>
      <c r="Q753" s="8">
        <v>0.08</v>
      </c>
      <c r="R753" s="7">
        <v>5570</v>
      </c>
      <c r="S753" s="7">
        <f>Table1_1[[#This Row],[Units Sold]]*Table1_1[[#This Row],[Unit Price]]*(1-Table1_1[[#This Row],[Discount %]])</f>
        <v>101457.60000000001</v>
      </c>
      <c r="T753" s="7">
        <f>Table1_1[[#This Row],[Units Sold]]*Table1_1[[#This Row],[Unit Cost]]</f>
        <v>66840</v>
      </c>
      <c r="U753" s="7">
        <f>Table1_1[[#This Row],[Calculated sales]]-Table1_1[[#This Row],[Total cost]]</f>
        <v>34617.600000000006</v>
      </c>
      <c r="V753" s="4">
        <f>IFERROR(Table1_1[[#This Row],[Profit/Loss]]/Table1_1[[#This Row],[Calculated sales]],0)</f>
        <v>0.34120263045843785</v>
      </c>
    </row>
    <row r="754" spans="1:22" x14ac:dyDescent="0.25">
      <c r="A754" s="4" t="s">
        <v>901</v>
      </c>
      <c r="B754" s="5">
        <v>45685</v>
      </c>
      <c r="C754" s="4">
        <f>YEAR(Table1_1[[#This Row],[Order Dates]])</f>
        <v>2025</v>
      </c>
      <c r="D754" s="6">
        <f>MONTH(Table1_1[[#This Row],[Order Dates]])</f>
        <v>1</v>
      </c>
      <c r="E754" s="4" t="s">
        <v>16</v>
      </c>
      <c r="F754" s="4" t="s">
        <v>153</v>
      </c>
      <c r="G754" s="4" t="s">
        <v>32</v>
      </c>
      <c r="H754" s="4" t="str">
        <f>TRIM(CLEAN(SUBSTITUTE(Table1_1[[#This Row],[Salesperson]],"   "," ")))</f>
        <v>Neha Deshpande</v>
      </c>
      <c r="I754" s="4" t="s">
        <v>19</v>
      </c>
      <c r="J754" s="4" t="s">
        <v>20</v>
      </c>
      <c r="K754" s="4" t="s">
        <v>87</v>
      </c>
      <c r="L754" s="4" t="s">
        <v>1674</v>
      </c>
      <c r="M754" s="4" t="s">
        <v>23</v>
      </c>
      <c r="N754" s="4" t="s">
        <v>119</v>
      </c>
      <c r="O754" s="4">
        <v>3</v>
      </c>
      <c r="P754" s="7">
        <v>51800</v>
      </c>
      <c r="Q754" s="8">
        <v>0.2</v>
      </c>
      <c r="R754" s="7">
        <v>32360</v>
      </c>
      <c r="S754" s="7">
        <f>Table1_1[[#This Row],[Units Sold]]*Table1_1[[#This Row],[Unit Price]]*(1-Table1_1[[#This Row],[Discount %]])</f>
        <v>124320</v>
      </c>
      <c r="T754" s="7">
        <f>Table1_1[[#This Row],[Units Sold]]*Table1_1[[#This Row],[Unit Cost]]</f>
        <v>97080</v>
      </c>
      <c r="U754" s="7">
        <f>Table1_1[[#This Row],[Calculated sales]]-Table1_1[[#This Row],[Total cost]]</f>
        <v>27240</v>
      </c>
      <c r="V754" s="4">
        <f>IFERROR(Table1_1[[#This Row],[Profit/Loss]]/Table1_1[[#This Row],[Calculated sales]],0)</f>
        <v>0.21911196911196912</v>
      </c>
    </row>
    <row r="755" spans="1:22" x14ac:dyDescent="0.25">
      <c r="A755" s="4" t="s">
        <v>902</v>
      </c>
      <c r="B755" s="5">
        <v>45685</v>
      </c>
      <c r="C755" s="4">
        <f>YEAR(Table1_1[[#This Row],[Order Dates]])</f>
        <v>2025</v>
      </c>
      <c r="D755" s="6">
        <f>MONTH(Table1_1[[#This Row],[Order Dates]])</f>
        <v>1</v>
      </c>
      <c r="E755" s="4" t="s">
        <v>56</v>
      </c>
      <c r="F755" s="4" t="s">
        <v>57</v>
      </c>
      <c r="G755" s="4" t="s">
        <v>91</v>
      </c>
      <c r="H755" s="4" t="str">
        <f>TRIM(CLEAN(SUBSTITUTE(Table1_1[[#This Row],[Salesperson]],"   "," ")))</f>
        <v>Anjali Menon</v>
      </c>
      <c r="I755" s="4" t="s">
        <v>19</v>
      </c>
      <c r="J755" s="4" t="s">
        <v>83</v>
      </c>
      <c r="K755" s="4" t="s">
        <v>136</v>
      </c>
      <c r="L755" s="4" t="s">
        <v>307</v>
      </c>
      <c r="M755" s="4" t="s">
        <v>40</v>
      </c>
      <c r="N755" s="4" t="s">
        <v>119</v>
      </c>
      <c r="O755" s="4">
        <v>10</v>
      </c>
      <c r="P755" s="7">
        <v>950</v>
      </c>
      <c r="Q755" s="8">
        <v>0.08</v>
      </c>
      <c r="R755" s="7">
        <v>730</v>
      </c>
      <c r="S755" s="7">
        <f>Table1_1[[#This Row],[Units Sold]]*Table1_1[[#This Row],[Unit Price]]*(1-Table1_1[[#This Row],[Discount %]])</f>
        <v>8740</v>
      </c>
      <c r="T755" s="7">
        <f>Table1_1[[#This Row],[Units Sold]]*Table1_1[[#This Row],[Unit Cost]]</f>
        <v>7300</v>
      </c>
      <c r="U755" s="7">
        <f>Table1_1[[#This Row],[Calculated sales]]-Table1_1[[#This Row],[Total cost]]</f>
        <v>1440</v>
      </c>
      <c r="V755" s="4">
        <f>IFERROR(Table1_1[[#This Row],[Profit/Loss]]/Table1_1[[#This Row],[Calculated sales]],0)</f>
        <v>0.16475972540045766</v>
      </c>
    </row>
    <row r="756" spans="1:22" x14ac:dyDescent="0.25">
      <c r="A756" s="4" t="s">
        <v>903</v>
      </c>
      <c r="B756" s="5">
        <v>45686</v>
      </c>
      <c r="C756" s="4">
        <f>YEAR(Table1_1[[#This Row],[Order Dates]])</f>
        <v>2025</v>
      </c>
      <c r="D756" s="6">
        <f>MONTH(Table1_1[[#This Row],[Order Dates]])</f>
        <v>1</v>
      </c>
      <c r="E756" s="4" t="s">
        <v>42</v>
      </c>
      <c r="F756" s="4" t="s">
        <v>96</v>
      </c>
      <c r="G756" s="4" t="s">
        <v>97</v>
      </c>
      <c r="H756" s="4" t="str">
        <f>TRIM(CLEAN(SUBSTITUTE(Table1_1[[#This Row],[Salesperson]],"   "," ")))</f>
        <v>Rohit Malhotra</v>
      </c>
      <c r="I756" s="4" t="s">
        <v>92</v>
      </c>
      <c r="J756" s="4" t="s">
        <v>83</v>
      </c>
      <c r="K756" s="4" t="s">
        <v>184</v>
      </c>
      <c r="L756" s="4" t="s">
        <v>1679</v>
      </c>
      <c r="M756" s="4" t="s">
        <v>40</v>
      </c>
      <c r="N756" s="4" t="s">
        <v>119</v>
      </c>
      <c r="O756" s="4">
        <v>13</v>
      </c>
      <c r="P756" s="7">
        <v>4770</v>
      </c>
      <c r="Q756" s="8">
        <v>0.15</v>
      </c>
      <c r="R756" s="7">
        <v>2710</v>
      </c>
      <c r="S756" s="7">
        <f>Table1_1[[#This Row],[Units Sold]]*Table1_1[[#This Row],[Unit Price]]*(1-Table1_1[[#This Row],[Discount %]])</f>
        <v>52708.5</v>
      </c>
      <c r="T756" s="7">
        <f>Table1_1[[#This Row],[Units Sold]]*Table1_1[[#This Row],[Unit Cost]]</f>
        <v>35230</v>
      </c>
      <c r="U756" s="7">
        <f>Table1_1[[#This Row],[Calculated sales]]-Table1_1[[#This Row],[Total cost]]</f>
        <v>17478.5</v>
      </c>
      <c r="V756" s="4">
        <f>IFERROR(Table1_1[[#This Row],[Profit/Loss]]/Table1_1[[#This Row],[Calculated sales]],0)</f>
        <v>0.33160685657910965</v>
      </c>
    </row>
    <row r="757" spans="1:22" x14ac:dyDescent="0.25">
      <c r="A757" s="4" t="s">
        <v>904</v>
      </c>
      <c r="B757" s="5">
        <v>45686</v>
      </c>
      <c r="C757" s="4">
        <f>YEAR(Table1_1[[#This Row],[Order Dates]])</f>
        <v>2025</v>
      </c>
      <c r="D757" s="6">
        <f>MONTH(Table1_1[[#This Row],[Order Dates]])</f>
        <v>1</v>
      </c>
      <c r="E757" s="4" t="s">
        <v>37</v>
      </c>
      <c r="F757" s="4" t="s">
        <v>67</v>
      </c>
      <c r="G757" s="4" t="s">
        <v>68</v>
      </c>
      <c r="H757" s="4" t="str">
        <f>TRIM(CLEAN(SUBSTITUTE(Table1_1[[#This Row],[Salesperson]],"   "," ")))</f>
        <v>Ritika Ghosh</v>
      </c>
      <c r="I757" s="4" t="s">
        <v>92</v>
      </c>
      <c r="J757" s="4" t="s">
        <v>46</v>
      </c>
      <c r="K757" s="4" t="s">
        <v>47</v>
      </c>
      <c r="L757" s="4" t="s">
        <v>48</v>
      </c>
      <c r="M757" s="4" t="s">
        <v>40</v>
      </c>
      <c r="N757" s="4" t="s">
        <v>119</v>
      </c>
      <c r="O757" s="4">
        <v>5</v>
      </c>
      <c r="P757" s="7">
        <v>1760</v>
      </c>
      <c r="Q757" s="8">
        <v>0.1</v>
      </c>
      <c r="R757" s="7">
        <v>1190</v>
      </c>
      <c r="S757" s="7">
        <f>Table1_1[[#This Row],[Units Sold]]*Table1_1[[#This Row],[Unit Price]]*(1-Table1_1[[#This Row],[Discount %]])</f>
        <v>7920</v>
      </c>
      <c r="T757" s="7">
        <f>Table1_1[[#This Row],[Units Sold]]*Table1_1[[#This Row],[Unit Cost]]</f>
        <v>5950</v>
      </c>
      <c r="U757" s="7">
        <f>Table1_1[[#This Row],[Calculated sales]]-Table1_1[[#This Row],[Total cost]]</f>
        <v>1970</v>
      </c>
      <c r="V757" s="4">
        <f>IFERROR(Table1_1[[#This Row],[Profit/Loss]]/Table1_1[[#This Row],[Calculated sales]],0)</f>
        <v>0.24873737373737373</v>
      </c>
    </row>
    <row r="758" spans="1:22" x14ac:dyDescent="0.25">
      <c r="A758" s="4" t="s">
        <v>905</v>
      </c>
      <c r="B758" s="5">
        <v>45687</v>
      </c>
      <c r="C758" s="4">
        <f>YEAR(Table1_1[[#This Row],[Order Dates]])</f>
        <v>2025</v>
      </c>
      <c r="D758" s="6">
        <f>MONTH(Table1_1[[#This Row],[Order Dates]])</f>
        <v>1</v>
      </c>
      <c r="E758" s="4" t="s">
        <v>56</v>
      </c>
      <c r="F758" s="4" t="s">
        <v>72</v>
      </c>
      <c r="G758" s="4" t="s">
        <v>91</v>
      </c>
      <c r="H758" s="4" t="str">
        <f>TRIM(CLEAN(SUBSTITUTE(Table1_1[[#This Row],[Salesperson]],"   "," ")))</f>
        <v>Anjali Menon</v>
      </c>
      <c r="I758" s="4" t="s">
        <v>19</v>
      </c>
      <c r="J758" s="4" t="s">
        <v>46</v>
      </c>
      <c r="K758" s="4" t="s">
        <v>47</v>
      </c>
      <c r="L758" s="4" t="s">
        <v>1673</v>
      </c>
      <c r="M758" s="4" t="s">
        <v>40</v>
      </c>
      <c r="N758" s="4" t="s">
        <v>94</v>
      </c>
      <c r="O758" s="4">
        <v>9</v>
      </c>
      <c r="P758" s="7">
        <v>1290</v>
      </c>
      <c r="Q758" s="8">
        <v>0.12</v>
      </c>
      <c r="R758" s="7">
        <v>1000</v>
      </c>
      <c r="S758" s="7">
        <f>Table1_1[[#This Row],[Units Sold]]*Table1_1[[#This Row],[Unit Price]]*(1-Table1_1[[#This Row],[Discount %]])</f>
        <v>10216.799999999999</v>
      </c>
      <c r="T758" s="7">
        <f>Table1_1[[#This Row],[Units Sold]]*Table1_1[[#This Row],[Unit Cost]]</f>
        <v>9000</v>
      </c>
      <c r="U758" s="7">
        <f>Table1_1[[#This Row],[Calculated sales]]-Table1_1[[#This Row],[Total cost]]</f>
        <v>1216.7999999999993</v>
      </c>
      <c r="V758" s="4">
        <f>IFERROR(Table1_1[[#This Row],[Profit/Loss]]/Table1_1[[#This Row],[Calculated sales]],0)</f>
        <v>0.11909795630725857</v>
      </c>
    </row>
    <row r="759" spans="1:22" x14ac:dyDescent="0.25">
      <c r="A759" s="4" t="s">
        <v>907</v>
      </c>
      <c r="B759" s="5">
        <v>45688</v>
      </c>
      <c r="C759" s="4">
        <f>YEAR(Table1_1[[#This Row],[Order Dates]])</f>
        <v>2025</v>
      </c>
      <c r="D759" s="6">
        <f>MONTH(Table1_1[[#This Row],[Order Dates]])</f>
        <v>1</v>
      </c>
      <c r="E759" s="4" t="s">
        <v>37</v>
      </c>
      <c r="F759" s="4" t="s">
        <v>115</v>
      </c>
      <c r="G759" s="4" t="s">
        <v>908</v>
      </c>
      <c r="H759" s="4" t="str">
        <f>TRIM(CLEAN(SUBSTITUTE(Table1_1[[#This Row],[Salesperson]],"   "," ")))</f>
        <v>Ritika Ghosh</v>
      </c>
      <c r="I759" s="4" t="s">
        <v>19</v>
      </c>
      <c r="J759" s="4" t="s">
        <v>46</v>
      </c>
      <c r="K759" s="4" t="s">
        <v>47</v>
      </c>
      <c r="L759" s="4" t="s">
        <v>48</v>
      </c>
      <c r="M759" s="4" t="s">
        <v>40</v>
      </c>
      <c r="N759" s="4" t="s">
        <v>24</v>
      </c>
      <c r="O759" s="4">
        <v>21</v>
      </c>
      <c r="P759" s="7">
        <v>1860</v>
      </c>
      <c r="Q759" s="8">
        <v>0.12</v>
      </c>
      <c r="R759" s="7">
        <v>1230</v>
      </c>
      <c r="S759" s="7">
        <f>Table1_1[[#This Row],[Units Sold]]*Table1_1[[#This Row],[Unit Price]]*(1-Table1_1[[#This Row],[Discount %]])</f>
        <v>34372.800000000003</v>
      </c>
      <c r="T759" s="7">
        <f>Table1_1[[#This Row],[Units Sold]]*Table1_1[[#This Row],[Unit Cost]]</f>
        <v>25830</v>
      </c>
      <c r="U759" s="7">
        <f>Table1_1[[#This Row],[Calculated sales]]-Table1_1[[#This Row],[Total cost]]</f>
        <v>8542.8000000000029</v>
      </c>
      <c r="V759" s="4">
        <f>IFERROR(Table1_1[[#This Row],[Profit/Loss]]/Table1_1[[#This Row],[Calculated sales]],0)</f>
        <v>0.24853372434017601</v>
      </c>
    </row>
    <row r="760" spans="1:22" x14ac:dyDescent="0.25">
      <c r="A760" s="4" t="s">
        <v>909</v>
      </c>
      <c r="B760" s="5">
        <v>45689</v>
      </c>
      <c r="C760" s="4">
        <f>YEAR(Table1_1[[#This Row],[Order Dates]])</f>
        <v>2025</v>
      </c>
      <c r="D760" s="6">
        <f>MONTH(Table1_1[[#This Row],[Order Dates]])</f>
        <v>2</v>
      </c>
      <c r="E760" s="4" t="s">
        <v>42</v>
      </c>
      <c r="F760" s="4" t="s">
        <v>96</v>
      </c>
      <c r="G760" s="4" t="s">
        <v>44</v>
      </c>
      <c r="H760" s="4" t="str">
        <f>TRIM(CLEAN(SUBSTITUTE(Table1_1[[#This Row],[Salesperson]],"   "," ")))</f>
        <v>Simran Kaur</v>
      </c>
      <c r="I760" s="4" t="s">
        <v>19</v>
      </c>
      <c r="J760" s="4" t="s">
        <v>20</v>
      </c>
      <c r="K760" s="4" t="s">
        <v>87</v>
      </c>
      <c r="L760" s="4" t="s">
        <v>1674</v>
      </c>
      <c r="M760" s="4" t="s">
        <v>23</v>
      </c>
      <c r="N760" s="4" t="s">
        <v>24</v>
      </c>
      <c r="O760" s="4">
        <v>4</v>
      </c>
      <c r="P760" s="7">
        <v>51920</v>
      </c>
      <c r="Q760" s="8">
        <v>0.05</v>
      </c>
      <c r="R760" s="7">
        <v>39630</v>
      </c>
      <c r="S760" s="7">
        <f>Table1_1[[#This Row],[Units Sold]]*Table1_1[[#This Row],[Unit Price]]*(1-Table1_1[[#This Row],[Discount %]])</f>
        <v>197296</v>
      </c>
      <c r="T760" s="7">
        <f>Table1_1[[#This Row],[Units Sold]]*Table1_1[[#This Row],[Unit Cost]]</f>
        <v>158520</v>
      </c>
      <c r="U760" s="7">
        <f>Table1_1[[#This Row],[Calculated sales]]-Table1_1[[#This Row],[Total cost]]</f>
        <v>38776</v>
      </c>
      <c r="V760" s="4">
        <f>IFERROR(Table1_1[[#This Row],[Profit/Loss]]/Table1_1[[#This Row],[Calculated sales]],0)</f>
        <v>0.19653718271024248</v>
      </c>
    </row>
    <row r="761" spans="1:22" x14ac:dyDescent="0.25">
      <c r="A761" s="4" t="s">
        <v>910</v>
      </c>
      <c r="B761" s="5">
        <v>45689</v>
      </c>
      <c r="C761" s="4">
        <f>YEAR(Table1_1[[#This Row],[Order Dates]])</f>
        <v>2025</v>
      </c>
      <c r="D761" s="6">
        <f>MONTH(Table1_1[[#This Row],[Order Dates]])</f>
        <v>2</v>
      </c>
      <c r="E761" s="4" t="s">
        <v>56</v>
      </c>
      <c r="F761" s="4" t="s">
        <v>72</v>
      </c>
      <c r="G761" s="4" t="s">
        <v>91</v>
      </c>
      <c r="H761" s="4" t="str">
        <f>TRIM(CLEAN(SUBSTITUTE(Table1_1[[#This Row],[Salesperson]],"   "," ")))</f>
        <v>Anjali Menon</v>
      </c>
      <c r="I761" s="4" t="s">
        <v>45</v>
      </c>
      <c r="J761" s="4" t="s">
        <v>20</v>
      </c>
      <c r="K761" s="4" t="s">
        <v>21</v>
      </c>
      <c r="L761" s="4" t="s">
        <v>1667</v>
      </c>
      <c r="M761" s="4" t="s">
        <v>23</v>
      </c>
      <c r="N761" s="4" t="s">
        <v>24</v>
      </c>
      <c r="O761" s="4">
        <v>47</v>
      </c>
      <c r="P761" s="7">
        <v>1740</v>
      </c>
      <c r="Q761" s="8">
        <v>0.08</v>
      </c>
      <c r="R761" s="7">
        <v>1000</v>
      </c>
      <c r="S761" s="7">
        <f>Table1_1[[#This Row],[Units Sold]]*Table1_1[[#This Row],[Unit Price]]*(1-Table1_1[[#This Row],[Discount %]])</f>
        <v>75237.600000000006</v>
      </c>
      <c r="T761" s="7">
        <f>Table1_1[[#This Row],[Units Sold]]*Table1_1[[#This Row],[Unit Cost]]</f>
        <v>47000</v>
      </c>
      <c r="U761" s="7">
        <f>Table1_1[[#This Row],[Calculated sales]]-Table1_1[[#This Row],[Total cost]]</f>
        <v>28237.600000000006</v>
      </c>
      <c r="V761" s="4">
        <f>IFERROR(Table1_1[[#This Row],[Profit/Loss]]/Table1_1[[#This Row],[Calculated sales]],0)</f>
        <v>0.37531234382808598</v>
      </c>
    </row>
    <row r="762" spans="1:22" x14ac:dyDescent="0.25">
      <c r="A762" s="4" t="s">
        <v>911</v>
      </c>
      <c r="B762" s="5">
        <v>45690</v>
      </c>
      <c r="C762" s="4">
        <f>YEAR(Table1_1[[#This Row],[Order Dates]])</f>
        <v>2025</v>
      </c>
      <c r="D762" s="6">
        <f>MONTH(Table1_1[[#This Row],[Order Dates]])</f>
        <v>2</v>
      </c>
      <c r="E762" s="4" t="s">
        <v>16</v>
      </c>
      <c r="F762" s="4" t="s">
        <v>17</v>
      </c>
      <c r="G762" s="4" t="s">
        <v>26</v>
      </c>
      <c r="H762" s="4" t="str">
        <f>TRIM(CLEAN(SUBSTITUTE(Table1_1[[#This Row],[Salesperson]],"   "," ")))</f>
        <v>Prateek Shah</v>
      </c>
      <c r="I762" s="4" t="s">
        <v>92</v>
      </c>
      <c r="J762" s="4" t="s">
        <v>27</v>
      </c>
      <c r="K762" s="4" t="s">
        <v>214</v>
      </c>
      <c r="L762" s="4" t="s">
        <v>1680</v>
      </c>
      <c r="M762" s="4" t="s">
        <v>23</v>
      </c>
      <c r="N762" s="4" t="s">
        <v>24</v>
      </c>
      <c r="O762" s="4">
        <v>2</v>
      </c>
      <c r="P762" s="7">
        <v>36300</v>
      </c>
      <c r="Q762" s="8">
        <v>0.05</v>
      </c>
      <c r="R762" s="7">
        <v>20790</v>
      </c>
      <c r="S762" s="7">
        <f>Table1_1[[#This Row],[Units Sold]]*Table1_1[[#This Row],[Unit Price]]*(1-Table1_1[[#This Row],[Discount %]])</f>
        <v>68970</v>
      </c>
      <c r="T762" s="7">
        <f>Table1_1[[#This Row],[Units Sold]]*Table1_1[[#This Row],[Unit Cost]]</f>
        <v>41580</v>
      </c>
      <c r="U762" s="7">
        <f>Table1_1[[#This Row],[Calculated sales]]-Table1_1[[#This Row],[Total cost]]</f>
        <v>27390</v>
      </c>
      <c r="V762" s="4">
        <f>IFERROR(Table1_1[[#This Row],[Profit/Loss]]/Table1_1[[#This Row],[Calculated sales]],0)</f>
        <v>0.39712918660287083</v>
      </c>
    </row>
    <row r="763" spans="1:22" x14ac:dyDescent="0.25">
      <c r="A763" s="4" t="s">
        <v>912</v>
      </c>
      <c r="B763" s="5">
        <v>45690</v>
      </c>
      <c r="C763" s="4">
        <f>YEAR(Table1_1[[#This Row],[Order Dates]])</f>
        <v>2025</v>
      </c>
      <c r="D763" s="6">
        <f>MONTH(Table1_1[[#This Row],[Order Dates]])</f>
        <v>2</v>
      </c>
      <c r="E763" s="4" t="s">
        <v>56</v>
      </c>
      <c r="F763" s="4" t="s">
        <v>127</v>
      </c>
      <c r="G763" s="4" t="s">
        <v>134</v>
      </c>
      <c r="H763" s="4" t="str">
        <f>TRIM(CLEAN(SUBSTITUTE(Table1_1[[#This Row],[Salesperson]],"   "," ")))</f>
        <v>Divya Nair</v>
      </c>
      <c r="I763" s="4" t="s">
        <v>19</v>
      </c>
      <c r="J763" s="4" t="s">
        <v>20</v>
      </c>
      <c r="K763" s="4" t="s">
        <v>33</v>
      </c>
      <c r="L763" s="4" t="s">
        <v>34</v>
      </c>
      <c r="M763" s="4" t="s">
        <v>23</v>
      </c>
      <c r="N763" s="4" t="s">
        <v>24</v>
      </c>
      <c r="O763" s="4">
        <v>1</v>
      </c>
      <c r="P763" s="7">
        <v>57260</v>
      </c>
      <c r="Q763" s="8">
        <v>0.18</v>
      </c>
      <c r="R763" s="7">
        <v>43250</v>
      </c>
      <c r="S763" s="7">
        <f>Table1_1[[#This Row],[Units Sold]]*Table1_1[[#This Row],[Unit Price]]*(1-Table1_1[[#This Row],[Discount %]])</f>
        <v>46953.200000000004</v>
      </c>
      <c r="T763" s="7">
        <f>Table1_1[[#This Row],[Units Sold]]*Table1_1[[#This Row],[Unit Cost]]</f>
        <v>43250</v>
      </c>
      <c r="U763" s="7">
        <f>Table1_1[[#This Row],[Calculated sales]]-Table1_1[[#This Row],[Total cost]]</f>
        <v>3703.2000000000044</v>
      </c>
      <c r="V763" s="4">
        <f>IFERROR(Table1_1[[#This Row],[Profit/Loss]]/Table1_1[[#This Row],[Calculated sales]],0)</f>
        <v>7.8870023768348146E-2</v>
      </c>
    </row>
    <row r="764" spans="1:22" x14ac:dyDescent="0.25">
      <c r="A764" s="4" t="s">
        <v>913</v>
      </c>
      <c r="B764" s="5">
        <v>45691</v>
      </c>
      <c r="C764" s="4">
        <f>YEAR(Table1_1[[#This Row],[Order Dates]])</f>
        <v>2025</v>
      </c>
      <c r="D764" s="6">
        <f>MONTH(Table1_1[[#This Row],[Order Dates]])</f>
        <v>2</v>
      </c>
      <c r="E764" s="4" t="s">
        <v>76</v>
      </c>
      <c r="F764" s="4" t="s">
        <v>99</v>
      </c>
      <c r="G764" s="4" t="s">
        <v>78</v>
      </c>
      <c r="H764" s="4" t="str">
        <f>TRIM(CLEAN(SUBSTITUTE(Table1_1[[#This Row],[Salesperson]],"   "," ")))</f>
        <v>Pooja Chouhan</v>
      </c>
      <c r="I764" s="4" t="s">
        <v>19</v>
      </c>
      <c r="J764" s="4" t="s">
        <v>46</v>
      </c>
      <c r="K764" s="4" t="s">
        <v>47</v>
      </c>
      <c r="L764" s="4" t="s">
        <v>1673</v>
      </c>
      <c r="M764" s="4" t="s">
        <v>40</v>
      </c>
      <c r="N764" s="4" t="s">
        <v>24</v>
      </c>
      <c r="O764" s="4">
        <v>10</v>
      </c>
      <c r="P764" s="7">
        <v>1270</v>
      </c>
      <c r="Q764" s="8">
        <v>0</v>
      </c>
      <c r="R764" s="7">
        <v>850</v>
      </c>
      <c r="S764" s="7">
        <f>Table1_1[[#This Row],[Units Sold]]*Table1_1[[#This Row],[Unit Price]]*(1-Table1_1[[#This Row],[Discount %]])</f>
        <v>12700</v>
      </c>
      <c r="T764" s="7">
        <f>Table1_1[[#This Row],[Units Sold]]*Table1_1[[#This Row],[Unit Cost]]</f>
        <v>8500</v>
      </c>
      <c r="U764" s="7">
        <f>Table1_1[[#This Row],[Calculated sales]]-Table1_1[[#This Row],[Total cost]]</f>
        <v>4200</v>
      </c>
      <c r="V764" s="4">
        <f>IFERROR(Table1_1[[#This Row],[Profit/Loss]]/Table1_1[[#This Row],[Calculated sales]],0)</f>
        <v>0.33070866141732286</v>
      </c>
    </row>
    <row r="765" spans="1:22" x14ac:dyDescent="0.25">
      <c r="A765" s="4" t="s">
        <v>914</v>
      </c>
      <c r="B765" s="5">
        <v>45691</v>
      </c>
      <c r="C765" s="4">
        <f>YEAR(Table1_1[[#This Row],[Order Dates]])</f>
        <v>2025</v>
      </c>
      <c r="D765" s="6">
        <f>MONTH(Table1_1[[#This Row],[Order Dates]])</f>
        <v>2</v>
      </c>
      <c r="E765" s="4" t="s">
        <v>76</v>
      </c>
      <c r="F765" s="4" t="s">
        <v>217</v>
      </c>
      <c r="G765" s="4" t="s">
        <v>170</v>
      </c>
      <c r="H765" s="4" t="str">
        <f>TRIM(CLEAN(SUBSTITUTE(Table1_1[[#This Row],[Salesperson]],"   "," ")))</f>
        <v>Manish Tiwari</v>
      </c>
      <c r="I765" s="4" t="s">
        <v>19</v>
      </c>
      <c r="J765" s="4" t="s">
        <v>59</v>
      </c>
      <c r="K765" s="4" t="s">
        <v>60</v>
      </c>
      <c r="L765" s="4" t="s">
        <v>200</v>
      </c>
      <c r="M765" s="4" t="s">
        <v>23</v>
      </c>
      <c r="N765" s="4" t="s">
        <v>24</v>
      </c>
      <c r="O765" s="4">
        <v>15</v>
      </c>
      <c r="P765" s="7">
        <v>8580</v>
      </c>
      <c r="Q765" s="8">
        <v>0.08</v>
      </c>
      <c r="R765" s="7">
        <v>6200</v>
      </c>
      <c r="S765" s="7">
        <f>Table1_1[[#This Row],[Units Sold]]*Table1_1[[#This Row],[Unit Price]]*(1-Table1_1[[#This Row],[Discount %]])</f>
        <v>118404</v>
      </c>
      <c r="T765" s="7">
        <f>Table1_1[[#This Row],[Units Sold]]*Table1_1[[#This Row],[Unit Cost]]</f>
        <v>93000</v>
      </c>
      <c r="U765" s="7">
        <f>Table1_1[[#This Row],[Calculated sales]]-Table1_1[[#This Row],[Total cost]]</f>
        <v>25404</v>
      </c>
      <c r="V765" s="4">
        <f>IFERROR(Table1_1[[#This Row],[Profit/Loss]]/Table1_1[[#This Row],[Calculated sales]],0)</f>
        <v>0.21455356237964934</v>
      </c>
    </row>
    <row r="766" spans="1:22" x14ac:dyDescent="0.25">
      <c r="A766" s="4" t="s">
        <v>915</v>
      </c>
      <c r="B766" s="5">
        <v>45691</v>
      </c>
      <c r="C766" s="4">
        <f>YEAR(Table1_1[[#This Row],[Order Dates]])</f>
        <v>2025</v>
      </c>
      <c r="D766" s="6">
        <f>MONTH(Table1_1[[#This Row],[Order Dates]])</f>
        <v>2</v>
      </c>
      <c r="E766" s="4" t="s">
        <v>76</v>
      </c>
      <c r="F766" s="4" t="s">
        <v>217</v>
      </c>
      <c r="G766" s="4" t="s">
        <v>170</v>
      </c>
      <c r="H766" s="4" t="str">
        <f>TRIM(CLEAN(SUBSTITUTE(Table1_1[[#This Row],[Salesperson]],"   "," ")))</f>
        <v>Manish Tiwari</v>
      </c>
      <c r="I766" s="4" t="s">
        <v>19</v>
      </c>
      <c r="J766" s="4" t="s">
        <v>59</v>
      </c>
      <c r="K766" s="4" t="s">
        <v>154</v>
      </c>
      <c r="L766" s="4" t="s">
        <v>249</v>
      </c>
      <c r="M766" s="4" t="s">
        <v>49</v>
      </c>
      <c r="N766" s="4" t="s">
        <v>24</v>
      </c>
      <c r="O766" s="4">
        <v>9</v>
      </c>
      <c r="P766" s="7">
        <v>6980</v>
      </c>
      <c r="Q766" s="8">
        <v>0.2</v>
      </c>
      <c r="R766" s="7">
        <v>3910</v>
      </c>
      <c r="S766" s="7">
        <f>Table1_1[[#This Row],[Units Sold]]*Table1_1[[#This Row],[Unit Price]]*(1-Table1_1[[#This Row],[Discount %]])</f>
        <v>50256</v>
      </c>
      <c r="T766" s="7">
        <f>Table1_1[[#This Row],[Units Sold]]*Table1_1[[#This Row],[Unit Cost]]</f>
        <v>35190</v>
      </c>
      <c r="U766" s="7">
        <f>Table1_1[[#This Row],[Calculated sales]]-Table1_1[[#This Row],[Total cost]]</f>
        <v>15066</v>
      </c>
      <c r="V766" s="4">
        <f>IFERROR(Table1_1[[#This Row],[Profit/Loss]]/Table1_1[[#This Row],[Calculated sales]],0)</f>
        <v>0.29978510028653294</v>
      </c>
    </row>
    <row r="767" spans="1:22" x14ac:dyDescent="0.25">
      <c r="A767" s="4" t="s">
        <v>916</v>
      </c>
      <c r="B767" s="5">
        <v>45692</v>
      </c>
      <c r="C767" s="4">
        <f>YEAR(Table1_1[[#This Row],[Order Dates]])</f>
        <v>2025</v>
      </c>
      <c r="D767" s="6">
        <f>MONTH(Table1_1[[#This Row],[Order Dates]])</f>
        <v>2</v>
      </c>
      <c r="E767" s="4" t="s">
        <v>42</v>
      </c>
      <c r="F767" s="4" t="s">
        <v>123</v>
      </c>
      <c r="G767" s="4" t="s">
        <v>64</v>
      </c>
      <c r="H767" s="4" t="str">
        <f>TRIM(CLEAN(SUBSTITUTE(Table1_1[[#This Row],[Salesperson]],"   "," ")))</f>
        <v>Aditya Verma</v>
      </c>
      <c r="I767" s="4" t="s">
        <v>19</v>
      </c>
      <c r="J767" s="4" t="s">
        <v>83</v>
      </c>
      <c r="K767" s="4" t="s">
        <v>84</v>
      </c>
      <c r="L767" s="4" t="s">
        <v>292</v>
      </c>
      <c r="M767" s="4" t="s">
        <v>49</v>
      </c>
      <c r="N767" s="4" t="s">
        <v>35</v>
      </c>
      <c r="O767" s="4">
        <v>3</v>
      </c>
      <c r="P767" s="7">
        <v>45270</v>
      </c>
      <c r="Q767" s="8">
        <v>0.05</v>
      </c>
      <c r="R767" s="7">
        <v>33790</v>
      </c>
      <c r="S767" s="7">
        <f>Table1_1[[#This Row],[Units Sold]]*Table1_1[[#This Row],[Unit Price]]*(1-Table1_1[[#This Row],[Discount %]])</f>
        <v>129019.5</v>
      </c>
      <c r="T767" s="7">
        <f>Table1_1[[#This Row],[Units Sold]]*Table1_1[[#This Row],[Unit Cost]]</f>
        <v>101370</v>
      </c>
      <c r="U767" s="7">
        <f>Table1_1[[#This Row],[Calculated sales]]-Table1_1[[#This Row],[Total cost]]</f>
        <v>27649.5</v>
      </c>
      <c r="V767" s="4">
        <f>IFERROR(Table1_1[[#This Row],[Profit/Loss]]/Table1_1[[#This Row],[Calculated sales]],0)</f>
        <v>0.21430481438852267</v>
      </c>
    </row>
    <row r="768" spans="1:22" x14ac:dyDescent="0.25">
      <c r="A768" s="4" t="s">
        <v>917</v>
      </c>
      <c r="B768" s="5">
        <v>45693</v>
      </c>
      <c r="C768" s="4">
        <f>YEAR(Table1_1[[#This Row],[Order Dates]])</f>
        <v>2025</v>
      </c>
      <c r="D768" s="6">
        <f>MONTH(Table1_1[[#This Row],[Order Dates]])</f>
        <v>2</v>
      </c>
      <c r="E768" s="4" t="s">
        <v>16</v>
      </c>
      <c r="F768" s="4" t="s">
        <v>31</v>
      </c>
      <c r="G768" s="4" t="s">
        <v>18</v>
      </c>
      <c r="H768" s="4" t="str">
        <f>TRIM(CLEAN(SUBSTITUTE(Table1_1[[#This Row],[Salesperson]],"   "," ")))</f>
        <v>Imran Sheikh</v>
      </c>
      <c r="I768" s="4" t="s">
        <v>19</v>
      </c>
      <c r="J768" s="4" t="s">
        <v>20</v>
      </c>
      <c r="K768" s="4" t="s">
        <v>87</v>
      </c>
      <c r="L768" s="4" t="s">
        <v>1672</v>
      </c>
      <c r="M768" s="4" t="s">
        <v>40</v>
      </c>
      <c r="N768" s="4" t="s">
        <v>24</v>
      </c>
      <c r="O768" s="4">
        <v>4</v>
      </c>
      <c r="P768" s="7">
        <v>34340</v>
      </c>
      <c r="Q768" s="8">
        <v>0.18</v>
      </c>
      <c r="R768" s="7">
        <v>20510</v>
      </c>
      <c r="S768" s="7">
        <f>Table1_1[[#This Row],[Units Sold]]*Table1_1[[#This Row],[Unit Price]]*(1-Table1_1[[#This Row],[Discount %]])</f>
        <v>112635.20000000001</v>
      </c>
      <c r="T768" s="7">
        <f>Table1_1[[#This Row],[Units Sold]]*Table1_1[[#This Row],[Unit Cost]]</f>
        <v>82040</v>
      </c>
      <c r="U768" s="7">
        <f>Table1_1[[#This Row],[Calculated sales]]-Table1_1[[#This Row],[Total cost]]</f>
        <v>30595.200000000012</v>
      </c>
      <c r="V768" s="4">
        <f>IFERROR(Table1_1[[#This Row],[Profit/Loss]]/Table1_1[[#This Row],[Calculated sales]],0)</f>
        <v>0.27163089336193313</v>
      </c>
    </row>
    <row r="769" spans="1:22" x14ac:dyDescent="0.25">
      <c r="A769" s="4" t="s">
        <v>918</v>
      </c>
      <c r="B769" s="5">
        <v>45693</v>
      </c>
      <c r="C769" s="4">
        <f>YEAR(Table1_1[[#This Row],[Order Dates]])</f>
        <v>2025</v>
      </c>
      <c r="D769" s="6">
        <f>MONTH(Table1_1[[#This Row],[Order Dates]])</f>
        <v>2</v>
      </c>
      <c r="E769" s="4" t="s">
        <v>76</v>
      </c>
      <c r="F769" s="4" t="s">
        <v>217</v>
      </c>
      <c r="G769" s="4" t="s">
        <v>170</v>
      </c>
      <c r="H769" s="4" t="str">
        <f>TRIM(CLEAN(SUBSTITUTE(Table1_1[[#This Row],[Salesperson]],"   "," ")))</f>
        <v>Manish Tiwari</v>
      </c>
      <c r="I769" s="4" t="s">
        <v>19</v>
      </c>
      <c r="J769" s="4" t="s">
        <v>20</v>
      </c>
      <c r="K769" s="4" t="s">
        <v>21</v>
      </c>
      <c r="L769" s="4" t="s">
        <v>1682</v>
      </c>
      <c r="M769" s="4" t="s">
        <v>40</v>
      </c>
      <c r="N769" s="4" t="s">
        <v>119</v>
      </c>
      <c r="O769" s="4">
        <v>11</v>
      </c>
      <c r="P769" s="7">
        <v>9420</v>
      </c>
      <c r="Q769" s="8">
        <v>0.15</v>
      </c>
      <c r="R769" s="7">
        <v>6450</v>
      </c>
      <c r="S769" s="7">
        <f>Table1_1[[#This Row],[Units Sold]]*Table1_1[[#This Row],[Unit Price]]*(1-Table1_1[[#This Row],[Discount %]])</f>
        <v>88077</v>
      </c>
      <c r="T769" s="7">
        <f>Table1_1[[#This Row],[Units Sold]]*Table1_1[[#This Row],[Unit Cost]]</f>
        <v>70950</v>
      </c>
      <c r="U769" s="7">
        <f>Table1_1[[#This Row],[Calculated sales]]-Table1_1[[#This Row],[Total cost]]</f>
        <v>17127</v>
      </c>
      <c r="V769" s="4">
        <f>IFERROR(Table1_1[[#This Row],[Profit/Loss]]/Table1_1[[#This Row],[Calculated sales]],0)</f>
        <v>0.19445485200449605</v>
      </c>
    </row>
    <row r="770" spans="1:22" x14ac:dyDescent="0.25">
      <c r="A770" s="4" t="s">
        <v>919</v>
      </c>
      <c r="B770" s="5">
        <v>45693</v>
      </c>
      <c r="C770" s="4">
        <f>YEAR(Table1_1[[#This Row],[Order Dates]])</f>
        <v>2025</v>
      </c>
      <c r="D770" s="6">
        <f>MONTH(Table1_1[[#This Row],[Order Dates]])</f>
        <v>2</v>
      </c>
      <c r="E770" s="4" t="s">
        <v>76</v>
      </c>
      <c r="F770" s="4" t="s">
        <v>77</v>
      </c>
      <c r="G770" s="4" t="s">
        <v>78</v>
      </c>
      <c r="H770" s="4" t="str">
        <f>TRIM(CLEAN(SUBSTITUTE(Table1_1[[#This Row],[Salesperson]],"   "," ")))</f>
        <v>Pooja Chouhan</v>
      </c>
      <c r="I770" s="4" t="s">
        <v>19</v>
      </c>
      <c r="J770" s="4" t="s">
        <v>27</v>
      </c>
      <c r="K770" s="4" t="s">
        <v>28</v>
      </c>
      <c r="L770" s="4" t="s">
        <v>141</v>
      </c>
      <c r="M770" s="4" t="s">
        <v>49</v>
      </c>
      <c r="N770" s="4" t="s">
        <v>24</v>
      </c>
      <c r="O770" s="4">
        <v>3</v>
      </c>
      <c r="P770" s="7">
        <v>16190</v>
      </c>
      <c r="Q770" s="8">
        <v>0</v>
      </c>
      <c r="R770" s="7">
        <v>11670</v>
      </c>
      <c r="S770" s="7">
        <f>Table1_1[[#This Row],[Units Sold]]*Table1_1[[#This Row],[Unit Price]]*(1-Table1_1[[#This Row],[Discount %]])</f>
        <v>48570</v>
      </c>
      <c r="T770" s="7">
        <f>Table1_1[[#This Row],[Units Sold]]*Table1_1[[#This Row],[Unit Cost]]</f>
        <v>35010</v>
      </c>
      <c r="U770" s="7">
        <f>Table1_1[[#This Row],[Calculated sales]]-Table1_1[[#This Row],[Total cost]]</f>
        <v>13560</v>
      </c>
      <c r="V770" s="4">
        <f>IFERROR(Table1_1[[#This Row],[Profit/Loss]]/Table1_1[[#This Row],[Calculated sales]],0)</f>
        <v>0.27918468190240892</v>
      </c>
    </row>
    <row r="771" spans="1:22" x14ac:dyDescent="0.25">
      <c r="A771" s="4" t="s">
        <v>920</v>
      </c>
      <c r="B771" s="5">
        <v>45693</v>
      </c>
      <c r="C771" s="4">
        <f>YEAR(Table1_1[[#This Row],[Order Dates]])</f>
        <v>2025</v>
      </c>
      <c r="D771" s="6">
        <f>MONTH(Table1_1[[#This Row],[Order Dates]])</f>
        <v>2</v>
      </c>
      <c r="E771" s="4" t="s">
        <v>16</v>
      </c>
      <c r="F771" s="4" t="s">
        <v>31</v>
      </c>
      <c r="G771" s="4" t="s">
        <v>26</v>
      </c>
      <c r="H771" s="4" t="str">
        <f>TRIM(CLEAN(SUBSTITUTE(Table1_1[[#This Row],[Salesperson]],"   "," ")))</f>
        <v>Prateek Shah</v>
      </c>
      <c r="I771" s="4" t="s">
        <v>92</v>
      </c>
      <c r="J771" s="4" t="s">
        <v>20</v>
      </c>
      <c r="K771" s="4" t="s">
        <v>87</v>
      </c>
      <c r="L771" s="4" t="s">
        <v>1674</v>
      </c>
      <c r="M771" s="4" t="s">
        <v>40</v>
      </c>
      <c r="N771" s="4" t="s">
        <v>24</v>
      </c>
      <c r="O771" s="4">
        <v>2</v>
      </c>
      <c r="P771" s="7">
        <v>54740</v>
      </c>
      <c r="Q771" s="8">
        <v>0.05</v>
      </c>
      <c r="R771" s="7">
        <v>38390</v>
      </c>
      <c r="S771" s="7">
        <f>Table1_1[[#This Row],[Units Sold]]*Table1_1[[#This Row],[Unit Price]]*(1-Table1_1[[#This Row],[Discount %]])</f>
        <v>104006</v>
      </c>
      <c r="T771" s="7">
        <f>Table1_1[[#This Row],[Units Sold]]*Table1_1[[#This Row],[Unit Cost]]</f>
        <v>76780</v>
      </c>
      <c r="U771" s="7">
        <f>Table1_1[[#This Row],[Calculated sales]]-Table1_1[[#This Row],[Total cost]]</f>
        <v>27226</v>
      </c>
      <c r="V771" s="4">
        <f>IFERROR(Table1_1[[#This Row],[Profit/Loss]]/Table1_1[[#This Row],[Calculated sales]],0)</f>
        <v>0.26177335922927525</v>
      </c>
    </row>
    <row r="772" spans="1:22" x14ac:dyDescent="0.25">
      <c r="A772" s="4" t="s">
        <v>921</v>
      </c>
      <c r="B772" s="5">
        <v>45694</v>
      </c>
      <c r="C772" s="4">
        <f>YEAR(Table1_1[[#This Row],[Order Dates]])</f>
        <v>2025</v>
      </c>
      <c r="D772" s="6">
        <f>MONTH(Table1_1[[#This Row],[Order Dates]])</f>
        <v>2</v>
      </c>
      <c r="E772" s="4" t="s">
        <v>16</v>
      </c>
      <c r="F772" s="4" t="s">
        <v>51</v>
      </c>
      <c r="G772" s="4" t="s">
        <v>26</v>
      </c>
      <c r="H772" s="4" t="str">
        <f>TRIM(CLEAN(SUBSTITUTE(Table1_1[[#This Row],[Salesperson]],"   "," ")))</f>
        <v>Prateek Shah</v>
      </c>
      <c r="I772" s="4" t="s">
        <v>92</v>
      </c>
      <c r="J772" s="4" t="s">
        <v>59</v>
      </c>
      <c r="K772" s="4" t="s">
        <v>154</v>
      </c>
      <c r="L772" s="4" t="s">
        <v>155</v>
      </c>
      <c r="M772" s="4" t="s">
        <v>40</v>
      </c>
      <c r="N772" s="4" t="s">
        <v>35</v>
      </c>
      <c r="O772" s="4">
        <v>7</v>
      </c>
      <c r="P772" s="7">
        <v>11890</v>
      </c>
      <c r="Q772" s="8">
        <v>0.08</v>
      </c>
      <c r="R772" s="7">
        <v>8250</v>
      </c>
      <c r="S772" s="7">
        <f>Table1_1[[#This Row],[Units Sold]]*Table1_1[[#This Row],[Unit Price]]*(1-Table1_1[[#This Row],[Discount %]])</f>
        <v>76571.600000000006</v>
      </c>
      <c r="T772" s="7">
        <f>Table1_1[[#This Row],[Units Sold]]*Table1_1[[#This Row],[Unit Cost]]</f>
        <v>57750</v>
      </c>
      <c r="U772" s="7">
        <f>Table1_1[[#This Row],[Calculated sales]]-Table1_1[[#This Row],[Total cost]]</f>
        <v>18821.600000000006</v>
      </c>
      <c r="V772" s="4">
        <f>IFERROR(Table1_1[[#This Row],[Profit/Loss]]/Table1_1[[#This Row],[Calculated sales]],0)</f>
        <v>0.24580392730464043</v>
      </c>
    </row>
    <row r="773" spans="1:22" x14ac:dyDescent="0.25">
      <c r="A773" s="4" t="s">
        <v>922</v>
      </c>
      <c r="B773" s="5">
        <v>45695</v>
      </c>
      <c r="C773" s="4">
        <f>YEAR(Table1_1[[#This Row],[Order Dates]])</f>
        <v>2025</v>
      </c>
      <c r="D773" s="6">
        <f>MONTH(Table1_1[[#This Row],[Order Dates]])</f>
        <v>2</v>
      </c>
      <c r="E773" s="4" t="s">
        <v>16</v>
      </c>
      <c r="F773" s="4" t="s">
        <v>17</v>
      </c>
      <c r="G773" s="4" t="s">
        <v>32</v>
      </c>
      <c r="H773" s="4" t="str">
        <f>TRIM(CLEAN(SUBSTITUTE(Table1_1[[#This Row],[Salesperson]],"   "," ")))</f>
        <v>Neha Deshpande</v>
      </c>
      <c r="I773" s="4" t="s">
        <v>19</v>
      </c>
      <c r="J773" s="4" t="s">
        <v>20</v>
      </c>
      <c r="K773" s="4" t="s">
        <v>109</v>
      </c>
      <c r="L773" s="4" t="s">
        <v>1675</v>
      </c>
      <c r="M773" s="4" t="s">
        <v>49</v>
      </c>
      <c r="N773" s="4" t="s">
        <v>24</v>
      </c>
      <c r="O773" s="4">
        <v>3</v>
      </c>
      <c r="P773" s="7">
        <v>69700</v>
      </c>
      <c r="Q773" s="8">
        <v>0.15</v>
      </c>
      <c r="R773" s="7">
        <v>42230</v>
      </c>
      <c r="S773" s="7">
        <f>Table1_1[[#This Row],[Units Sold]]*Table1_1[[#This Row],[Unit Price]]*(1-Table1_1[[#This Row],[Discount %]])</f>
        <v>177735</v>
      </c>
      <c r="T773" s="7">
        <f>Table1_1[[#This Row],[Units Sold]]*Table1_1[[#This Row],[Unit Cost]]</f>
        <v>126690</v>
      </c>
      <c r="U773" s="7">
        <f>Table1_1[[#This Row],[Calculated sales]]-Table1_1[[#This Row],[Total cost]]</f>
        <v>51045</v>
      </c>
      <c r="V773" s="4">
        <f>IFERROR(Table1_1[[#This Row],[Profit/Loss]]/Table1_1[[#This Row],[Calculated sales]],0)</f>
        <v>0.28719723183391005</v>
      </c>
    </row>
    <row r="774" spans="1:22" x14ac:dyDescent="0.25">
      <c r="A774" s="4" t="s">
        <v>923</v>
      </c>
      <c r="B774" s="5">
        <v>45695</v>
      </c>
      <c r="C774" s="4">
        <f>YEAR(Table1_1[[#This Row],[Order Dates]])</f>
        <v>2025</v>
      </c>
      <c r="D774" s="6">
        <f>MONTH(Table1_1[[#This Row],[Order Dates]])</f>
        <v>2</v>
      </c>
      <c r="E774" s="4" t="s">
        <v>42</v>
      </c>
      <c r="F774" s="4" t="s">
        <v>96</v>
      </c>
      <c r="G774" s="4" t="s">
        <v>97</v>
      </c>
      <c r="H774" s="4" t="str">
        <f>TRIM(CLEAN(SUBSTITUTE(Table1_1[[#This Row],[Salesperson]],"   "," ")))</f>
        <v>Rohit Malhotra</v>
      </c>
      <c r="I774" s="4" t="s">
        <v>45</v>
      </c>
      <c r="J774" s="4" t="s">
        <v>83</v>
      </c>
      <c r="K774" s="4" t="s">
        <v>136</v>
      </c>
      <c r="L774" s="4" t="s">
        <v>307</v>
      </c>
      <c r="M774" s="4" t="s">
        <v>23</v>
      </c>
      <c r="N774" s="4" t="s">
        <v>24</v>
      </c>
      <c r="O774" s="4">
        <v>47</v>
      </c>
      <c r="P774" s="7">
        <v>860</v>
      </c>
      <c r="Q774" s="8">
        <v>0.1</v>
      </c>
      <c r="R774" s="7">
        <v>600</v>
      </c>
      <c r="S774" s="7">
        <f>Table1_1[[#This Row],[Units Sold]]*Table1_1[[#This Row],[Unit Price]]*(1-Table1_1[[#This Row],[Discount %]])</f>
        <v>36378</v>
      </c>
      <c r="T774" s="7">
        <f>Table1_1[[#This Row],[Units Sold]]*Table1_1[[#This Row],[Unit Cost]]</f>
        <v>28200</v>
      </c>
      <c r="U774" s="7">
        <f>Table1_1[[#This Row],[Calculated sales]]-Table1_1[[#This Row],[Total cost]]</f>
        <v>8178</v>
      </c>
      <c r="V774" s="4">
        <f>IFERROR(Table1_1[[#This Row],[Profit/Loss]]/Table1_1[[#This Row],[Calculated sales]],0)</f>
        <v>0.22480620155038761</v>
      </c>
    </row>
    <row r="775" spans="1:22" x14ac:dyDescent="0.25">
      <c r="A775" s="4" t="s">
        <v>924</v>
      </c>
      <c r="B775" s="5">
        <v>45696</v>
      </c>
      <c r="C775" s="4">
        <f>YEAR(Table1_1[[#This Row],[Order Dates]])</f>
        <v>2025</v>
      </c>
      <c r="D775" s="6">
        <f>MONTH(Table1_1[[#This Row],[Order Dates]])</f>
        <v>2</v>
      </c>
      <c r="E775" s="4" t="s">
        <v>16</v>
      </c>
      <c r="F775" s="4" t="s">
        <v>51</v>
      </c>
      <c r="G775" s="4" t="s">
        <v>32</v>
      </c>
      <c r="H775" s="4" t="str">
        <f>TRIM(CLEAN(SUBSTITUTE(Table1_1[[#This Row],[Salesperson]],"   "," ")))</f>
        <v>Neha Deshpande</v>
      </c>
      <c r="I775" s="4" t="s">
        <v>92</v>
      </c>
      <c r="J775" s="4" t="s">
        <v>46</v>
      </c>
      <c r="K775" s="4" t="s">
        <v>47</v>
      </c>
      <c r="L775" s="4" t="s">
        <v>259</v>
      </c>
      <c r="M775" s="4" t="s">
        <v>23</v>
      </c>
      <c r="N775" s="4" t="s">
        <v>24</v>
      </c>
      <c r="O775" s="4">
        <v>45</v>
      </c>
      <c r="P775" s="7">
        <v>2770</v>
      </c>
      <c r="Q775" s="8">
        <v>0.08</v>
      </c>
      <c r="R775" s="7">
        <v>1810</v>
      </c>
      <c r="S775" s="7">
        <f>Table1_1[[#This Row],[Units Sold]]*Table1_1[[#This Row],[Unit Price]]*(1-Table1_1[[#This Row],[Discount %]])</f>
        <v>114678</v>
      </c>
      <c r="T775" s="7">
        <f>Table1_1[[#This Row],[Units Sold]]*Table1_1[[#This Row],[Unit Cost]]</f>
        <v>81450</v>
      </c>
      <c r="U775" s="7">
        <f>Table1_1[[#This Row],[Calculated sales]]-Table1_1[[#This Row],[Total cost]]</f>
        <v>33228</v>
      </c>
      <c r="V775" s="4">
        <f>IFERROR(Table1_1[[#This Row],[Profit/Loss]]/Table1_1[[#This Row],[Calculated sales]],0)</f>
        <v>0.2897504316433841</v>
      </c>
    </row>
    <row r="776" spans="1:22" x14ac:dyDescent="0.25">
      <c r="A776" s="4" t="s">
        <v>925</v>
      </c>
      <c r="B776" s="5">
        <v>45697</v>
      </c>
      <c r="C776" s="4">
        <f>YEAR(Table1_1[[#This Row],[Order Dates]])</f>
        <v>2025</v>
      </c>
      <c r="D776" s="6">
        <f>MONTH(Table1_1[[#This Row],[Order Dates]])</f>
        <v>2</v>
      </c>
      <c r="E776" s="4" t="s">
        <v>16</v>
      </c>
      <c r="F776" s="4" t="s">
        <v>82</v>
      </c>
      <c r="G776" s="4" t="s">
        <v>18</v>
      </c>
      <c r="H776" s="4" t="str">
        <f>TRIM(CLEAN(SUBSTITUTE(Table1_1[[#This Row],[Salesperson]],"   "," ")))</f>
        <v>Imran Sheikh</v>
      </c>
      <c r="I776" s="4" t="s">
        <v>19</v>
      </c>
      <c r="J776" s="4" t="s">
        <v>27</v>
      </c>
      <c r="K776" s="4" t="s">
        <v>214</v>
      </c>
      <c r="L776" s="4" t="s">
        <v>1681</v>
      </c>
      <c r="M776" s="4" t="s">
        <v>40</v>
      </c>
      <c r="N776" s="4" t="s">
        <v>24</v>
      </c>
      <c r="O776" s="4">
        <v>8</v>
      </c>
      <c r="P776" s="7">
        <v>14060</v>
      </c>
      <c r="Q776" s="8">
        <v>0.08</v>
      </c>
      <c r="R776" s="7">
        <v>8200</v>
      </c>
      <c r="S776" s="7">
        <f>Table1_1[[#This Row],[Units Sold]]*Table1_1[[#This Row],[Unit Price]]*(1-Table1_1[[#This Row],[Discount %]])</f>
        <v>103481.60000000001</v>
      </c>
      <c r="T776" s="7">
        <f>Table1_1[[#This Row],[Units Sold]]*Table1_1[[#This Row],[Unit Cost]]</f>
        <v>65600</v>
      </c>
      <c r="U776" s="7">
        <f>Table1_1[[#This Row],[Calculated sales]]-Table1_1[[#This Row],[Total cost]]</f>
        <v>37881.600000000006</v>
      </c>
      <c r="V776" s="4">
        <f>IFERROR(Table1_1[[#This Row],[Profit/Loss]]/Table1_1[[#This Row],[Calculated sales]],0)</f>
        <v>0.36607087636835922</v>
      </c>
    </row>
    <row r="777" spans="1:22" x14ac:dyDescent="0.25">
      <c r="A777" s="4" t="s">
        <v>926</v>
      </c>
      <c r="B777" s="5">
        <v>45697</v>
      </c>
      <c r="C777" s="4">
        <f>YEAR(Table1_1[[#This Row],[Order Dates]])</f>
        <v>2025</v>
      </c>
      <c r="D777" s="6">
        <f>MONTH(Table1_1[[#This Row],[Order Dates]])</f>
        <v>2</v>
      </c>
      <c r="E777" s="4" t="s">
        <v>42</v>
      </c>
      <c r="F777" s="4" t="s">
        <v>146</v>
      </c>
      <c r="G777" s="4" t="s">
        <v>44</v>
      </c>
      <c r="H777" s="4" t="str">
        <f>TRIM(CLEAN(SUBSTITUTE(Table1_1[[#This Row],[Salesperson]],"   "," ")))</f>
        <v>Simran Kaur</v>
      </c>
      <c r="I777" s="4" t="s">
        <v>45</v>
      </c>
      <c r="J777" s="4" t="s">
        <v>83</v>
      </c>
      <c r="K777" s="4" t="s">
        <v>184</v>
      </c>
      <c r="L777" s="4" t="s">
        <v>1679</v>
      </c>
      <c r="M777" s="4" t="s">
        <v>40</v>
      </c>
      <c r="N777" s="4" t="s">
        <v>24</v>
      </c>
      <c r="O777" s="4">
        <v>6</v>
      </c>
      <c r="P777" s="7">
        <v>4630</v>
      </c>
      <c r="Q777" s="8">
        <v>0.12</v>
      </c>
      <c r="R777" s="7">
        <v>2610</v>
      </c>
      <c r="S777" s="7">
        <f>Table1_1[[#This Row],[Units Sold]]*Table1_1[[#This Row],[Unit Price]]*(1-Table1_1[[#This Row],[Discount %]])</f>
        <v>24446.400000000001</v>
      </c>
      <c r="T777" s="7">
        <f>Table1_1[[#This Row],[Units Sold]]*Table1_1[[#This Row],[Unit Cost]]</f>
        <v>15660</v>
      </c>
      <c r="U777" s="7">
        <f>Table1_1[[#This Row],[Calculated sales]]-Table1_1[[#This Row],[Total cost]]</f>
        <v>8786.4000000000015</v>
      </c>
      <c r="V777" s="4">
        <f>IFERROR(Table1_1[[#This Row],[Profit/Loss]]/Table1_1[[#This Row],[Calculated sales]],0)</f>
        <v>0.35941488317298254</v>
      </c>
    </row>
    <row r="778" spans="1:22" x14ac:dyDescent="0.25">
      <c r="A778" s="4" t="s">
        <v>927</v>
      </c>
      <c r="B778" s="5">
        <v>45698</v>
      </c>
      <c r="C778" s="4">
        <f>YEAR(Table1_1[[#This Row],[Order Dates]])</f>
        <v>2025</v>
      </c>
      <c r="D778" s="6">
        <f>MONTH(Table1_1[[#This Row],[Order Dates]])</f>
        <v>2</v>
      </c>
      <c r="E778" s="4" t="s">
        <v>42</v>
      </c>
      <c r="F778" s="4" t="s">
        <v>146</v>
      </c>
      <c r="G778" s="4" t="s">
        <v>44</v>
      </c>
      <c r="H778" s="4" t="str">
        <f>TRIM(CLEAN(SUBSTITUTE(Table1_1[[#This Row],[Salesperson]],"   "," ")))</f>
        <v>Simran Kaur</v>
      </c>
      <c r="I778" s="4" t="s">
        <v>19</v>
      </c>
      <c r="J778" s="4" t="s">
        <v>20</v>
      </c>
      <c r="K778" s="4" t="s">
        <v>87</v>
      </c>
      <c r="L778" s="4" t="s">
        <v>1674</v>
      </c>
      <c r="M778" s="4" t="s">
        <v>23</v>
      </c>
      <c r="N778" s="4" t="s">
        <v>24</v>
      </c>
      <c r="O778" s="4">
        <v>2</v>
      </c>
      <c r="P778" s="7">
        <v>54330</v>
      </c>
      <c r="Q778" s="8">
        <v>0.12</v>
      </c>
      <c r="R778" s="7">
        <v>36650</v>
      </c>
      <c r="S778" s="7">
        <f>Table1_1[[#This Row],[Units Sold]]*Table1_1[[#This Row],[Unit Price]]*(1-Table1_1[[#This Row],[Discount %]])</f>
        <v>95620.800000000003</v>
      </c>
      <c r="T778" s="7">
        <f>Table1_1[[#This Row],[Units Sold]]*Table1_1[[#This Row],[Unit Cost]]</f>
        <v>73300</v>
      </c>
      <c r="U778" s="7">
        <f>Table1_1[[#This Row],[Calculated sales]]-Table1_1[[#This Row],[Total cost]]</f>
        <v>22320.800000000003</v>
      </c>
      <c r="V778" s="4">
        <f>IFERROR(Table1_1[[#This Row],[Profit/Loss]]/Table1_1[[#This Row],[Calculated sales]],0)</f>
        <v>0.2334303833475562</v>
      </c>
    </row>
    <row r="779" spans="1:22" x14ac:dyDescent="0.25">
      <c r="A779" s="4" t="s">
        <v>928</v>
      </c>
      <c r="B779" s="5">
        <v>45698</v>
      </c>
      <c r="C779" s="4">
        <f>YEAR(Table1_1[[#This Row],[Order Dates]])</f>
        <v>2025</v>
      </c>
      <c r="D779" s="6">
        <f>MONTH(Table1_1[[#This Row],[Order Dates]])</f>
        <v>2</v>
      </c>
      <c r="E779" s="4" t="s">
        <v>42</v>
      </c>
      <c r="F779" s="4" t="s">
        <v>123</v>
      </c>
      <c r="G779" s="4" t="s">
        <v>44</v>
      </c>
      <c r="H779" s="4" t="str">
        <f>TRIM(CLEAN(SUBSTITUTE(Table1_1[[#This Row],[Salesperson]],"   "," ")))</f>
        <v>Simran Kaur</v>
      </c>
      <c r="I779" s="4" t="s">
        <v>19</v>
      </c>
      <c r="J779" s="4" t="s">
        <v>20</v>
      </c>
      <c r="K779" s="4" t="s">
        <v>21</v>
      </c>
      <c r="L779" s="4" t="s">
        <v>1670</v>
      </c>
      <c r="M779" s="4" t="s">
        <v>23</v>
      </c>
      <c r="N779" s="4" t="s">
        <v>24</v>
      </c>
      <c r="O779" s="4">
        <v>10</v>
      </c>
      <c r="P779" s="7">
        <v>9140</v>
      </c>
      <c r="Q779" s="8">
        <v>0</v>
      </c>
      <c r="R779" s="7">
        <v>6260</v>
      </c>
      <c r="S779" s="7">
        <f>Table1_1[[#This Row],[Units Sold]]*Table1_1[[#This Row],[Unit Price]]*(1-Table1_1[[#This Row],[Discount %]])</f>
        <v>91400</v>
      </c>
      <c r="T779" s="7">
        <f>Table1_1[[#This Row],[Units Sold]]*Table1_1[[#This Row],[Unit Cost]]</f>
        <v>62600</v>
      </c>
      <c r="U779" s="7">
        <f>Table1_1[[#This Row],[Calculated sales]]-Table1_1[[#This Row],[Total cost]]</f>
        <v>28800</v>
      </c>
      <c r="V779" s="4">
        <f>IFERROR(Table1_1[[#This Row],[Profit/Loss]]/Table1_1[[#This Row],[Calculated sales]],0)</f>
        <v>0.31509846827133481</v>
      </c>
    </row>
    <row r="780" spans="1:22" x14ac:dyDescent="0.25">
      <c r="A780" s="4" t="s">
        <v>929</v>
      </c>
      <c r="B780" s="5">
        <v>45700</v>
      </c>
      <c r="C780" s="4">
        <f>YEAR(Table1_1[[#This Row],[Order Dates]])</f>
        <v>2025</v>
      </c>
      <c r="D780" s="6">
        <f>MONTH(Table1_1[[#This Row],[Order Dates]])</f>
        <v>2</v>
      </c>
      <c r="E780" s="4" t="s">
        <v>37</v>
      </c>
      <c r="F780" s="4" t="s">
        <v>115</v>
      </c>
      <c r="G780" s="4" t="s">
        <v>68</v>
      </c>
      <c r="H780" s="4" t="str">
        <f>TRIM(CLEAN(SUBSTITUTE(Table1_1[[#This Row],[Salesperson]],"   "," ")))</f>
        <v>Ritika Ghosh</v>
      </c>
      <c r="I780" s="4" t="s">
        <v>19</v>
      </c>
      <c r="J780" s="4" t="s">
        <v>46</v>
      </c>
      <c r="K780" s="4" t="s">
        <v>179</v>
      </c>
      <c r="L780" s="4" t="s">
        <v>236</v>
      </c>
      <c r="M780" s="4" t="s">
        <v>23</v>
      </c>
      <c r="N780" s="4" t="s">
        <v>24</v>
      </c>
      <c r="O780" s="4">
        <v>32</v>
      </c>
      <c r="P780" s="7">
        <v>2190</v>
      </c>
      <c r="Q780" s="8">
        <v>0.08</v>
      </c>
      <c r="R780" s="7">
        <v>1300</v>
      </c>
      <c r="S780" s="7">
        <f>Table1_1[[#This Row],[Units Sold]]*Table1_1[[#This Row],[Unit Price]]*(1-Table1_1[[#This Row],[Discount %]])</f>
        <v>64473.600000000006</v>
      </c>
      <c r="T780" s="7">
        <f>Table1_1[[#This Row],[Units Sold]]*Table1_1[[#This Row],[Unit Cost]]</f>
        <v>41600</v>
      </c>
      <c r="U780" s="7">
        <f>Table1_1[[#This Row],[Calculated sales]]-Table1_1[[#This Row],[Total cost]]</f>
        <v>22873.600000000006</v>
      </c>
      <c r="V780" s="4">
        <f>IFERROR(Table1_1[[#This Row],[Profit/Loss]]/Table1_1[[#This Row],[Calculated sales]],0)</f>
        <v>0.35477466746079023</v>
      </c>
    </row>
    <row r="781" spans="1:22" x14ac:dyDescent="0.25">
      <c r="A781" s="4" t="s">
        <v>930</v>
      </c>
      <c r="B781" s="5">
        <v>45701</v>
      </c>
      <c r="C781" s="4">
        <f>YEAR(Table1_1[[#This Row],[Order Dates]])</f>
        <v>2025</v>
      </c>
      <c r="D781" s="6">
        <f>MONTH(Table1_1[[#This Row],[Order Dates]])</f>
        <v>2</v>
      </c>
      <c r="E781" s="4" t="s">
        <v>37</v>
      </c>
      <c r="F781" s="4" t="s">
        <v>38</v>
      </c>
      <c r="G781" s="4" t="s">
        <v>68</v>
      </c>
      <c r="H781" s="4" t="str">
        <f>TRIM(CLEAN(SUBSTITUTE(Table1_1[[#This Row],[Salesperson]],"   "," ")))</f>
        <v>Ritika Ghosh</v>
      </c>
      <c r="I781" s="4" t="s">
        <v>19</v>
      </c>
      <c r="J781" s="4" t="s">
        <v>83</v>
      </c>
      <c r="K781" s="4" t="s">
        <v>184</v>
      </c>
      <c r="L781" s="4" t="s">
        <v>1679</v>
      </c>
      <c r="M781" s="4" t="s">
        <v>49</v>
      </c>
      <c r="N781" s="4" t="s">
        <v>119</v>
      </c>
      <c r="O781" s="4">
        <v>15</v>
      </c>
      <c r="P781" s="7">
        <v>4750</v>
      </c>
      <c r="Q781" s="8">
        <v>0.1</v>
      </c>
      <c r="R781" s="7">
        <v>3200</v>
      </c>
      <c r="S781" s="7">
        <f>Table1_1[[#This Row],[Units Sold]]*Table1_1[[#This Row],[Unit Price]]*(1-Table1_1[[#This Row],[Discount %]])</f>
        <v>64125</v>
      </c>
      <c r="T781" s="7">
        <f>Table1_1[[#This Row],[Units Sold]]*Table1_1[[#This Row],[Unit Cost]]</f>
        <v>48000</v>
      </c>
      <c r="U781" s="7">
        <f>Table1_1[[#This Row],[Calculated sales]]-Table1_1[[#This Row],[Total cost]]</f>
        <v>16125</v>
      </c>
      <c r="V781" s="4">
        <f>IFERROR(Table1_1[[#This Row],[Profit/Loss]]/Table1_1[[#This Row],[Calculated sales]],0)</f>
        <v>0.25146198830409355</v>
      </c>
    </row>
    <row r="782" spans="1:22" x14ac:dyDescent="0.25">
      <c r="A782" s="4" t="s">
        <v>931</v>
      </c>
      <c r="B782" s="5">
        <v>45701</v>
      </c>
      <c r="C782" s="4">
        <f>YEAR(Table1_1[[#This Row],[Order Dates]])</f>
        <v>2025</v>
      </c>
      <c r="D782" s="6">
        <f>MONTH(Table1_1[[#This Row],[Order Dates]])</f>
        <v>2</v>
      </c>
      <c r="E782" s="4" t="s">
        <v>37</v>
      </c>
      <c r="F782" s="4" t="s">
        <v>166</v>
      </c>
      <c r="G782" s="4" t="s">
        <v>39</v>
      </c>
      <c r="H782" s="4" t="str">
        <f>TRIM(CLEAN(SUBSTITUTE(Table1_1[[#This Row],[Salesperson]],"   "," ")))</f>
        <v>Sourav Das</v>
      </c>
      <c r="I782" s="4" t="s">
        <v>19</v>
      </c>
      <c r="J782" s="4" t="s">
        <v>27</v>
      </c>
      <c r="K782" s="4" t="s">
        <v>79</v>
      </c>
      <c r="L782" s="4" t="s">
        <v>262</v>
      </c>
      <c r="M782" s="4" t="s">
        <v>23</v>
      </c>
      <c r="N782" s="4" t="s">
        <v>24</v>
      </c>
      <c r="O782" s="4">
        <v>18</v>
      </c>
      <c r="P782" s="7">
        <v>2780</v>
      </c>
      <c r="Q782" s="8">
        <v>0.1</v>
      </c>
      <c r="R782" s="7">
        <v>1980</v>
      </c>
      <c r="S782" s="7">
        <f>Table1_1[[#This Row],[Units Sold]]*Table1_1[[#This Row],[Unit Price]]*(1-Table1_1[[#This Row],[Discount %]])</f>
        <v>45036</v>
      </c>
      <c r="T782" s="7">
        <f>Table1_1[[#This Row],[Units Sold]]*Table1_1[[#This Row],[Unit Cost]]</f>
        <v>35640</v>
      </c>
      <c r="U782" s="7">
        <f>Table1_1[[#This Row],[Calculated sales]]-Table1_1[[#This Row],[Total cost]]</f>
        <v>9396</v>
      </c>
      <c r="V782" s="4">
        <f>IFERROR(Table1_1[[#This Row],[Profit/Loss]]/Table1_1[[#This Row],[Calculated sales]],0)</f>
        <v>0.20863309352517986</v>
      </c>
    </row>
    <row r="783" spans="1:22" x14ac:dyDescent="0.25">
      <c r="A783" s="4" t="s">
        <v>932</v>
      </c>
      <c r="B783" s="5">
        <v>45702</v>
      </c>
      <c r="C783" s="4">
        <f>YEAR(Table1_1[[#This Row],[Order Dates]])</f>
        <v>2025</v>
      </c>
      <c r="D783" s="6">
        <f>MONTH(Table1_1[[#This Row],[Order Dates]])</f>
        <v>2</v>
      </c>
      <c r="E783" s="4" t="s">
        <v>56</v>
      </c>
      <c r="F783" s="4" t="s">
        <v>57</v>
      </c>
      <c r="G783" s="4" t="s">
        <v>58</v>
      </c>
      <c r="H783" s="4" t="str">
        <f>TRIM(CLEAN(SUBSTITUTE(Table1_1[[#This Row],[Salesperson]],"   "," ")))</f>
        <v>Karthik Raman</v>
      </c>
      <c r="I783" s="4" t="s">
        <v>52</v>
      </c>
      <c r="J783" s="4" t="s">
        <v>20</v>
      </c>
      <c r="K783" s="4" t="s">
        <v>109</v>
      </c>
      <c r="L783" s="4" t="s">
        <v>159</v>
      </c>
      <c r="M783" s="4" t="s">
        <v>23</v>
      </c>
      <c r="N783" s="4" t="s">
        <v>24</v>
      </c>
      <c r="O783" s="4">
        <v>2</v>
      </c>
      <c r="P783" s="7">
        <v>17670</v>
      </c>
      <c r="Q783" s="8">
        <v>0</v>
      </c>
      <c r="R783" s="7">
        <v>11800</v>
      </c>
      <c r="S783" s="7">
        <f>Table1_1[[#This Row],[Units Sold]]*Table1_1[[#This Row],[Unit Price]]*(1-Table1_1[[#This Row],[Discount %]])</f>
        <v>35340</v>
      </c>
      <c r="T783" s="7">
        <f>Table1_1[[#This Row],[Units Sold]]*Table1_1[[#This Row],[Unit Cost]]</f>
        <v>23600</v>
      </c>
      <c r="U783" s="7">
        <f>Table1_1[[#This Row],[Calculated sales]]-Table1_1[[#This Row],[Total cost]]</f>
        <v>11740</v>
      </c>
      <c r="V783" s="4">
        <f>IFERROR(Table1_1[[#This Row],[Profit/Loss]]/Table1_1[[#This Row],[Calculated sales]],0)</f>
        <v>0.33220147142048673</v>
      </c>
    </row>
    <row r="784" spans="1:22" x14ac:dyDescent="0.25">
      <c r="A784" s="4" t="s">
        <v>933</v>
      </c>
      <c r="B784" s="5">
        <v>45703</v>
      </c>
      <c r="C784" s="4">
        <f>YEAR(Table1_1[[#This Row],[Order Dates]])</f>
        <v>2025</v>
      </c>
      <c r="D784" s="6">
        <f>MONTH(Table1_1[[#This Row],[Order Dates]])</f>
        <v>2</v>
      </c>
      <c r="E784" s="4" t="s">
        <v>76</v>
      </c>
      <c r="F784" s="4" t="s">
        <v>77</v>
      </c>
      <c r="G784" s="4" t="s">
        <v>170</v>
      </c>
      <c r="H784" s="4" t="str">
        <f>TRIM(CLEAN(SUBSTITUTE(Table1_1[[#This Row],[Salesperson]],"   "," ")))</f>
        <v>Manish Tiwari</v>
      </c>
      <c r="I784" s="4" t="s">
        <v>92</v>
      </c>
      <c r="J784" s="4" t="s">
        <v>20</v>
      </c>
      <c r="K784" s="4" t="s">
        <v>87</v>
      </c>
      <c r="L784" s="4" t="s">
        <v>1674</v>
      </c>
      <c r="M784" s="4" t="s">
        <v>23</v>
      </c>
      <c r="N784" s="4" t="s">
        <v>35</v>
      </c>
      <c r="O784" s="4">
        <v>6</v>
      </c>
      <c r="P784" s="7">
        <v>53150</v>
      </c>
      <c r="Q784" s="8">
        <v>0.1</v>
      </c>
      <c r="R784" s="7">
        <v>32200</v>
      </c>
      <c r="S784" s="7">
        <f>Table1_1[[#This Row],[Units Sold]]*Table1_1[[#This Row],[Unit Price]]*(1-Table1_1[[#This Row],[Discount %]])</f>
        <v>287010</v>
      </c>
      <c r="T784" s="7">
        <f>Table1_1[[#This Row],[Units Sold]]*Table1_1[[#This Row],[Unit Cost]]</f>
        <v>193200</v>
      </c>
      <c r="U784" s="7">
        <f>Table1_1[[#This Row],[Calculated sales]]-Table1_1[[#This Row],[Total cost]]</f>
        <v>93810</v>
      </c>
      <c r="V784" s="4">
        <f>IFERROR(Table1_1[[#This Row],[Profit/Loss]]/Table1_1[[#This Row],[Calculated sales]],0)</f>
        <v>0.32685272290164108</v>
      </c>
    </row>
    <row r="785" spans="1:22" x14ac:dyDescent="0.25">
      <c r="A785" s="4" t="s">
        <v>934</v>
      </c>
      <c r="B785" s="5">
        <v>45704</v>
      </c>
      <c r="C785" s="4">
        <f>YEAR(Table1_1[[#This Row],[Order Dates]])</f>
        <v>2025</v>
      </c>
      <c r="D785" s="6">
        <f>MONTH(Table1_1[[#This Row],[Order Dates]])</f>
        <v>2</v>
      </c>
      <c r="E785" s="4" t="s">
        <v>16</v>
      </c>
      <c r="F785" s="4" t="s">
        <v>191</v>
      </c>
      <c r="G785" s="4" t="s">
        <v>18</v>
      </c>
      <c r="H785" s="4" t="str">
        <f>TRIM(CLEAN(SUBSTITUTE(Table1_1[[#This Row],[Salesperson]],"   "," ")))</f>
        <v>Imran Sheikh</v>
      </c>
      <c r="I785" s="4" t="s">
        <v>19</v>
      </c>
      <c r="J785" s="4" t="s">
        <v>83</v>
      </c>
      <c r="K785" s="4" t="s">
        <v>184</v>
      </c>
      <c r="L785" s="4" t="s">
        <v>1679</v>
      </c>
      <c r="M785" s="4" t="s">
        <v>23</v>
      </c>
      <c r="N785" s="4" t="s">
        <v>24</v>
      </c>
      <c r="O785" s="4">
        <v>13</v>
      </c>
      <c r="P785" s="7">
        <v>4290</v>
      </c>
      <c r="Q785" s="8">
        <v>0.05</v>
      </c>
      <c r="R785" s="7">
        <v>2460</v>
      </c>
      <c r="S785" s="7">
        <f>Table1_1[[#This Row],[Units Sold]]*Table1_1[[#This Row],[Unit Price]]*(1-Table1_1[[#This Row],[Discount %]])</f>
        <v>52981.5</v>
      </c>
      <c r="T785" s="7">
        <f>Table1_1[[#This Row],[Units Sold]]*Table1_1[[#This Row],[Unit Cost]]</f>
        <v>31980</v>
      </c>
      <c r="U785" s="7">
        <f>Table1_1[[#This Row],[Calculated sales]]-Table1_1[[#This Row],[Total cost]]</f>
        <v>21001.5</v>
      </c>
      <c r="V785" s="4">
        <f>IFERROR(Table1_1[[#This Row],[Profit/Loss]]/Table1_1[[#This Row],[Calculated sales]],0)</f>
        <v>0.3963930806036069</v>
      </c>
    </row>
    <row r="786" spans="1:22" x14ac:dyDescent="0.25">
      <c r="A786" s="4" t="s">
        <v>935</v>
      </c>
      <c r="B786" s="5">
        <v>45704</v>
      </c>
      <c r="C786" s="4">
        <f>YEAR(Table1_1[[#This Row],[Order Dates]])</f>
        <v>2025</v>
      </c>
      <c r="D786" s="6">
        <f>MONTH(Table1_1[[#This Row],[Order Dates]])</f>
        <v>2</v>
      </c>
      <c r="E786" s="4" t="s">
        <v>56</v>
      </c>
      <c r="F786" s="4" t="s">
        <v>57</v>
      </c>
      <c r="G786" s="4" t="s">
        <v>134</v>
      </c>
      <c r="H786" s="4" t="str">
        <f>TRIM(CLEAN(SUBSTITUTE(Table1_1[[#This Row],[Salesperson]],"   "," ")))</f>
        <v>Divya Nair</v>
      </c>
      <c r="I786" s="4" t="s">
        <v>92</v>
      </c>
      <c r="J786" s="4" t="s">
        <v>46</v>
      </c>
      <c r="K786" s="4" t="s">
        <v>100</v>
      </c>
      <c r="L786" s="4" t="s">
        <v>177</v>
      </c>
      <c r="M786" s="4" t="s">
        <v>49</v>
      </c>
      <c r="N786" s="4" t="s">
        <v>24</v>
      </c>
      <c r="O786" s="4">
        <v>26</v>
      </c>
      <c r="P786" s="7">
        <v>2610</v>
      </c>
      <c r="Q786" s="8">
        <v>0.12</v>
      </c>
      <c r="R786" s="7">
        <v>1940</v>
      </c>
      <c r="S786" s="7">
        <f>Table1_1[[#This Row],[Units Sold]]*Table1_1[[#This Row],[Unit Price]]*(1-Table1_1[[#This Row],[Discount %]])</f>
        <v>59716.800000000003</v>
      </c>
      <c r="T786" s="7">
        <f>Table1_1[[#This Row],[Units Sold]]*Table1_1[[#This Row],[Unit Cost]]</f>
        <v>50440</v>
      </c>
      <c r="U786" s="7">
        <f>Table1_1[[#This Row],[Calculated sales]]-Table1_1[[#This Row],[Total cost]]</f>
        <v>9276.8000000000029</v>
      </c>
      <c r="V786" s="4">
        <f>IFERROR(Table1_1[[#This Row],[Profit/Loss]]/Table1_1[[#This Row],[Calculated sales]],0)</f>
        <v>0.15534656913967262</v>
      </c>
    </row>
    <row r="787" spans="1:22" x14ac:dyDescent="0.25">
      <c r="A787" s="4" t="s">
        <v>936</v>
      </c>
      <c r="B787" s="5">
        <v>45704</v>
      </c>
      <c r="C787" s="4">
        <f>YEAR(Table1_1[[#This Row],[Order Dates]])</f>
        <v>2025</v>
      </c>
      <c r="D787" s="6">
        <f>MONTH(Table1_1[[#This Row],[Order Dates]])</f>
        <v>2</v>
      </c>
      <c r="E787" s="4" t="s">
        <v>37</v>
      </c>
      <c r="F787" s="4" t="s">
        <v>115</v>
      </c>
      <c r="G787" s="4" t="s">
        <v>39</v>
      </c>
      <c r="H787" s="4" t="str">
        <f>TRIM(CLEAN(SUBSTITUTE(Table1_1[[#This Row],[Salesperson]],"   "," ")))</f>
        <v>Sourav Das</v>
      </c>
      <c r="I787" s="4" t="s">
        <v>19</v>
      </c>
      <c r="J787" s="4" t="s">
        <v>59</v>
      </c>
      <c r="K787" s="4" t="s">
        <v>60</v>
      </c>
      <c r="L787" s="4" t="s">
        <v>61</v>
      </c>
      <c r="M787" s="4" t="s">
        <v>49</v>
      </c>
      <c r="N787" s="4" t="s">
        <v>24</v>
      </c>
      <c r="O787" s="4">
        <v>4</v>
      </c>
      <c r="P787" s="7">
        <v>23940</v>
      </c>
      <c r="Q787" s="8">
        <v>0.18</v>
      </c>
      <c r="R787" s="7">
        <v>15240</v>
      </c>
      <c r="S787" s="7">
        <f>Table1_1[[#This Row],[Units Sold]]*Table1_1[[#This Row],[Unit Price]]*(1-Table1_1[[#This Row],[Discount %]])</f>
        <v>78523.200000000012</v>
      </c>
      <c r="T787" s="7">
        <f>Table1_1[[#This Row],[Units Sold]]*Table1_1[[#This Row],[Unit Cost]]</f>
        <v>60960</v>
      </c>
      <c r="U787" s="7">
        <f>Table1_1[[#This Row],[Calculated sales]]-Table1_1[[#This Row],[Total cost]]</f>
        <v>17563.200000000012</v>
      </c>
      <c r="V787" s="4">
        <f>IFERROR(Table1_1[[#This Row],[Profit/Loss]]/Table1_1[[#This Row],[Calculated sales]],0)</f>
        <v>0.22366892841860761</v>
      </c>
    </row>
    <row r="788" spans="1:22" x14ac:dyDescent="0.25">
      <c r="A788" s="4" t="s">
        <v>937</v>
      </c>
      <c r="B788" s="5">
        <v>45705</v>
      </c>
      <c r="C788" s="4">
        <f>YEAR(Table1_1[[#This Row],[Order Dates]])</f>
        <v>2025</v>
      </c>
      <c r="D788" s="6">
        <f>MONTH(Table1_1[[#This Row],[Order Dates]])</f>
        <v>2</v>
      </c>
      <c r="E788" s="4" t="s">
        <v>42</v>
      </c>
      <c r="F788" s="4" t="s">
        <v>265</v>
      </c>
      <c r="G788" s="4" t="s">
        <v>97</v>
      </c>
      <c r="H788" s="4" t="str">
        <f>TRIM(CLEAN(SUBSTITUTE(Table1_1[[#This Row],[Salesperson]],"   "," ")))</f>
        <v>Rohit Malhotra</v>
      </c>
      <c r="I788" s="4" t="s">
        <v>19</v>
      </c>
      <c r="J788" s="4" t="s">
        <v>20</v>
      </c>
      <c r="K788" s="4" t="s">
        <v>109</v>
      </c>
      <c r="L788" s="4" t="s">
        <v>159</v>
      </c>
      <c r="M788" s="4" t="s">
        <v>40</v>
      </c>
      <c r="N788" s="4" t="s">
        <v>24</v>
      </c>
      <c r="O788" s="4">
        <v>7</v>
      </c>
      <c r="P788" s="7">
        <v>18330</v>
      </c>
      <c r="Q788" s="8">
        <v>0.05</v>
      </c>
      <c r="R788" s="7">
        <v>12810</v>
      </c>
      <c r="S788" s="7">
        <f>Table1_1[[#This Row],[Units Sold]]*Table1_1[[#This Row],[Unit Price]]*(1-Table1_1[[#This Row],[Discount %]])</f>
        <v>121894.5</v>
      </c>
      <c r="T788" s="7">
        <f>Table1_1[[#This Row],[Units Sold]]*Table1_1[[#This Row],[Unit Cost]]</f>
        <v>89670</v>
      </c>
      <c r="U788" s="7">
        <f>Table1_1[[#This Row],[Calculated sales]]-Table1_1[[#This Row],[Total cost]]</f>
        <v>32224.5</v>
      </c>
      <c r="V788" s="4">
        <f>IFERROR(Table1_1[[#This Row],[Profit/Loss]]/Table1_1[[#This Row],[Calculated sales]],0)</f>
        <v>0.26436385562925319</v>
      </c>
    </row>
    <row r="789" spans="1:22" x14ac:dyDescent="0.25">
      <c r="A789" s="4" t="s">
        <v>938</v>
      </c>
      <c r="B789" s="5">
        <v>45705</v>
      </c>
      <c r="C789" s="4">
        <f>YEAR(Table1_1[[#This Row],[Order Dates]])</f>
        <v>2025</v>
      </c>
      <c r="D789" s="6">
        <f>MONTH(Table1_1[[#This Row],[Order Dates]])</f>
        <v>2</v>
      </c>
      <c r="E789" s="4" t="s">
        <v>42</v>
      </c>
      <c r="F789" s="4" t="s">
        <v>265</v>
      </c>
      <c r="G789" s="4" t="s">
        <v>97</v>
      </c>
      <c r="H789" s="4" t="str">
        <f>TRIM(CLEAN(SUBSTITUTE(Table1_1[[#This Row],[Salesperson]],"   "," ")))</f>
        <v>Rohit Malhotra</v>
      </c>
      <c r="I789" s="4" t="s">
        <v>52</v>
      </c>
      <c r="J789" s="4" t="s">
        <v>20</v>
      </c>
      <c r="K789" s="4" t="s">
        <v>109</v>
      </c>
      <c r="L789" s="4" t="s">
        <v>171</v>
      </c>
      <c r="M789" s="4" t="s">
        <v>23</v>
      </c>
      <c r="N789" s="4" t="s">
        <v>94</v>
      </c>
      <c r="O789" s="4">
        <v>3</v>
      </c>
      <c r="P789" s="7">
        <v>22670</v>
      </c>
      <c r="Q789" s="8">
        <v>0.12</v>
      </c>
      <c r="R789" s="7">
        <v>13910</v>
      </c>
      <c r="S789" s="7">
        <f>Table1_1[[#This Row],[Units Sold]]*Table1_1[[#This Row],[Unit Price]]*(1-Table1_1[[#This Row],[Discount %]])</f>
        <v>59848.800000000003</v>
      </c>
      <c r="T789" s="7">
        <f>Table1_1[[#This Row],[Units Sold]]*Table1_1[[#This Row],[Unit Cost]]</f>
        <v>41730</v>
      </c>
      <c r="U789" s="7">
        <f>Table1_1[[#This Row],[Calculated sales]]-Table1_1[[#This Row],[Total cost]]</f>
        <v>18118.800000000003</v>
      </c>
      <c r="V789" s="4">
        <f>IFERROR(Table1_1[[#This Row],[Profit/Loss]]/Table1_1[[#This Row],[Calculated sales]],0)</f>
        <v>0.30274291213858928</v>
      </c>
    </row>
    <row r="790" spans="1:22" x14ac:dyDescent="0.25">
      <c r="A790" s="4" t="s">
        <v>939</v>
      </c>
      <c r="B790" s="5">
        <v>45707</v>
      </c>
      <c r="C790" s="4">
        <f>YEAR(Table1_1[[#This Row],[Order Dates]])</f>
        <v>2025</v>
      </c>
      <c r="D790" s="6">
        <f>MONTH(Table1_1[[#This Row],[Order Dates]])</f>
        <v>2</v>
      </c>
      <c r="E790" s="4" t="s">
        <v>42</v>
      </c>
      <c r="F790" s="4" t="s">
        <v>146</v>
      </c>
      <c r="G790" s="4" t="s">
        <v>97</v>
      </c>
      <c r="H790" s="4" t="str">
        <f>TRIM(CLEAN(SUBSTITUTE(Table1_1[[#This Row],[Salesperson]],"   "," ")))</f>
        <v>Rohit Malhotra</v>
      </c>
      <c r="I790" s="4" t="s">
        <v>19</v>
      </c>
      <c r="J790" s="4" t="s">
        <v>20</v>
      </c>
      <c r="K790" s="4" t="s">
        <v>87</v>
      </c>
      <c r="L790" s="4" t="s">
        <v>1672</v>
      </c>
      <c r="M790" s="4" t="s">
        <v>40</v>
      </c>
      <c r="N790" s="4" t="s">
        <v>119</v>
      </c>
      <c r="O790" s="4">
        <v>4</v>
      </c>
      <c r="P790" s="7">
        <v>31090</v>
      </c>
      <c r="Q790" s="8">
        <v>0.25</v>
      </c>
      <c r="R790" s="7">
        <v>23810</v>
      </c>
      <c r="S790" s="7">
        <f>Table1_1[[#This Row],[Units Sold]]*Table1_1[[#This Row],[Unit Price]]*(1-Table1_1[[#This Row],[Discount %]])</f>
        <v>93270</v>
      </c>
      <c r="T790" s="7">
        <f>Table1_1[[#This Row],[Units Sold]]*Table1_1[[#This Row],[Unit Cost]]</f>
        <v>95240</v>
      </c>
      <c r="U790" s="7">
        <f>Table1_1[[#This Row],[Calculated sales]]-Table1_1[[#This Row],[Total cost]]</f>
        <v>-1970</v>
      </c>
      <c r="V790" s="4">
        <f>IFERROR(Table1_1[[#This Row],[Profit/Loss]]/Table1_1[[#This Row],[Calculated sales]],0)</f>
        <v>-2.1121475286801757E-2</v>
      </c>
    </row>
    <row r="791" spans="1:22" x14ac:dyDescent="0.25">
      <c r="A791" s="4" t="s">
        <v>940</v>
      </c>
      <c r="B791" s="5">
        <v>45708</v>
      </c>
      <c r="C791" s="4">
        <f>YEAR(Table1_1[[#This Row],[Order Dates]])</f>
        <v>2025</v>
      </c>
      <c r="D791" s="6">
        <f>MONTH(Table1_1[[#This Row],[Order Dates]])</f>
        <v>2</v>
      </c>
      <c r="E791" s="4" t="s">
        <v>42</v>
      </c>
      <c r="F791" s="4" t="s">
        <v>146</v>
      </c>
      <c r="G791" s="4" t="s">
        <v>97</v>
      </c>
      <c r="H791" s="4" t="str">
        <f>TRIM(CLEAN(SUBSTITUTE(Table1_1[[#This Row],[Salesperson]],"   "," ")))</f>
        <v>Rohit Malhotra</v>
      </c>
      <c r="I791" s="4" t="s">
        <v>92</v>
      </c>
      <c r="J791" s="4" t="s">
        <v>20</v>
      </c>
      <c r="K791" s="4" t="s">
        <v>109</v>
      </c>
      <c r="L791" s="4" t="s">
        <v>1675</v>
      </c>
      <c r="M791" s="4" t="s">
        <v>23</v>
      </c>
      <c r="N791" s="4" t="s">
        <v>24</v>
      </c>
      <c r="O791" s="4">
        <v>2</v>
      </c>
      <c r="P791" s="7">
        <v>68560</v>
      </c>
      <c r="Q791" s="8">
        <v>0.08</v>
      </c>
      <c r="R791" s="7">
        <v>42850</v>
      </c>
      <c r="S791" s="7">
        <f>Table1_1[[#This Row],[Units Sold]]*Table1_1[[#This Row],[Unit Price]]*(1-Table1_1[[#This Row],[Discount %]])</f>
        <v>126150.40000000001</v>
      </c>
      <c r="T791" s="7">
        <f>Table1_1[[#This Row],[Units Sold]]*Table1_1[[#This Row],[Unit Cost]]</f>
        <v>85700</v>
      </c>
      <c r="U791" s="7">
        <f>Table1_1[[#This Row],[Calculated sales]]-Table1_1[[#This Row],[Total cost]]</f>
        <v>40450.400000000009</v>
      </c>
      <c r="V791" s="4">
        <f>IFERROR(Table1_1[[#This Row],[Profit/Loss]]/Table1_1[[#This Row],[Calculated sales]],0)</f>
        <v>0.32065217391304351</v>
      </c>
    </row>
    <row r="792" spans="1:22" x14ac:dyDescent="0.25">
      <c r="A792" s="4" t="s">
        <v>941</v>
      </c>
      <c r="B792" s="5">
        <v>45708</v>
      </c>
      <c r="C792" s="4">
        <f>YEAR(Table1_1[[#This Row],[Order Dates]])</f>
        <v>2025</v>
      </c>
      <c r="D792" s="6">
        <f>MONTH(Table1_1[[#This Row],[Order Dates]])</f>
        <v>2</v>
      </c>
      <c r="E792" s="4" t="s">
        <v>76</v>
      </c>
      <c r="F792" s="4" t="s">
        <v>217</v>
      </c>
      <c r="G792" s="4" t="s">
        <v>78</v>
      </c>
      <c r="H792" s="4" t="str">
        <f>TRIM(CLEAN(SUBSTITUTE(Table1_1[[#This Row],[Salesperson]],"   "," ")))</f>
        <v>Pooja Chouhan</v>
      </c>
      <c r="I792" s="4" t="s">
        <v>92</v>
      </c>
      <c r="J792" s="4" t="s">
        <v>20</v>
      </c>
      <c r="K792" s="4" t="s">
        <v>109</v>
      </c>
      <c r="L792" s="4" t="s">
        <v>1675</v>
      </c>
      <c r="M792" s="4" t="s">
        <v>49</v>
      </c>
      <c r="N792" s="4" t="s">
        <v>24</v>
      </c>
      <c r="O792" s="4">
        <v>4</v>
      </c>
      <c r="P792" s="7">
        <v>67230</v>
      </c>
      <c r="Q792" s="8">
        <v>0.1</v>
      </c>
      <c r="R792" s="7">
        <v>51800</v>
      </c>
      <c r="S792" s="7">
        <f>Table1_1[[#This Row],[Units Sold]]*Table1_1[[#This Row],[Unit Price]]*(1-Table1_1[[#This Row],[Discount %]])</f>
        <v>242028</v>
      </c>
      <c r="T792" s="7">
        <f>Table1_1[[#This Row],[Units Sold]]*Table1_1[[#This Row],[Unit Cost]]</f>
        <v>207200</v>
      </c>
      <c r="U792" s="7">
        <f>Table1_1[[#This Row],[Calculated sales]]-Table1_1[[#This Row],[Total cost]]</f>
        <v>34828</v>
      </c>
      <c r="V792" s="4">
        <f>IFERROR(Table1_1[[#This Row],[Profit/Loss]]/Table1_1[[#This Row],[Calculated sales]],0)</f>
        <v>0.14390070570347233</v>
      </c>
    </row>
    <row r="793" spans="1:22" x14ac:dyDescent="0.25">
      <c r="A793" s="4" t="s">
        <v>942</v>
      </c>
      <c r="B793" s="5">
        <v>45708</v>
      </c>
      <c r="C793" s="4">
        <f>YEAR(Table1_1[[#This Row],[Order Dates]])</f>
        <v>2025</v>
      </c>
      <c r="D793" s="6">
        <f>MONTH(Table1_1[[#This Row],[Order Dates]])</f>
        <v>2</v>
      </c>
      <c r="E793" s="4" t="s">
        <v>42</v>
      </c>
      <c r="F793" s="4" t="s">
        <v>130</v>
      </c>
      <c r="G793" s="4" t="s">
        <v>44</v>
      </c>
      <c r="H793" s="4" t="str">
        <f>TRIM(CLEAN(SUBSTITUTE(Table1_1[[#This Row],[Salesperson]],"   "," ")))</f>
        <v>Simran Kaur</v>
      </c>
      <c r="I793" s="4" t="s">
        <v>52</v>
      </c>
      <c r="J793" s="4" t="s">
        <v>83</v>
      </c>
      <c r="K793" s="4" t="s">
        <v>184</v>
      </c>
      <c r="L793" s="4" t="s">
        <v>1679</v>
      </c>
      <c r="M793" s="4" t="s">
        <v>40</v>
      </c>
      <c r="N793" s="4" t="s">
        <v>24</v>
      </c>
      <c r="O793" s="4">
        <v>2</v>
      </c>
      <c r="P793" s="7">
        <v>4280</v>
      </c>
      <c r="Q793" s="8">
        <v>0.18</v>
      </c>
      <c r="R793" s="7">
        <v>3190</v>
      </c>
      <c r="S793" s="7">
        <f>Table1_1[[#This Row],[Units Sold]]*Table1_1[[#This Row],[Unit Price]]*(1-Table1_1[[#This Row],[Discount %]])</f>
        <v>7019.2000000000007</v>
      </c>
      <c r="T793" s="7">
        <f>Table1_1[[#This Row],[Units Sold]]*Table1_1[[#This Row],[Unit Cost]]</f>
        <v>6380</v>
      </c>
      <c r="U793" s="7">
        <f>Table1_1[[#This Row],[Calculated sales]]-Table1_1[[#This Row],[Total cost]]</f>
        <v>639.20000000000073</v>
      </c>
      <c r="V793" s="4">
        <f>IFERROR(Table1_1[[#This Row],[Profit/Loss]]/Table1_1[[#This Row],[Calculated sales]],0)</f>
        <v>9.1064508775928976E-2</v>
      </c>
    </row>
    <row r="794" spans="1:22" x14ac:dyDescent="0.25">
      <c r="A794" s="4" t="s">
        <v>943</v>
      </c>
      <c r="B794" s="5">
        <v>45709</v>
      </c>
      <c r="C794" s="4">
        <f>YEAR(Table1_1[[#This Row],[Order Dates]])</f>
        <v>2025</v>
      </c>
      <c r="D794" s="6">
        <f>MONTH(Table1_1[[#This Row],[Order Dates]])</f>
        <v>2</v>
      </c>
      <c r="E794" s="4" t="s">
        <v>37</v>
      </c>
      <c r="F794" s="4" t="s">
        <v>213</v>
      </c>
      <c r="G794" s="4" t="s">
        <v>68</v>
      </c>
      <c r="H794" s="4" t="str">
        <f>TRIM(CLEAN(SUBSTITUTE(Table1_1[[#This Row],[Salesperson]],"   "," ")))</f>
        <v>Ritika Ghosh</v>
      </c>
      <c r="I794" s="4" t="s">
        <v>19</v>
      </c>
      <c r="J794" s="4" t="s">
        <v>46</v>
      </c>
      <c r="K794" s="4" t="s">
        <v>179</v>
      </c>
      <c r="L794" s="4" t="s">
        <v>221</v>
      </c>
      <c r="M794" s="4" t="s">
        <v>23</v>
      </c>
      <c r="N794" s="4" t="s">
        <v>24</v>
      </c>
      <c r="O794" s="4">
        <v>15</v>
      </c>
      <c r="P794" s="7">
        <v>1570</v>
      </c>
      <c r="Q794" s="8">
        <v>0.15</v>
      </c>
      <c r="R794" s="7">
        <v>1010</v>
      </c>
      <c r="S794" s="7">
        <f>Table1_1[[#This Row],[Units Sold]]*Table1_1[[#This Row],[Unit Price]]*(1-Table1_1[[#This Row],[Discount %]])</f>
        <v>20017.5</v>
      </c>
      <c r="T794" s="7">
        <f>Table1_1[[#This Row],[Units Sold]]*Table1_1[[#This Row],[Unit Cost]]</f>
        <v>15150</v>
      </c>
      <c r="U794" s="7">
        <f>Table1_1[[#This Row],[Calculated sales]]-Table1_1[[#This Row],[Total cost]]</f>
        <v>4867.5</v>
      </c>
      <c r="V794" s="4">
        <f>IFERROR(Table1_1[[#This Row],[Profit/Loss]]/Table1_1[[#This Row],[Calculated sales]],0)</f>
        <v>0.24316223304608467</v>
      </c>
    </row>
    <row r="795" spans="1:22" x14ac:dyDescent="0.25">
      <c r="A795" s="4" t="s">
        <v>944</v>
      </c>
      <c r="B795" s="5">
        <v>45709</v>
      </c>
      <c r="C795" s="4">
        <f>YEAR(Table1_1[[#This Row],[Order Dates]])</f>
        <v>2025</v>
      </c>
      <c r="D795" s="6">
        <f>MONTH(Table1_1[[#This Row],[Order Dates]])</f>
        <v>2</v>
      </c>
      <c r="E795" s="4" t="s">
        <v>56</v>
      </c>
      <c r="F795" s="4" t="s">
        <v>127</v>
      </c>
      <c r="G795" s="4" t="s">
        <v>134</v>
      </c>
      <c r="H795" s="4" t="str">
        <f>TRIM(CLEAN(SUBSTITUTE(Table1_1[[#This Row],[Salesperson]],"   "," ")))</f>
        <v>Divya Nair</v>
      </c>
      <c r="I795" s="4" t="s">
        <v>19</v>
      </c>
      <c r="J795" s="4" t="s">
        <v>20</v>
      </c>
      <c r="K795" s="4" t="s">
        <v>21</v>
      </c>
      <c r="L795" s="4" t="s">
        <v>1682</v>
      </c>
      <c r="M795" s="4" t="s">
        <v>40</v>
      </c>
      <c r="N795" s="4" t="s">
        <v>35</v>
      </c>
      <c r="O795" s="4">
        <v>13</v>
      </c>
      <c r="P795" s="7">
        <v>9480</v>
      </c>
      <c r="Q795" s="8">
        <v>0.15</v>
      </c>
      <c r="R795" s="7">
        <v>6860</v>
      </c>
      <c r="S795" s="7">
        <f>Table1_1[[#This Row],[Units Sold]]*Table1_1[[#This Row],[Unit Price]]*(1-Table1_1[[#This Row],[Discount %]])</f>
        <v>104754</v>
      </c>
      <c r="T795" s="7">
        <f>Table1_1[[#This Row],[Units Sold]]*Table1_1[[#This Row],[Unit Cost]]</f>
        <v>89180</v>
      </c>
      <c r="U795" s="7">
        <f>Table1_1[[#This Row],[Calculated sales]]-Table1_1[[#This Row],[Total cost]]</f>
        <v>15574</v>
      </c>
      <c r="V795" s="4">
        <f>IFERROR(Table1_1[[#This Row],[Profit/Loss]]/Table1_1[[#This Row],[Calculated sales]],0)</f>
        <v>0.14867212707867958</v>
      </c>
    </row>
    <row r="796" spans="1:22" x14ac:dyDescent="0.25">
      <c r="A796" s="4" t="s">
        <v>945</v>
      </c>
      <c r="B796" s="5">
        <v>45709</v>
      </c>
      <c r="C796" s="4">
        <f>YEAR(Table1_1[[#This Row],[Order Dates]])</f>
        <v>2025</v>
      </c>
      <c r="D796" s="6">
        <f>MONTH(Table1_1[[#This Row],[Order Dates]])</f>
        <v>2</v>
      </c>
      <c r="E796" s="4" t="s">
        <v>56</v>
      </c>
      <c r="F796" s="4" t="s">
        <v>143</v>
      </c>
      <c r="G796" s="4" t="s">
        <v>91</v>
      </c>
      <c r="H796" s="4" t="str">
        <f>TRIM(CLEAN(SUBSTITUTE(Table1_1[[#This Row],[Salesperson]],"   "," ")))</f>
        <v>Anjali Menon</v>
      </c>
      <c r="I796" s="4" t="s">
        <v>19</v>
      </c>
      <c r="J796" s="4" t="s">
        <v>20</v>
      </c>
      <c r="K796" s="4" t="s">
        <v>109</v>
      </c>
      <c r="L796" s="4" t="s">
        <v>159</v>
      </c>
      <c r="M796" s="4" t="s">
        <v>23</v>
      </c>
      <c r="N796" s="4" t="s">
        <v>119</v>
      </c>
      <c r="O796" s="4">
        <v>5</v>
      </c>
      <c r="P796" s="7">
        <v>18330</v>
      </c>
      <c r="Q796" s="8">
        <v>0.15</v>
      </c>
      <c r="R796" s="7">
        <v>10900</v>
      </c>
      <c r="S796" s="7">
        <f>Table1_1[[#This Row],[Units Sold]]*Table1_1[[#This Row],[Unit Price]]*(1-Table1_1[[#This Row],[Discount %]])</f>
        <v>77902.5</v>
      </c>
      <c r="T796" s="7">
        <f>Table1_1[[#This Row],[Units Sold]]*Table1_1[[#This Row],[Unit Cost]]</f>
        <v>54500</v>
      </c>
      <c r="U796" s="7">
        <f>Table1_1[[#This Row],[Calculated sales]]-Table1_1[[#This Row],[Total cost]]</f>
        <v>23402.5</v>
      </c>
      <c r="V796" s="4">
        <f>IFERROR(Table1_1[[#This Row],[Profit/Loss]]/Table1_1[[#This Row],[Calculated sales]],0)</f>
        <v>0.30040756073296748</v>
      </c>
    </row>
    <row r="797" spans="1:22" x14ac:dyDescent="0.25">
      <c r="A797" s="4" t="s">
        <v>946</v>
      </c>
      <c r="B797" s="5">
        <v>45710</v>
      </c>
      <c r="C797" s="4">
        <f>YEAR(Table1_1[[#This Row],[Order Dates]])</f>
        <v>2025</v>
      </c>
      <c r="D797" s="6">
        <f>MONTH(Table1_1[[#This Row],[Order Dates]])</f>
        <v>2</v>
      </c>
      <c r="E797" s="4" t="s">
        <v>42</v>
      </c>
      <c r="F797" s="4" t="s">
        <v>123</v>
      </c>
      <c r="G797" s="4" t="s">
        <v>44</v>
      </c>
      <c r="H797" s="4" t="str">
        <f>TRIM(CLEAN(SUBSTITUTE(Table1_1[[#This Row],[Salesperson]],"   "," ")))</f>
        <v>Simran Kaur</v>
      </c>
      <c r="I797" s="4" t="s">
        <v>45</v>
      </c>
      <c r="J797" s="4" t="s">
        <v>83</v>
      </c>
      <c r="K797" s="4" t="s">
        <v>136</v>
      </c>
      <c r="L797" s="4" t="s">
        <v>307</v>
      </c>
      <c r="M797" s="4" t="s">
        <v>23</v>
      </c>
      <c r="N797" s="4" t="s">
        <v>119</v>
      </c>
      <c r="O797" s="4">
        <v>33</v>
      </c>
      <c r="P797" s="7">
        <v>860</v>
      </c>
      <c r="Q797" s="8">
        <v>0.25</v>
      </c>
      <c r="R797" s="7">
        <v>540</v>
      </c>
      <c r="S797" s="7">
        <f>Table1_1[[#This Row],[Units Sold]]*Table1_1[[#This Row],[Unit Price]]*(1-Table1_1[[#This Row],[Discount %]])</f>
        <v>21285</v>
      </c>
      <c r="T797" s="7">
        <f>Table1_1[[#This Row],[Units Sold]]*Table1_1[[#This Row],[Unit Cost]]</f>
        <v>17820</v>
      </c>
      <c r="U797" s="7">
        <f>Table1_1[[#This Row],[Calculated sales]]-Table1_1[[#This Row],[Total cost]]</f>
        <v>3465</v>
      </c>
      <c r="V797" s="4">
        <f>IFERROR(Table1_1[[#This Row],[Profit/Loss]]/Table1_1[[#This Row],[Calculated sales]],0)</f>
        <v>0.16279069767441862</v>
      </c>
    </row>
    <row r="798" spans="1:22" x14ac:dyDescent="0.25">
      <c r="A798" s="4" t="s">
        <v>947</v>
      </c>
      <c r="B798" s="5">
        <v>45712</v>
      </c>
      <c r="C798" s="4">
        <f>YEAR(Table1_1[[#This Row],[Order Dates]])</f>
        <v>2025</v>
      </c>
      <c r="D798" s="6">
        <f>MONTH(Table1_1[[#This Row],[Order Dates]])</f>
        <v>2</v>
      </c>
      <c r="E798" s="4" t="s">
        <v>76</v>
      </c>
      <c r="F798" s="4" t="s">
        <v>150</v>
      </c>
      <c r="G798" s="4" t="s">
        <v>170</v>
      </c>
      <c r="H798" s="4" t="str">
        <f>TRIM(CLEAN(SUBSTITUTE(Table1_1[[#This Row],[Salesperson]],"   "," ")))</f>
        <v>Manish Tiwari</v>
      </c>
      <c r="I798" s="4" t="s">
        <v>19</v>
      </c>
      <c r="J798" s="4" t="s">
        <v>20</v>
      </c>
      <c r="K798" s="4" t="s">
        <v>21</v>
      </c>
      <c r="L798" s="4" t="s">
        <v>1670</v>
      </c>
      <c r="M798" s="4" t="s">
        <v>23</v>
      </c>
      <c r="N798" s="4" t="s">
        <v>24</v>
      </c>
      <c r="O798" s="4">
        <v>12</v>
      </c>
      <c r="P798" s="7">
        <v>8150</v>
      </c>
      <c r="Q798" s="8">
        <v>0</v>
      </c>
      <c r="R798" s="7">
        <v>4760</v>
      </c>
      <c r="S798" s="7">
        <f>Table1_1[[#This Row],[Units Sold]]*Table1_1[[#This Row],[Unit Price]]*(1-Table1_1[[#This Row],[Discount %]])</f>
        <v>97800</v>
      </c>
      <c r="T798" s="7">
        <f>Table1_1[[#This Row],[Units Sold]]*Table1_1[[#This Row],[Unit Cost]]</f>
        <v>57120</v>
      </c>
      <c r="U798" s="7">
        <f>Table1_1[[#This Row],[Calculated sales]]-Table1_1[[#This Row],[Total cost]]</f>
        <v>40680</v>
      </c>
      <c r="V798" s="4">
        <f>IFERROR(Table1_1[[#This Row],[Profit/Loss]]/Table1_1[[#This Row],[Calculated sales]],0)</f>
        <v>0.41595092024539876</v>
      </c>
    </row>
    <row r="799" spans="1:22" x14ac:dyDescent="0.25">
      <c r="A799" s="4" t="s">
        <v>948</v>
      </c>
      <c r="B799" s="5">
        <v>45712</v>
      </c>
      <c r="C799" s="4">
        <f>YEAR(Table1_1[[#This Row],[Order Dates]])</f>
        <v>2025</v>
      </c>
      <c r="D799" s="6">
        <f>MONTH(Table1_1[[#This Row],[Order Dates]])</f>
        <v>2</v>
      </c>
      <c r="E799" s="4" t="s">
        <v>16</v>
      </c>
      <c r="F799" s="4" t="s">
        <v>153</v>
      </c>
      <c r="G799" s="4" t="s">
        <v>26</v>
      </c>
      <c r="H799" s="4" t="str">
        <f>TRIM(CLEAN(SUBSTITUTE(Table1_1[[#This Row],[Salesperson]],"   "," ")))</f>
        <v>Prateek Shah</v>
      </c>
      <c r="I799" s="4" t="s">
        <v>19</v>
      </c>
      <c r="J799" s="4" t="s">
        <v>46</v>
      </c>
      <c r="K799" s="4" t="s">
        <v>179</v>
      </c>
      <c r="L799" s="4" t="s">
        <v>180</v>
      </c>
      <c r="M799" s="4" t="s">
        <v>40</v>
      </c>
      <c r="N799" s="4" t="s">
        <v>119</v>
      </c>
      <c r="O799" s="4">
        <v>10</v>
      </c>
      <c r="P799" s="7">
        <v>3800</v>
      </c>
      <c r="Q799" s="8">
        <v>0.08</v>
      </c>
      <c r="R799" s="7">
        <v>2410</v>
      </c>
      <c r="S799" s="7">
        <f>Table1_1[[#This Row],[Units Sold]]*Table1_1[[#This Row],[Unit Price]]*(1-Table1_1[[#This Row],[Discount %]])</f>
        <v>34960</v>
      </c>
      <c r="T799" s="7">
        <f>Table1_1[[#This Row],[Units Sold]]*Table1_1[[#This Row],[Unit Cost]]</f>
        <v>24100</v>
      </c>
      <c r="U799" s="7">
        <f>Table1_1[[#This Row],[Calculated sales]]-Table1_1[[#This Row],[Total cost]]</f>
        <v>10860</v>
      </c>
      <c r="V799" s="4">
        <f>IFERROR(Table1_1[[#This Row],[Profit/Loss]]/Table1_1[[#This Row],[Calculated sales]],0)</f>
        <v>0.31064073226544625</v>
      </c>
    </row>
    <row r="800" spans="1:22" x14ac:dyDescent="0.25">
      <c r="A800" s="4" t="s">
        <v>949</v>
      </c>
      <c r="B800" s="5">
        <v>45712</v>
      </c>
      <c r="C800" s="4">
        <f>YEAR(Table1_1[[#This Row],[Order Dates]])</f>
        <v>2025</v>
      </c>
      <c r="D800" s="6">
        <f>MONTH(Table1_1[[#This Row],[Order Dates]])</f>
        <v>2</v>
      </c>
      <c r="E800" s="4" t="s">
        <v>42</v>
      </c>
      <c r="F800" s="4" t="s">
        <v>265</v>
      </c>
      <c r="G800" s="4" t="s">
        <v>64</v>
      </c>
      <c r="H800" s="4" t="str">
        <f>TRIM(CLEAN(SUBSTITUTE(Table1_1[[#This Row],[Salesperson]],"   "," ")))</f>
        <v>Aditya Verma</v>
      </c>
      <c r="I800" s="4" t="s">
        <v>92</v>
      </c>
      <c r="J800" s="4" t="s">
        <v>83</v>
      </c>
      <c r="K800" s="4" t="s">
        <v>136</v>
      </c>
      <c r="L800" s="4" t="s">
        <v>137</v>
      </c>
      <c r="M800" s="4" t="s">
        <v>49</v>
      </c>
      <c r="N800" s="4" t="s">
        <v>24</v>
      </c>
      <c r="O800" s="4">
        <v>19</v>
      </c>
      <c r="P800" s="7">
        <v>1600</v>
      </c>
      <c r="Q800" s="8">
        <v>0.1</v>
      </c>
      <c r="R800" s="7">
        <v>900</v>
      </c>
      <c r="S800" s="7">
        <f>Table1_1[[#This Row],[Units Sold]]*Table1_1[[#This Row],[Unit Price]]*(1-Table1_1[[#This Row],[Discount %]])</f>
        <v>27360</v>
      </c>
      <c r="T800" s="7">
        <f>Table1_1[[#This Row],[Units Sold]]*Table1_1[[#This Row],[Unit Cost]]</f>
        <v>17100</v>
      </c>
      <c r="U800" s="7">
        <f>Table1_1[[#This Row],[Calculated sales]]-Table1_1[[#This Row],[Total cost]]</f>
        <v>10260</v>
      </c>
      <c r="V800" s="4">
        <f>IFERROR(Table1_1[[#This Row],[Profit/Loss]]/Table1_1[[#This Row],[Calculated sales]],0)</f>
        <v>0.375</v>
      </c>
    </row>
    <row r="801" spans="1:22" x14ac:dyDescent="0.25">
      <c r="A801" s="4" t="s">
        <v>950</v>
      </c>
      <c r="B801" s="5">
        <v>45713</v>
      </c>
      <c r="C801" s="4">
        <f>YEAR(Table1_1[[#This Row],[Order Dates]])</f>
        <v>2025</v>
      </c>
      <c r="D801" s="6">
        <f>MONTH(Table1_1[[#This Row],[Order Dates]])</f>
        <v>2</v>
      </c>
      <c r="E801" s="4" t="s">
        <v>16</v>
      </c>
      <c r="F801" s="4" t="s">
        <v>153</v>
      </c>
      <c r="G801" s="4" t="s">
        <v>26</v>
      </c>
      <c r="H801" s="4" t="str">
        <f>TRIM(CLEAN(SUBSTITUTE(Table1_1[[#This Row],[Salesperson]],"   "," ")))</f>
        <v>Prateek Shah</v>
      </c>
      <c r="I801" s="4" t="s">
        <v>52</v>
      </c>
      <c r="J801" s="4" t="s">
        <v>46</v>
      </c>
      <c r="K801" s="4" t="s">
        <v>100</v>
      </c>
      <c r="L801" s="4" t="s">
        <v>101</v>
      </c>
      <c r="M801" s="4" t="s">
        <v>23</v>
      </c>
      <c r="N801" s="4" t="s">
        <v>35</v>
      </c>
      <c r="O801" s="4">
        <v>16</v>
      </c>
      <c r="P801" s="7">
        <v>1950</v>
      </c>
      <c r="Q801" s="8">
        <v>0.05</v>
      </c>
      <c r="R801" s="7">
        <v>1150</v>
      </c>
      <c r="S801" s="7">
        <f>Table1_1[[#This Row],[Units Sold]]*Table1_1[[#This Row],[Unit Price]]*(1-Table1_1[[#This Row],[Discount %]])</f>
        <v>29640</v>
      </c>
      <c r="T801" s="7">
        <f>Table1_1[[#This Row],[Units Sold]]*Table1_1[[#This Row],[Unit Cost]]</f>
        <v>18400</v>
      </c>
      <c r="U801" s="7">
        <f>Table1_1[[#This Row],[Calculated sales]]-Table1_1[[#This Row],[Total cost]]</f>
        <v>11240</v>
      </c>
      <c r="V801" s="4">
        <f>IFERROR(Table1_1[[#This Row],[Profit/Loss]]/Table1_1[[#This Row],[Calculated sales]],0)</f>
        <v>0.37921727395411609</v>
      </c>
    </row>
    <row r="802" spans="1:22" x14ac:dyDescent="0.25">
      <c r="A802" s="4" t="s">
        <v>951</v>
      </c>
      <c r="B802" s="5">
        <v>45713</v>
      </c>
      <c r="C802" s="4">
        <f>YEAR(Table1_1[[#This Row],[Order Dates]])</f>
        <v>2025</v>
      </c>
      <c r="D802" s="6">
        <f>MONTH(Table1_1[[#This Row],[Order Dates]])</f>
        <v>2</v>
      </c>
      <c r="E802" s="4" t="s">
        <v>16</v>
      </c>
      <c r="F802" s="4" t="s">
        <v>191</v>
      </c>
      <c r="G802" s="4" t="s">
        <v>26</v>
      </c>
      <c r="H802" s="4" t="str">
        <f>TRIM(CLEAN(SUBSTITUTE(Table1_1[[#This Row],[Salesperson]],"   "," ")))</f>
        <v>Prateek Shah</v>
      </c>
      <c r="I802" s="4" t="s">
        <v>52</v>
      </c>
      <c r="J802" s="4" t="s">
        <v>27</v>
      </c>
      <c r="K802" s="4" t="s">
        <v>28</v>
      </c>
      <c r="L802" s="4" t="s">
        <v>141</v>
      </c>
      <c r="M802" s="4" t="s">
        <v>23</v>
      </c>
      <c r="N802" s="4" t="s">
        <v>24</v>
      </c>
      <c r="O802" s="4">
        <v>8</v>
      </c>
      <c r="P802" s="7">
        <v>15770</v>
      </c>
      <c r="Q802" s="8">
        <v>0.15</v>
      </c>
      <c r="R802" s="7">
        <v>9040</v>
      </c>
      <c r="S802" s="7">
        <f>Table1_1[[#This Row],[Units Sold]]*Table1_1[[#This Row],[Unit Price]]*(1-Table1_1[[#This Row],[Discount %]])</f>
        <v>107236</v>
      </c>
      <c r="T802" s="7">
        <f>Table1_1[[#This Row],[Units Sold]]*Table1_1[[#This Row],[Unit Cost]]</f>
        <v>72320</v>
      </c>
      <c r="U802" s="7">
        <f>Table1_1[[#This Row],[Calculated sales]]-Table1_1[[#This Row],[Total cost]]</f>
        <v>34916</v>
      </c>
      <c r="V802" s="4">
        <f>IFERROR(Table1_1[[#This Row],[Profit/Loss]]/Table1_1[[#This Row],[Calculated sales]],0)</f>
        <v>0.32559961207057331</v>
      </c>
    </row>
    <row r="803" spans="1:22" x14ac:dyDescent="0.25">
      <c r="A803" s="4" t="s">
        <v>952</v>
      </c>
      <c r="B803" s="5">
        <v>45713</v>
      </c>
      <c r="C803" s="4">
        <f>YEAR(Table1_1[[#This Row],[Order Dates]])</f>
        <v>2025</v>
      </c>
      <c r="D803" s="6">
        <f>MONTH(Table1_1[[#This Row],[Order Dates]])</f>
        <v>2</v>
      </c>
      <c r="E803" s="4" t="s">
        <v>42</v>
      </c>
      <c r="F803" s="4" t="s">
        <v>265</v>
      </c>
      <c r="G803" s="4" t="s">
        <v>44</v>
      </c>
      <c r="H803" s="4" t="str">
        <f>TRIM(CLEAN(SUBSTITUTE(Table1_1[[#This Row],[Salesperson]],"   "," ")))</f>
        <v>Simran Kaur</v>
      </c>
      <c r="I803" s="4" t="s">
        <v>19</v>
      </c>
      <c r="J803" s="4" t="s">
        <v>59</v>
      </c>
      <c r="K803" s="4" t="s">
        <v>69</v>
      </c>
      <c r="L803" s="4" t="s">
        <v>70</v>
      </c>
      <c r="M803" s="4" t="s">
        <v>40</v>
      </c>
      <c r="N803" s="4" t="s">
        <v>119</v>
      </c>
      <c r="O803" s="4">
        <v>7</v>
      </c>
      <c r="P803" s="7">
        <v>28430</v>
      </c>
      <c r="Q803" s="8">
        <v>0.08</v>
      </c>
      <c r="R803" s="7">
        <v>18970</v>
      </c>
      <c r="S803" s="7">
        <f>Table1_1[[#This Row],[Units Sold]]*Table1_1[[#This Row],[Unit Price]]*(1-Table1_1[[#This Row],[Discount %]])</f>
        <v>183089.2</v>
      </c>
      <c r="T803" s="7">
        <f>Table1_1[[#This Row],[Units Sold]]*Table1_1[[#This Row],[Unit Cost]]</f>
        <v>132790</v>
      </c>
      <c r="U803" s="7">
        <f>Table1_1[[#This Row],[Calculated sales]]-Table1_1[[#This Row],[Total cost]]</f>
        <v>50299.200000000012</v>
      </c>
      <c r="V803" s="4">
        <f>IFERROR(Table1_1[[#This Row],[Profit/Loss]]/Table1_1[[#This Row],[Calculated sales]],0)</f>
        <v>0.27472510666931754</v>
      </c>
    </row>
    <row r="804" spans="1:22" x14ac:dyDescent="0.25">
      <c r="A804" s="4" t="s">
        <v>953</v>
      </c>
      <c r="B804" s="5">
        <v>45715</v>
      </c>
      <c r="C804" s="4">
        <f>YEAR(Table1_1[[#This Row],[Order Dates]])</f>
        <v>2025</v>
      </c>
      <c r="D804" s="6">
        <f>MONTH(Table1_1[[#This Row],[Order Dates]])</f>
        <v>2</v>
      </c>
      <c r="E804" s="4" t="s">
        <v>16</v>
      </c>
      <c r="F804" s="4" t="s">
        <v>153</v>
      </c>
      <c r="G804" s="4" t="s">
        <v>32</v>
      </c>
      <c r="H804" s="4" t="str">
        <f>TRIM(CLEAN(SUBSTITUTE(Table1_1[[#This Row],[Salesperson]],"   "," ")))</f>
        <v>Neha Deshpande</v>
      </c>
      <c r="I804" s="4" t="s">
        <v>52</v>
      </c>
      <c r="J804" s="4" t="s">
        <v>46</v>
      </c>
      <c r="K804" s="4" t="s">
        <v>179</v>
      </c>
      <c r="L804" s="4" t="s">
        <v>180</v>
      </c>
      <c r="M804" s="4" t="s">
        <v>40</v>
      </c>
      <c r="N804" s="4" t="s">
        <v>35</v>
      </c>
      <c r="O804" s="4">
        <v>11</v>
      </c>
      <c r="P804" s="7">
        <v>3720</v>
      </c>
      <c r="Q804" s="8">
        <v>0.25</v>
      </c>
      <c r="R804" s="7">
        <v>2240</v>
      </c>
      <c r="S804" s="7">
        <f>Table1_1[[#This Row],[Units Sold]]*Table1_1[[#This Row],[Unit Price]]*(1-Table1_1[[#This Row],[Discount %]])</f>
        <v>30690</v>
      </c>
      <c r="T804" s="7">
        <f>Table1_1[[#This Row],[Units Sold]]*Table1_1[[#This Row],[Unit Cost]]</f>
        <v>24640</v>
      </c>
      <c r="U804" s="7">
        <f>Table1_1[[#This Row],[Calculated sales]]-Table1_1[[#This Row],[Total cost]]</f>
        <v>6050</v>
      </c>
      <c r="V804" s="4">
        <f>IFERROR(Table1_1[[#This Row],[Profit/Loss]]/Table1_1[[#This Row],[Calculated sales]],0)</f>
        <v>0.1971326164874552</v>
      </c>
    </row>
    <row r="805" spans="1:22" x14ac:dyDescent="0.25">
      <c r="A805" s="4" t="s">
        <v>954</v>
      </c>
      <c r="B805" s="5">
        <v>45715</v>
      </c>
      <c r="C805" s="4">
        <f>YEAR(Table1_1[[#This Row],[Order Dates]])</f>
        <v>2025</v>
      </c>
      <c r="D805" s="6">
        <f>MONTH(Table1_1[[#This Row],[Order Dates]])</f>
        <v>2</v>
      </c>
      <c r="E805" s="4" t="s">
        <v>42</v>
      </c>
      <c r="F805" s="4" t="s">
        <v>146</v>
      </c>
      <c r="G805" s="4" t="s">
        <v>64</v>
      </c>
      <c r="H805" s="4" t="str">
        <f>TRIM(CLEAN(SUBSTITUTE(Table1_1[[#This Row],[Salesperson]],"   "," ")))</f>
        <v>Aditya Verma</v>
      </c>
      <c r="I805" s="4" t="s">
        <v>19</v>
      </c>
      <c r="J805" s="4" t="s">
        <v>27</v>
      </c>
      <c r="K805" s="4" t="s">
        <v>79</v>
      </c>
      <c r="L805" s="4" t="s">
        <v>262</v>
      </c>
      <c r="M805" s="4" t="s">
        <v>23</v>
      </c>
      <c r="N805" s="4" t="s">
        <v>24</v>
      </c>
      <c r="O805" s="4">
        <v>5</v>
      </c>
      <c r="P805" s="7">
        <v>2500</v>
      </c>
      <c r="Q805" s="8">
        <v>0.05</v>
      </c>
      <c r="R805" s="7">
        <v>1680</v>
      </c>
      <c r="S805" s="7">
        <f>Table1_1[[#This Row],[Units Sold]]*Table1_1[[#This Row],[Unit Price]]*(1-Table1_1[[#This Row],[Discount %]])</f>
        <v>11875</v>
      </c>
      <c r="T805" s="7">
        <f>Table1_1[[#This Row],[Units Sold]]*Table1_1[[#This Row],[Unit Cost]]</f>
        <v>8400</v>
      </c>
      <c r="U805" s="7">
        <f>Table1_1[[#This Row],[Calculated sales]]-Table1_1[[#This Row],[Total cost]]</f>
        <v>3475</v>
      </c>
      <c r="V805" s="4">
        <f>IFERROR(Table1_1[[#This Row],[Profit/Loss]]/Table1_1[[#This Row],[Calculated sales]],0)</f>
        <v>0.29263157894736841</v>
      </c>
    </row>
    <row r="806" spans="1:22" x14ac:dyDescent="0.25">
      <c r="A806" s="4" t="s">
        <v>955</v>
      </c>
      <c r="B806" s="5">
        <v>45715</v>
      </c>
      <c r="C806" s="4">
        <f>YEAR(Table1_1[[#This Row],[Order Dates]])</f>
        <v>2025</v>
      </c>
      <c r="D806" s="6">
        <f>MONTH(Table1_1[[#This Row],[Order Dates]])</f>
        <v>2</v>
      </c>
      <c r="E806" s="4" t="s">
        <v>37</v>
      </c>
      <c r="F806" s="4" t="s">
        <v>115</v>
      </c>
      <c r="G806" s="4" t="s">
        <v>39</v>
      </c>
      <c r="H806" s="4" t="str">
        <f>TRIM(CLEAN(SUBSTITUTE(Table1_1[[#This Row],[Salesperson]],"   "," ")))</f>
        <v>Sourav Das</v>
      </c>
      <c r="I806" s="4" t="s">
        <v>19</v>
      </c>
      <c r="J806" s="4" t="s">
        <v>27</v>
      </c>
      <c r="K806" s="4" t="s">
        <v>214</v>
      </c>
      <c r="L806" s="4" t="s">
        <v>1681</v>
      </c>
      <c r="M806" s="4" t="s">
        <v>49</v>
      </c>
      <c r="N806" s="4" t="s">
        <v>24</v>
      </c>
      <c r="O806" s="4">
        <v>3</v>
      </c>
      <c r="P806" s="7">
        <v>14010</v>
      </c>
      <c r="Q806" s="8">
        <v>0.12</v>
      </c>
      <c r="R806" s="7">
        <v>10790</v>
      </c>
      <c r="S806" s="7">
        <f>Table1_1[[#This Row],[Units Sold]]*Table1_1[[#This Row],[Unit Price]]*(1-Table1_1[[#This Row],[Discount %]])</f>
        <v>36986.400000000001</v>
      </c>
      <c r="T806" s="7">
        <f>Table1_1[[#This Row],[Units Sold]]*Table1_1[[#This Row],[Unit Cost]]</f>
        <v>32370</v>
      </c>
      <c r="U806" s="7">
        <f>Table1_1[[#This Row],[Calculated sales]]-Table1_1[[#This Row],[Total cost]]</f>
        <v>4616.4000000000015</v>
      </c>
      <c r="V806" s="4">
        <f>IFERROR(Table1_1[[#This Row],[Profit/Loss]]/Table1_1[[#This Row],[Calculated sales]],0)</f>
        <v>0.12481344494192463</v>
      </c>
    </row>
    <row r="807" spans="1:22" x14ac:dyDescent="0.25">
      <c r="A807" s="4" t="s">
        <v>956</v>
      </c>
      <c r="B807" s="5">
        <v>45715</v>
      </c>
      <c r="C807" s="4">
        <f>YEAR(Table1_1[[#This Row],[Order Dates]])</f>
        <v>2025</v>
      </c>
      <c r="D807" s="6">
        <f>MONTH(Table1_1[[#This Row],[Order Dates]])</f>
        <v>2</v>
      </c>
      <c r="E807" s="4" t="s">
        <v>56</v>
      </c>
      <c r="F807" s="4" t="s">
        <v>57</v>
      </c>
      <c r="G807" s="4" t="s">
        <v>58</v>
      </c>
      <c r="H807" s="4" t="str">
        <f>TRIM(CLEAN(SUBSTITUTE(Table1_1[[#This Row],[Salesperson]],"   "," ")))</f>
        <v>Karthik Raman</v>
      </c>
      <c r="I807" s="4" t="s">
        <v>45</v>
      </c>
      <c r="J807" s="4" t="s">
        <v>27</v>
      </c>
      <c r="K807" s="4" t="s">
        <v>214</v>
      </c>
      <c r="L807" s="4" t="s">
        <v>1681</v>
      </c>
      <c r="M807" s="4" t="s">
        <v>23</v>
      </c>
      <c r="N807" s="4" t="s">
        <v>24</v>
      </c>
      <c r="O807" s="4">
        <v>6</v>
      </c>
      <c r="P807" s="7">
        <v>14540</v>
      </c>
      <c r="Q807" s="8">
        <v>0.08</v>
      </c>
      <c r="R807" s="7">
        <v>8640</v>
      </c>
      <c r="S807" s="7">
        <f>Table1_1[[#This Row],[Units Sold]]*Table1_1[[#This Row],[Unit Price]]*(1-Table1_1[[#This Row],[Discount %]])</f>
        <v>80260.800000000003</v>
      </c>
      <c r="T807" s="7">
        <f>Table1_1[[#This Row],[Units Sold]]*Table1_1[[#This Row],[Unit Cost]]</f>
        <v>51840</v>
      </c>
      <c r="U807" s="7">
        <f>Table1_1[[#This Row],[Calculated sales]]-Table1_1[[#This Row],[Total cost]]</f>
        <v>28420.800000000003</v>
      </c>
      <c r="V807" s="4">
        <f>IFERROR(Table1_1[[#This Row],[Profit/Loss]]/Table1_1[[#This Row],[Calculated sales]],0)</f>
        <v>0.35410561569284138</v>
      </c>
    </row>
    <row r="808" spans="1:22" x14ac:dyDescent="0.25">
      <c r="A808" s="4" t="s">
        <v>957</v>
      </c>
      <c r="B808" s="5">
        <v>45716</v>
      </c>
      <c r="C808" s="4">
        <f>YEAR(Table1_1[[#This Row],[Order Dates]])</f>
        <v>2025</v>
      </c>
      <c r="D808" s="6">
        <f>MONTH(Table1_1[[#This Row],[Order Dates]])</f>
        <v>2</v>
      </c>
      <c r="E808" s="4" t="s">
        <v>16</v>
      </c>
      <c r="F808" s="4" t="s">
        <v>153</v>
      </c>
      <c r="G808" s="4" t="s">
        <v>32</v>
      </c>
      <c r="H808" s="4" t="str">
        <f>TRIM(CLEAN(SUBSTITUTE(Table1_1[[#This Row],[Salesperson]],"   "," ")))</f>
        <v>Neha Deshpande</v>
      </c>
      <c r="I808" s="4" t="s">
        <v>52</v>
      </c>
      <c r="J808" s="4" t="s">
        <v>83</v>
      </c>
      <c r="K808" s="4" t="s">
        <v>84</v>
      </c>
      <c r="L808" s="4" t="s">
        <v>1671</v>
      </c>
      <c r="M808" s="4" t="s">
        <v>40</v>
      </c>
      <c r="N808" s="4" t="s">
        <v>24</v>
      </c>
      <c r="O808" s="4">
        <v>16</v>
      </c>
      <c r="P808" s="7">
        <v>2580</v>
      </c>
      <c r="Q808" s="8">
        <v>0.15</v>
      </c>
      <c r="R808" s="7">
        <v>2000</v>
      </c>
      <c r="S808" s="7">
        <f>Table1_1[[#This Row],[Units Sold]]*Table1_1[[#This Row],[Unit Price]]*(1-Table1_1[[#This Row],[Discount %]])</f>
        <v>35088</v>
      </c>
      <c r="T808" s="7">
        <f>Table1_1[[#This Row],[Units Sold]]*Table1_1[[#This Row],[Unit Cost]]</f>
        <v>32000</v>
      </c>
      <c r="U808" s="7">
        <f>Table1_1[[#This Row],[Calculated sales]]-Table1_1[[#This Row],[Total cost]]</f>
        <v>3088</v>
      </c>
      <c r="V808" s="4">
        <f>IFERROR(Table1_1[[#This Row],[Profit/Loss]]/Table1_1[[#This Row],[Calculated sales]],0)</f>
        <v>8.8007295941632466E-2</v>
      </c>
    </row>
    <row r="809" spans="1:22" x14ac:dyDescent="0.25">
      <c r="A809" s="4" t="s">
        <v>958</v>
      </c>
      <c r="B809" s="5">
        <v>45716</v>
      </c>
      <c r="C809" s="4">
        <f>YEAR(Table1_1[[#This Row],[Order Dates]])</f>
        <v>2025</v>
      </c>
      <c r="D809" s="6">
        <f>MONTH(Table1_1[[#This Row],[Order Dates]])</f>
        <v>2</v>
      </c>
      <c r="E809" s="4" t="s">
        <v>56</v>
      </c>
      <c r="F809" s="4" t="s">
        <v>127</v>
      </c>
      <c r="G809" s="4" t="s">
        <v>91</v>
      </c>
      <c r="H809" s="4" t="str">
        <f>TRIM(CLEAN(SUBSTITUTE(Table1_1[[#This Row],[Salesperson]],"   "," ")))</f>
        <v>Anjali Menon</v>
      </c>
      <c r="I809" s="4" t="s">
        <v>19</v>
      </c>
      <c r="J809" s="4" t="s">
        <v>46</v>
      </c>
      <c r="K809" s="4" t="s">
        <v>179</v>
      </c>
      <c r="L809" s="4" t="s">
        <v>236</v>
      </c>
      <c r="M809" s="4" t="s">
        <v>23</v>
      </c>
      <c r="N809" s="4" t="s">
        <v>24</v>
      </c>
      <c r="O809" s="4">
        <v>22</v>
      </c>
      <c r="P809" s="7">
        <v>2270</v>
      </c>
      <c r="Q809" s="8">
        <v>0.05</v>
      </c>
      <c r="R809" s="7">
        <v>1410</v>
      </c>
      <c r="S809" s="7">
        <f>Table1_1[[#This Row],[Units Sold]]*Table1_1[[#This Row],[Unit Price]]*(1-Table1_1[[#This Row],[Discount %]])</f>
        <v>47443</v>
      </c>
      <c r="T809" s="7">
        <f>Table1_1[[#This Row],[Units Sold]]*Table1_1[[#This Row],[Unit Cost]]</f>
        <v>31020</v>
      </c>
      <c r="U809" s="7">
        <f>Table1_1[[#This Row],[Calculated sales]]-Table1_1[[#This Row],[Total cost]]</f>
        <v>16423</v>
      </c>
      <c r="V809" s="4">
        <f>IFERROR(Table1_1[[#This Row],[Profit/Loss]]/Table1_1[[#This Row],[Calculated sales]],0)</f>
        <v>0.34616276373753768</v>
      </c>
    </row>
    <row r="810" spans="1:22" x14ac:dyDescent="0.25">
      <c r="A810" s="4" t="s">
        <v>959</v>
      </c>
      <c r="B810" s="5">
        <v>45716</v>
      </c>
      <c r="C810" s="4">
        <f>YEAR(Table1_1[[#This Row],[Order Dates]])</f>
        <v>2025</v>
      </c>
      <c r="D810" s="6">
        <f>MONTH(Table1_1[[#This Row],[Order Dates]])</f>
        <v>2</v>
      </c>
      <c r="E810" s="4" t="s">
        <v>76</v>
      </c>
      <c r="F810" s="4" t="s">
        <v>150</v>
      </c>
      <c r="G810" s="4" t="s">
        <v>170</v>
      </c>
      <c r="H810" s="4" t="str">
        <f>TRIM(CLEAN(SUBSTITUTE(Table1_1[[#This Row],[Salesperson]],"   "," ")))</f>
        <v>Manish Tiwari</v>
      </c>
      <c r="I810" s="4" t="s">
        <v>19</v>
      </c>
      <c r="J810" s="4" t="s">
        <v>46</v>
      </c>
      <c r="K810" s="4" t="s">
        <v>179</v>
      </c>
      <c r="L810" s="4" t="s">
        <v>180</v>
      </c>
      <c r="M810" s="4" t="s">
        <v>23</v>
      </c>
      <c r="N810" s="4" t="s">
        <v>24</v>
      </c>
      <c r="O810" s="4">
        <v>5</v>
      </c>
      <c r="P810" s="7">
        <v>3970</v>
      </c>
      <c r="Q810" s="8">
        <v>0.18</v>
      </c>
      <c r="R810" s="7">
        <v>2770</v>
      </c>
      <c r="S810" s="7">
        <f>Table1_1[[#This Row],[Units Sold]]*Table1_1[[#This Row],[Unit Price]]*(1-Table1_1[[#This Row],[Discount %]])</f>
        <v>16277.000000000002</v>
      </c>
      <c r="T810" s="7">
        <f>Table1_1[[#This Row],[Units Sold]]*Table1_1[[#This Row],[Unit Cost]]</f>
        <v>13850</v>
      </c>
      <c r="U810" s="7">
        <f>Table1_1[[#This Row],[Calculated sales]]-Table1_1[[#This Row],[Total cost]]</f>
        <v>2427.0000000000018</v>
      </c>
      <c r="V810" s="4">
        <f>IFERROR(Table1_1[[#This Row],[Profit/Loss]]/Table1_1[[#This Row],[Calculated sales]],0)</f>
        <v>0.14910610063279484</v>
      </c>
    </row>
    <row r="811" spans="1:22" x14ac:dyDescent="0.25">
      <c r="A811" s="4" t="s">
        <v>960</v>
      </c>
      <c r="B811" s="5">
        <v>45716</v>
      </c>
      <c r="C811" s="4">
        <f>YEAR(Table1_1[[#This Row],[Order Dates]])</f>
        <v>2025</v>
      </c>
      <c r="D811" s="6">
        <f>MONTH(Table1_1[[#This Row],[Order Dates]])</f>
        <v>2</v>
      </c>
      <c r="E811" s="4" t="s">
        <v>42</v>
      </c>
      <c r="F811" s="4" t="s">
        <v>146</v>
      </c>
      <c r="G811" s="4" t="s">
        <v>64</v>
      </c>
      <c r="H811" s="4" t="str">
        <f>TRIM(CLEAN(SUBSTITUTE(Table1_1[[#This Row],[Salesperson]],"   "," ")))</f>
        <v>Aditya Verma</v>
      </c>
      <c r="I811" s="4" t="s">
        <v>92</v>
      </c>
      <c r="J811" s="4" t="s">
        <v>46</v>
      </c>
      <c r="K811" s="4" t="s">
        <v>179</v>
      </c>
      <c r="L811" s="4" t="s">
        <v>180</v>
      </c>
      <c r="M811" s="4" t="s">
        <v>49</v>
      </c>
      <c r="N811" s="4" t="s">
        <v>24</v>
      </c>
      <c r="O811" s="4">
        <v>13</v>
      </c>
      <c r="P811" s="7">
        <v>4080</v>
      </c>
      <c r="Q811" s="8">
        <v>0.08</v>
      </c>
      <c r="R811" s="7">
        <v>2740</v>
      </c>
      <c r="S811" s="7">
        <f>Table1_1[[#This Row],[Units Sold]]*Table1_1[[#This Row],[Unit Price]]*(1-Table1_1[[#This Row],[Discount %]])</f>
        <v>48796.800000000003</v>
      </c>
      <c r="T811" s="7">
        <f>Table1_1[[#This Row],[Units Sold]]*Table1_1[[#This Row],[Unit Cost]]</f>
        <v>35620</v>
      </c>
      <c r="U811" s="7">
        <f>Table1_1[[#This Row],[Calculated sales]]-Table1_1[[#This Row],[Total cost]]</f>
        <v>13176.800000000003</v>
      </c>
      <c r="V811" s="4">
        <f>IFERROR(Table1_1[[#This Row],[Profit/Loss]]/Table1_1[[#This Row],[Calculated sales]],0)</f>
        <v>0.27003410059676047</v>
      </c>
    </row>
    <row r="812" spans="1:22" x14ac:dyDescent="0.25">
      <c r="A812" s="4" t="s">
        <v>961</v>
      </c>
      <c r="B812" s="5">
        <v>45716</v>
      </c>
      <c r="C812" s="4">
        <f>YEAR(Table1_1[[#This Row],[Order Dates]])</f>
        <v>2025</v>
      </c>
      <c r="D812" s="6">
        <f>MONTH(Table1_1[[#This Row],[Order Dates]])</f>
        <v>2</v>
      </c>
      <c r="E812" s="4" t="s">
        <v>37</v>
      </c>
      <c r="F812" s="4" t="s">
        <v>161</v>
      </c>
      <c r="G812" s="4" t="s">
        <v>39</v>
      </c>
      <c r="H812" s="4" t="str">
        <f>TRIM(CLEAN(SUBSTITUTE(Table1_1[[#This Row],[Salesperson]],"   "," ")))</f>
        <v>Sourav Das</v>
      </c>
      <c r="I812" s="4" t="s">
        <v>19</v>
      </c>
      <c r="J812" s="4" t="s">
        <v>20</v>
      </c>
      <c r="K812" s="4" t="s">
        <v>33</v>
      </c>
      <c r="L812" s="4" t="s">
        <v>1678</v>
      </c>
      <c r="M812" s="4" t="s">
        <v>23</v>
      </c>
      <c r="N812" s="4" t="s">
        <v>94</v>
      </c>
      <c r="O812" s="4">
        <v>4</v>
      </c>
      <c r="P812" s="7">
        <v>112860</v>
      </c>
      <c r="Q812" s="8">
        <v>0.08</v>
      </c>
      <c r="R812" s="7">
        <v>84040</v>
      </c>
      <c r="S812" s="7">
        <f>Table1_1[[#This Row],[Units Sold]]*Table1_1[[#This Row],[Unit Price]]*(1-Table1_1[[#This Row],[Discount %]])</f>
        <v>415324.80000000005</v>
      </c>
      <c r="T812" s="7">
        <f>Table1_1[[#This Row],[Units Sold]]*Table1_1[[#This Row],[Unit Cost]]</f>
        <v>336160</v>
      </c>
      <c r="U812" s="7">
        <f>Table1_1[[#This Row],[Calculated sales]]-Table1_1[[#This Row],[Total cost]]</f>
        <v>79164.800000000047</v>
      </c>
      <c r="V812" s="4">
        <f>IFERROR(Table1_1[[#This Row],[Profit/Loss]]/Table1_1[[#This Row],[Calculated sales]],0)</f>
        <v>0.19060937367573533</v>
      </c>
    </row>
    <row r="813" spans="1:22" x14ac:dyDescent="0.25">
      <c r="A813" s="4" t="s">
        <v>962</v>
      </c>
      <c r="B813" s="5">
        <v>45716</v>
      </c>
      <c r="C813" s="4">
        <f>YEAR(Table1_1[[#This Row],[Order Dates]])</f>
        <v>2025</v>
      </c>
      <c r="D813" s="6">
        <f>MONTH(Table1_1[[#This Row],[Order Dates]])</f>
        <v>2</v>
      </c>
      <c r="E813" s="4" t="s">
        <v>16</v>
      </c>
      <c r="F813" s="4" t="s">
        <v>51</v>
      </c>
      <c r="G813" s="4" t="s">
        <v>32</v>
      </c>
      <c r="H813" s="4" t="str">
        <f>TRIM(CLEAN(SUBSTITUTE(Table1_1[[#This Row],[Salesperson]],"   "," ")))</f>
        <v>Neha Deshpande</v>
      </c>
      <c r="I813" s="4" t="s">
        <v>52</v>
      </c>
      <c r="J813" s="4" t="s">
        <v>46</v>
      </c>
      <c r="K813" s="4" t="s">
        <v>179</v>
      </c>
      <c r="L813" s="4" t="s">
        <v>180</v>
      </c>
      <c r="M813" s="4" t="s">
        <v>23</v>
      </c>
      <c r="N813" s="4" t="s">
        <v>24</v>
      </c>
      <c r="O813" s="4">
        <v>9</v>
      </c>
      <c r="P813" s="7">
        <v>3900</v>
      </c>
      <c r="Q813" s="8">
        <v>0.08</v>
      </c>
      <c r="R813" s="7">
        <v>2820</v>
      </c>
      <c r="S813" s="7">
        <f>Table1_1[[#This Row],[Units Sold]]*Table1_1[[#This Row],[Unit Price]]*(1-Table1_1[[#This Row],[Discount %]])</f>
        <v>32292</v>
      </c>
      <c r="T813" s="7">
        <f>Table1_1[[#This Row],[Units Sold]]*Table1_1[[#This Row],[Unit Cost]]</f>
        <v>25380</v>
      </c>
      <c r="U813" s="7">
        <f>Table1_1[[#This Row],[Calculated sales]]-Table1_1[[#This Row],[Total cost]]</f>
        <v>6912</v>
      </c>
      <c r="V813" s="4">
        <f>IFERROR(Table1_1[[#This Row],[Profit/Loss]]/Table1_1[[#This Row],[Calculated sales]],0)</f>
        <v>0.21404682274247491</v>
      </c>
    </row>
    <row r="814" spans="1:22" x14ac:dyDescent="0.25">
      <c r="A814" s="4" t="s">
        <v>963</v>
      </c>
      <c r="B814" s="5">
        <v>45717</v>
      </c>
      <c r="C814" s="4">
        <f>YEAR(Table1_1[[#This Row],[Order Dates]])</f>
        <v>2025</v>
      </c>
      <c r="D814" s="6">
        <f>MONTH(Table1_1[[#This Row],[Order Dates]])</f>
        <v>3</v>
      </c>
      <c r="E814" s="4" t="s">
        <v>16</v>
      </c>
      <c r="F814" s="4" t="s">
        <v>82</v>
      </c>
      <c r="G814" s="4" t="s">
        <v>26</v>
      </c>
      <c r="H814" s="4" t="str">
        <f>TRIM(CLEAN(SUBSTITUTE(Table1_1[[#This Row],[Salesperson]],"   "," ")))</f>
        <v>Prateek Shah</v>
      </c>
      <c r="I814" s="4" t="s">
        <v>45</v>
      </c>
      <c r="J814" s="4" t="s">
        <v>83</v>
      </c>
      <c r="K814" s="4" t="s">
        <v>84</v>
      </c>
      <c r="L814" s="4" t="s">
        <v>1671</v>
      </c>
      <c r="M814" s="4" t="s">
        <v>49</v>
      </c>
      <c r="N814" s="4" t="s">
        <v>119</v>
      </c>
      <c r="O814" s="4">
        <v>25</v>
      </c>
      <c r="P814" s="7">
        <v>2580</v>
      </c>
      <c r="Q814" s="8">
        <v>0.12</v>
      </c>
      <c r="R814" s="7">
        <v>1820</v>
      </c>
      <c r="S814" s="7">
        <f>Table1_1[[#This Row],[Units Sold]]*Table1_1[[#This Row],[Unit Price]]*(1-Table1_1[[#This Row],[Discount %]])</f>
        <v>56760</v>
      </c>
      <c r="T814" s="7">
        <f>Table1_1[[#This Row],[Units Sold]]*Table1_1[[#This Row],[Unit Cost]]</f>
        <v>45500</v>
      </c>
      <c r="U814" s="7">
        <f>Table1_1[[#This Row],[Calculated sales]]-Table1_1[[#This Row],[Total cost]]</f>
        <v>11260</v>
      </c>
      <c r="V814" s="4">
        <f>IFERROR(Table1_1[[#This Row],[Profit/Loss]]/Table1_1[[#This Row],[Calculated sales]],0)</f>
        <v>0.19837914023960534</v>
      </c>
    </row>
    <row r="815" spans="1:22" x14ac:dyDescent="0.25">
      <c r="A815" s="4" t="s">
        <v>964</v>
      </c>
      <c r="B815" s="5">
        <v>45718</v>
      </c>
      <c r="C815" s="4">
        <f>YEAR(Table1_1[[#This Row],[Order Dates]])</f>
        <v>2025</v>
      </c>
      <c r="D815" s="6">
        <f>MONTH(Table1_1[[#This Row],[Order Dates]])</f>
        <v>3</v>
      </c>
      <c r="E815" s="4" t="s">
        <v>56</v>
      </c>
      <c r="F815" s="4" t="s">
        <v>72</v>
      </c>
      <c r="G815" s="4" t="s">
        <v>134</v>
      </c>
      <c r="H815" s="4" t="str">
        <f>TRIM(CLEAN(SUBSTITUTE(Table1_1[[#This Row],[Salesperson]],"   "," ")))</f>
        <v>Divya Nair</v>
      </c>
      <c r="I815" s="4" t="s">
        <v>92</v>
      </c>
      <c r="J815" s="4" t="s">
        <v>20</v>
      </c>
      <c r="K815" s="4" t="s">
        <v>87</v>
      </c>
      <c r="L815" s="4" t="s">
        <v>1672</v>
      </c>
      <c r="M815" s="4" t="s">
        <v>23</v>
      </c>
      <c r="N815" s="4" t="s">
        <v>24</v>
      </c>
      <c r="O815" s="4">
        <v>2</v>
      </c>
      <c r="P815" s="7">
        <v>32250</v>
      </c>
      <c r="Q815" s="8">
        <v>0.2</v>
      </c>
      <c r="R815" s="7">
        <v>20110</v>
      </c>
      <c r="S815" s="7">
        <f>Table1_1[[#This Row],[Units Sold]]*Table1_1[[#This Row],[Unit Price]]*(1-Table1_1[[#This Row],[Discount %]])</f>
        <v>51600</v>
      </c>
      <c r="T815" s="7">
        <f>Table1_1[[#This Row],[Units Sold]]*Table1_1[[#This Row],[Unit Cost]]</f>
        <v>40220</v>
      </c>
      <c r="U815" s="7">
        <f>Table1_1[[#This Row],[Calculated sales]]-Table1_1[[#This Row],[Total cost]]</f>
        <v>11380</v>
      </c>
      <c r="V815" s="4">
        <f>IFERROR(Table1_1[[#This Row],[Profit/Loss]]/Table1_1[[#This Row],[Calculated sales]],0)</f>
        <v>0.22054263565891472</v>
      </c>
    </row>
    <row r="816" spans="1:22" x14ac:dyDescent="0.25">
      <c r="A816" s="4" t="s">
        <v>965</v>
      </c>
      <c r="B816" s="5">
        <v>45718</v>
      </c>
      <c r="C816" s="4">
        <f>YEAR(Table1_1[[#This Row],[Order Dates]])</f>
        <v>2025</v>
      </c>
      <c r="D816" s="6">
        <f>MONTH(Table1_1[[#This Row],[Order Dates]])</f>
        <v>3</v>
      </c>
      <c r="E816" s="4" t="s">
        <v>56</v>
      </c>
      <c r="F816" s="4" t="s">
        <v>57</v>
      </c>
      <c r="G816" s="4" t="s">
        <v>134</v>
      </c>
      <c r="H816" s="4" t="str">
        <f>TRIM(CLEAN(SUBSTITUTE(Table1_1[[#This Row],[Salesperson]],"   "," ")))</f>
        <v>Divya Nair</v>
      </c>
      <c r="I816" s="4" t="s">
        <v>52</v>
      </c>
      <c r="J816" s="4" t="s">
        <v>59</v>
      </c>
      <c r="K816" s="4" t="s">
        <v>154</v>
      </c>
      <c r="L816" s="4" t="s">
        <v>249</v>
      </c>
      <c r="M816" s="4" t="s">
        <v>23</v>
      </c>
      <c r="N816" s="4" t="s">
        <v>24</v>
      </c>
      <c r="O816" s="4">
        <v>15</v>
      </c>
      <c r="P816" s="7">
        <v>6570</v>
      </c>
      <c r="Q816" s="8">
        <v>0.2</v>
      </c>
      <c r="R816" s="7">
        <v>4480</v>
      </c>
      <c r="S816" s="7">
        <f>Table1_1[[#This Row],[Units Sold]]*Table1_1[[#This Row],[Unit Price]]*(1-Table1_1[[#This Row],[Discount %]])</f>
        <v>78840</v>
      </c>
      <c r="T816" s="7">
        <f>Table1_1[[#This Row],[Units Sold]]*Table1_1[[#This Row],[Unit Cost]]</f>
        <v>67200</v>
      </c>
      <c r="U816" s="7">
        <f>Table1_1[[#This Row],[Calculated sales]]-Table1_1[[#This Row],[Total cost]]</f>
        <v>11640</v>
      </c>
      <c r="V816" s="4">
        <f>IFERROR(Table1_1[[#This Row],[Profit/Loss]]/Table1_1[[#This Row],[Calculated sales]],0)</f>
        <v>0.14764079147640791</v>
      </c>
    </row>
    <row r="817" spans="1:22" x14ac:dyDescent="0.25">
      <c r="A817" s="4" t="s">
        <v>966</v>
      </c>
      <c r="B817" s="5">
        <v>45718</v>
      </c>
      <c r="C817" s="4">
        <f>YEAR(Table1_1[[#This Row],[Order Dates]])</f>
        <v>2025</v>
      </c>
      <c r="D817" s="6">
        <f>MONTH(Table1_1[[#This Row],[Order Dates]])</f>
        <v>3</v>
      </c>
      <c r="E817" s="4" t="s">
        <v>42</v>
      </c>
      <c r="F817" s="4" t="s">
        <v>43</v>
      </c>
      <c r="G817" s="4" t="s">
        <v>44</v>
      </c>
      <c r="H817" s="4" t="str">
        <f>TRIM(CLEAN(SUBSTITUTE(Table1_1[[#This Row],[Salesperson]],"   "," ")))</f>
        <v>Simran Kaur</v>
      </c>
      <c r="I817" s="4" t="s">
        <v>92</v>
      </c>
      <c r="J817" s="4" t="s">
        <v>46</v>
      </c>
      <c r="K817" s="4" t="s">
        <v>47</v>
      </c>
      <c r="L817" s="4" t="s">
        <v>1673</v>
      </c>
      <c r="M817" s="4" t="s">
        <v>23</v>
      </c>
      <c r="N817" s="4" t="s">
        <v>24</v>
      </c>
      <c r="O817" s="4">
        <v>25</v>
      </c>
      <c r="P817" s="7">
        <v>1210</v>
      </c>
      <c r="Q817" s="8">
        <v>0.2</v>
      </c>
      <c r="R817" s="7">
        <v>700</v>
      </c>
      <c r="S817" s="7">
        <f>Table1_1[[#This Row],[Units Sold]]*Table1_1[[#This Row],[Unit Price]]*(1-Table1_1[[#This Row],[Discount %]])</f>
        <v>24200</v>
      </c>
      <c r="T817" s="7">
        <f>Table1_1[[#This Row],[Units Sold]]*Table1_1[[#This Row],[Unit Cost]]</f>
        <v>17500</v>
      </c>
      <c r="U817" s="7">
        <f>Table1_1[[#This Row],[Calculated sales]]-Table1_1[[#This Row],[Total cost]]</f>
        <v>6700</v>
      </c>
      <c r="V817" s="4">
        <f>IFERROR(Table1_1[[#This Row],[Profit/Loss]]/Table1_1[[#This Row],[Calculated sales]],0)</f>
        <v>0.27685950413223143</v>
      </c>
    </row>
    <row r="818" spans="1:22" x14ac:dyDescent="0.25">
      <c r="A818" s="4" t="s">
        <v>967</v>
      </c>
      <c r="B818" s="5">
        <v>45719</v>
      </c>
      <c r="C818" s="4">
        <f>YEAR(Table1_1[[#This Row],[Order Dates]])</f>
        <v>2025</v>
      </c>
      <c r="D818" s="6">
        <f>MONTH(Table1_1[[#This Row],[Order Dates]])</f>
        <v>3</v>
      </c>
      <c r="E818" s="4" t="s">
        <v>56</v>
      </c>
      <c r="F818" s="4" t="s">
        <v>127</v>
      </c>
      <c r="G818" s="4" t="s">
        <v>91</v>
      </c>
      <c r="H818" s="4" t="str">
        <f>TRIM(CLEAN(SUBSTITUTE(Table1_1[[#This Row],[Salesperson]],"   "," ")))</f>
        <v>Anjali Menon</v>
      </c>
      <c r="I818" s="4" t="s">
        <v>19</v>
      </c>
      <c r="J818" s="4" t="s">
        <v>46</v>
      </c>
      <c r="K818" s="4" t="s">
        <v>100</v>
      </c>
      <c r="L818" s="4" t="s">
        <v>177</v>
      </c>
      <c r="M818" s="4" t="s">
        <v>23</v>
      </c>
      <c r="N818" s="4" t="s">
        <v>24</v>
      </c>
      <c r="O818" s="4">
        <v>6</v>
      </c>
      <c r="P818" s="7">
        <v>2510</v>
      </c>
      <c r="Q818" s="8">
        <v>0</v>
      </c>
      <c r="R818" s="7">
        <v>1520</v>
      </c>
      <c r="S818" s="7">
        <f>Table1_1[[#This Row],[Units Sold]]*Table1_1[[#This Row],[Unit Price]]*(1-Table1_1[[#This Row],[Discount %]])</f>
        <v>15060</v>
      </c>
      <c r="T818" s="7">
        <f>Table1_1[[#This Row],[Units Sold]]*Table1_1[[#This Row],[Unit Cost]]</f>
        <v>9120</v>
      </c>
      <c r="U818" s="7">
        <f>Table1_1[[#This Row],[Calculated sales]]-Table1_1[[#This Row],[Total cost]]</f>
        <v>5940</v>
      </c>
      <c r="V818" s="4">
        <f>IFERROR(Table1_1[[#This Row],[Profit/Loss]]/Table1_1[[#This Row],[Calculated sales]],0)</f>
        <v>0.39442231075697209</v>
      </c>
    </row>
    <row r="819" spans="1:22" x14ac:dyDescent="0.25">
      <c r="A819" s="4" t="s">
        <v>968</v>
      </c>
      <c r="B819" s="5">
        <v>45719</v>
      </c>
      <c r="C819" s="4">
        <f>YEAR(Table1_1[[#This Row],[Order Dates]])</f>
        <v>2025</v>
      </c>
      <c r="D819" s="6">
        <f>MONTH(Table1_1[[#This Row],[Order Dates]])</f>
        <v>3</v>
      </c>
      <c r="E819" s="4" t="s">
        <v>37</v>
      </c>
      <c r="F819" s="4" t="s">
        <v>115</v>
      </c>
      <c r="G819" s="4" t="s">
        <v>68</v>
      </c>
      <c r="H819" s="4" t="str">
        <f>TRIM(CLEAN(SUBSTITUTE(Table1_1[[#This Row],[Salesperson]],"   "," ")))</f>
        <v>Ritika Ghosh</v>
      </c>
      <c r="I819" s="4" t="s">
        <v>52</v>
      </c>
      <c r="J819" s="4" t="s">
        <v>83</v>
      </c>
      <c r="K819" s="4" t="s">
        <v>84</v>
      </c>
      <c r="L819" s="4" t="s">
        <v>1671</v>
      </c>
      <c r="M819" s="4" t="s">
        <v>40</v>
      </c>
      <c r="N819" s="4" t="s">
        <v>24</v>
      </c>
      <c r="O819" s="4">
        <v>34</v>
      </c>
      <c r="P819" s="7">
        <v>2520</v>
      </c>
      <c r="Q819" s="8">
        <v>0.2</v>
      </c>
      <c r="R819" s="7">
        <v>1540</v>
      </c>
      <c r="S819" s="7">
        <f>Table1_1[[#This Row],[Units Sold]]*Table1_1[[#This Row],[Unit Price]]*(1-Table1_1[[#This Row],[Discount %]])</f>
        <v>68544</v>
      </c>
      <c r="T819" s="7">
        <f>Table1_1[[#This Row],[Units Sold]]*Table1_1[[#This Row],[Unit Cost]]</f>
        <v>52360</v>
      </c>
      <c r="U819" s="7">
        <f>Table1_1[[#This Row],[Calculated sales]]-Table1_1[[#This Row],[Total cost]]</f>
        <v>16184</v>
      </c>
      <c r="V819" s="4">
        <f>IFERROR(Table1_1[[#This Row],[Profit/Loss]]/Table1_1[[#This Row],[Calculated sales]],0)</f>
        <v>0.2361111111111111</v>
      </c>
    </row>
    <row r="820" spans="1:22" x14ac:dyDescent="0.25">
      <c r="A820" s="4" t="s">
        <v>969</v>
      </c>
      <c r="B820" s="5">
        <v>45720</v>
      </c>
      <c r="C820" s="4">
        <f>YEAR(Table1_1[[#This Row],[Order Dates]])</f>
        <v>2025</v>
      </c>
      <c r="D820" s="6">
        <f>MONTH(Table1_1[[#This Row],[Order Dates]])</f>
        <v>3</v>
      </c>
      <c r="E820" s="4" t="s">
        <v>42</v>
      </c>
      <c r="F820" s="4" t="s">
        <v>130</v>
      </c>
      <c r="G820" s="4" t="s">
        <v>97</v>
      </c>
      <c r="H820" s="4" t="str">
        <f>TRIM(CLEAN(SUBSTITUTE(Table1_1[[#This Row],[Salesperson]],"   "," ")))</f>
        <v>Rohit Malhotra</v>
      </c>
      <c r="I820" s="4" t="s">
        <v>92</v>
      </c>
      <c r="J820" s="4" t="s">
        <v>27</v>
      </c>
      <c r="K820" s="4" t="s">
        <v>28</v>
      </c>
      <c r="L820" s="4" t="s">
        <v>1668</v>
      </c>
      <c r="M820" s="4" t="s">
        <v>23</v>
      </c>
      <c r="N820" s="4" t="s">
        <v>119</v>
      </c>
      <c r="O820" s="4">
        <v>6</v>
      </c>
      <c r="P820" s="7">
        <v>27390</v>
      </c>
      <c r="Q820" s="8">
        <v>0.12</v>
      </c>
      <c r="R820" s="7">
        <v>19480</v>
      </c>
      <c r="S820" s="7">
        <f>Table1_1[[#This Row],[Units Sold]]*Table1_1[[#This Row],[Unit Price]]*(1-Table1_1[[#This Row],[Discount %]])</f>
        <v>144619.20000000001</v>
      </c>
      <c r="T820" s="7">
        <f>Table1_1[[#This Row],[Units Sold]]*Table1_1[[#This Row],[Unit Cost]]</f>
        <v>116880</v>
      </c>
      <c r="U820" s="7">
        <f>Table1_1[[#This Row],[Calculated sales]]-Table1_1[[#This Row],[Total cost]]</f>
        <v>27739.200000000012</v>
      </c>
      <c r="V820" s="4">
        <f>IFERROR(Table1_1[[#This Row],[Profit/Loss]]/Table1_1[[#This Row],[Calculated sales]],0)</f>
        <v>0.19180855654021051</v>
      </c>
    </row>
    <row r="821" spans="1:22" x14ac:dyDescent="0.25">
      <c r="A821" s="4" t="s">
        <v>970</v>
      </c>
      <c r="B821" s="5">
        <v>45720</v>
      </c>
      <c r="C821" s="4">
        <f>YEAR(Table1_1[[#This Row],[Order Dates]])</f>
        <v>2025</v>
      </c>
      <c r="D821" s="6">
        <f>MONTH(Table1_1[[#This Row],[Order Dates]])</f>
        <v>3</v>
      </c>
      <c r="E821" s="4" t="s">
        <v>42</v>
      </c>
      <c r="F821" s="4" t="s">
        <v>130</v>
      </c>
      <c r="G821" s="4" t="s">
        <v>97</v>
      </c>
      <c r="H821" s="4" t="str">
        <f>TRIM(CLEAN(SUBSTITUTE(Table1_1[[#This Row],[Salesperson]],"   "," ")))</f>
        <v>Rohit Malhotra</v>
      </c>
      <c r="I821" s="4" t="s">
        <v>19</v>
      </c>
      <c r="J821" s="4" t="s">
        <v>20</v>
      </c>
      <c r="K821" s="4" t="s">
        <v>33</v>
      </c>
      <c r="L821" s="4" t="s">
        <v>34</v>
      </c>
      <c r="M821" s="4" t="s">
        <v>23</v>
      </c>
      <c r="N821" s="4" t="s">
        <v>24</v>
      </c>
      <c r="O821" s="4">
        <v>1</v>
      </c>
      <c r="P821" s="7">
        <v>57360</v>
      </c>
      <c r="Q821" s="8">
        <v>0</v>
      </c>
      <c r="R821" s="7">
        <v>39200</v>
      </c>
      <c r="S821" s="7">
        <f>Table1_1[[#This Row],[Units Sold]]*Table1_1[[#This Row],[Unit Price]]*(1-Table1_1[[#This Row],[Discount %]])</f>
        <v>57360</v>
      </c>
      <c r="T821" s="7">
        <f>Table1_1[[#This Row],[Units Sold]]*Table1_1[[#This Row],[Unit Cost]]</f>
        <v>39200</v>
      </c>
      <c r="U821" s="7">
        <f>Table1_1[[#This Row],[Calculated sales]]-Table1_1[[#This Row],[Total cost]]</f>
        <v>18160</v>
      </c>
      <c r="V821" s="4">
        <f>IFERROR(Table1_1[[#This Row],[Profit/Loss]]/Table1_1[[#This Row],[Calculated sales]],0)</f>
        <v>0.31659693165969316</v>
      </c>
    </row>
    <row r="822" spans="1:22" x14ac:dyDescent="0.25">
      <c r="A822" s="4" t="s">
        <v>971</v>
      </c>
      <c r="B822" s="5">
        <v>45720</v>
      </c>
      <c r="C822" s="4">
        <f>YEAR(Table1_1[[#This Row],[Order Dates]])</f>
        <v>2025</v>
      </c>
      <c r="D822" s="6">
        <f>MONTH(Table1_1[[#This Row],[Order Dates]])</f>
        <v>3</v>
      </c>
      <c r="E822" s="4" t="s">
        <v>37</v>
      </c>
      <c r="F822" s="4" t="s">
        <v>161</v>
      </c>
      <c r="G822" s="4" t="s">
        <v>68</v>
      </c>
      <c r="H822" s="4" t="str">
        <f>TRIM(CLEAN(SUBSTITUTE(Table1_1[[#This Row],[Salesperson]],"   "," ")))</f>
        <v>Ritika Ghosh</v>
      </c>
      <c r="I822" s="4" t="s">
        <v>19</v>
      </c>
      <c r="J822" s="4" t="s">
        <v>46</v>
      </c>
      <c r="K822" s="4" t="s">
        <v>100</v>
      </c>
      <c r="L822" s="4" t="s">
        <v>177</v>
      </c>
      <c r="M822" s="4" t="s">
        <v>23</v>
      </c>
      <c r="N822" s="4" t="s">
        <v>24</v>
      </c>
      <c r="O822" s="4">
        <v>19</v>
      </c>
      <c r="P822" s="7">
        <v>2460</v>
      </c>
      <c r="Q822" s="8">
        <v>0.05</v>
      </c>
      <c r="R822" s="7">
        <v>1930</v>
      </c>
      <c r="S822" s="7">
        <f>Table1_1[[#This Row],[Units Sold]]*Table1_1[[#This Row],[Unit Price]]*(1-Table1_1[[#This Row],[Discount %]])</f>
        <v>44403</v>
      </c>
      <c r="T822" s="7">
        <f>Table1_1[[#This Row],[Units Sold]]*Table1_1[[#This Row],[Unit Cost]]</f>
        <v>36670</v>
      </c>
      <c r="U822" s="7">
        <f>Table1_1[[#This Row],[Calculated sales]]-Table1_1[[#This Row],[Total cost]]</f>
        <v>7733</v>
      </c>
      <c r="V822" s="4">
        <f>IFERROR(Table1_1[[#This Row],[Profit/Loss]]/Table1_1[[#This Row],[Calculated sales]],0)</f>
        <v>0.17415489944373128</v>
      </c>
    </row>
    <row r="823" spans="1:22" x14ac:dyDescent="0.25">
      <c r="A823" s="4" t="s">
        <v>972</v>
      </c>
      <c r="B823" s="5">
        <v>45722</v>
      </c>
      <c r="C823" s="4">
        <f>YEAR(Table1_1[[#This Row],[Order Dates]])</f>
        <v>2025</v>
      </c>
      <c r="D823" s="6">
        <f>MONTH(Table1_1[[#This Row],[Order Dates]])</f>
        <v>3</v>
      </c>
      <c r="E823" s="4" t="s">
        <v>16</v>
      </c>
      <c r="F823" s="4" t="s">
        <v>82</v>
      </c>
      <c r="G823" s="4" t="s">
        <v>26</v>
      </c>
      <c r="H823" s="4" t="str">
        <f>TRIM(CLEAN(SUBSTITUTE(Table1_1[[#This Row],[Salesperson]],"   "," ")))</f>
        <v>Prateek Shah</v>
      </c>
      <c r="I823" s="4" t="s">
        <v>92</v>
      </c>
      <c r="J823" s="4" t="s">
        <v>46</v>
      </c>
      <c r="K823" s="4" t="s">
        <v>179</v>
      </c>
      <c r="L823" s="4" t="s">
        <v>221</v>
      </c>
      <c r="M823" s="4" t="s">
        <v>49</v>
      </c>
      <c r="N823" s="4" t="s">
        <v>24</v>
      </c>
      <c r="O823" s="4">
        <v>4</v>
      </c>
      <c r="P823" s="7">
        <v>1710</v>
      </c>
      <c r="Q823" s="8">
        <v>0.08</v>
      </c>
      <c r="R823" s="7">
        <v>1290</v>
      </c>
      <c r="S823" s="7">
        <f>Table1_1[[#This Row],[Units Sold]]*Table1_1[[#This Row],[Unit Price]]*(1-Table1_1[[#This Row],[Discount %]])</f>
        <v>6292.8</v>
      </c>
      <c r="T823" s="7">
        <f>Table1_1[[#This Row],[Units Sold]]*Table1_1[[#This Row],[Unit Cost]]</f>
        <v>5160</v>
      </c>
      <c r="U823" s="7">
        <f>Table1_1[[#This Row],[Calculated sales]]-Table1_1[[#This Row],[Total cost]]</f>
        <v>1132.8000000000002</v>
      </c>
      <c r="V823" s="4">
        <f>IFERROR(Table1_1[[#This Row],[Profit/Loss]]/Table1_1[[#This Row],[Calculated sales]],0)</f>
        <v>0.1800152555301297</v>
      </c>
    </row>
    <row r="824" spans="1:22" x14ac:dyDescent="0.25">
      <c r="A824" s="4" t="s">
        <v>973</v>
      </c>
      <c r="B824" s="5">
        <v>45722</v>
      </c>
      <c r="C824" s="4">
        <f>YEAR(Table1_1[[#This Row],[Order Dates]])</f>
        <v>2025</v>
      </c>
      <c r="D824" s="6">
        <f>MONTH(Table1_1[[#This Row],[Order Dates]])</f>
        <v>3</v>
      </c>
      <c r="E824" s="4" t="s">
        <v>16</v>
      </c>
      <c r="F824" s="4" t="s">
        <v>82</v>
      </c>
      <c r="G824" s="4" t="s">
        <v>18</v>
      </c>
      <c r="H824" s="4" t="str">
        <f>TRIM(CLEAN(SUBSTITUTE(Table1_1[[#This Row],[Salesperson]],"   "," ")))</f>
        <v>Imran Sheikh</v>
      </c>
      <c r="I824" s="4" t="s">
        <v>19</v>
      </c>
      <c r="J824" s="4" t="s">
        <v>46</v>
      </c>
      <c r="K824" s="4" t="s">
        <v>100</v>
      </c>
      <c r="L824" s="4" t="s">
        <v>177</v>
      </c>
      <c r="M824" s="4" t="s">
        <v>23</v>
      </c>
      <c r="N824" s="4" t="s">
        <v>24</v>
      </c>
      <c r="O824" s="4">
        <v>35</v>
      </c>
      <c r="P824" s="7">
        <v>2590</v>
      </c>
      <c r="Q824" s="8">
        <v>0</v>
      </c>
      <c r="R824" s="7">
        <v>1930</v>
      </c>
      <c r="S824" s="7">
        <f>Table1_1[[#This Row],[Units Sold]]*Table1_1[[#This Row],[Unit Price]]*(1-Table1_1[[#This Row],[Discount %]])</f>
        <v>90650</v>
      </c>
      <c r="T824" s="7">
        <f>Table1_1[[#This Row],[Units Sold]]*Table1_1[[#This Row],[Unit Cost]]</f>
        <v>67550</v>
      </c>
      <c r="U824" s="7">
        <f>Table1_1[[#This Row],[Calculated sales]]-Table1_1[[#This Row],[Total cost]]</f>
        <v>23100</v>
      </c>
      <c r="V824" s="4">
        <f>IFERROR(Table1_1[[#This Row],[Profit/Loss]]/Table1_1[[#This Row],[Calculated sales]],0)</f>
        <v>0.25482625482625482</v>
      </c>
    </row>
    <row r="825" spans="1:22" x14ac:dyDescent="0.25">
      <c r="A825" s="4" t="s">
        <v>974</v>
      </c>
      <c r="B825" s="5">
        <v>45723</v>
      </c>
      <c r="C825" s="4">
        <f>YEAR(Table1_1[[#This Row],[Order Dates]])</f>
        <v>2025</v>
      </c>
      <c r="D825" s="6">
        <f>MONTH(Table1_1[[#This Row],[Order Dates]])</f>
        <v>3</v>
      </c>
      <c r="E825" s="4" t="s">
        <v>56</v>
      </c>
      <c r="F825" s="4" t="s">
        <v>133</v>
      </c>
      <c r="G825" s="4" t="s">
        <v>58</v>
      </c>
      <c r="H825" s="4" t="str">
        <f>TRIM(CLEAN(SUBSTITUTE(Table1_1[[#This Row],[Salesperson]],"   "," ")))</f>
        <v>Karthik Raman</v>
      </c>
      <c r="I825" s="4" t="s">
        <v>92</v>
      </c>
      <c r="J825" s="4" t="s">
        <v>20</v>
      </c>
      <c r="K825" s="4" t="s">
        <v>87</v>
      </c>
      <c r="L825" s="4" t="s">
        <v>1674</v>
      </c>
      <c r="M825" s="4" t="s">
        <v>23</v>
      </c>
      <c r="N825" s="4" t="s">
        <v>24</v>
      </c>
      <c r="O825" s="4">
        <v>7</v>
      </c>
      <c r="P825" s="7">
        <v>49940</v>
      </c>
      <c r="Q825" s="8">
        <v>0.15</v>
      </c>
      <c r="R825" s="7">
        <v>37060</v>
      </c>
      <c r="S825" s="7">
        <f>Table1_1[[#This Row],[Units Sold]]*Table1_1[[#This Row],[Unit Price]]*(1-Table1_1[[#This Row],[Discount %]])</f>
        <v>297143</v>
      </c>
      <c r="T825" s="7">
        <f>Table1_1[[#This Row],[Units Sold]]*Table1_1[[#This Row],[Unit Cost]]</f>
        <v>259420</v>
      </c>
      <c r="U825" s="7">
        <f>Table1_1[[#This Row],[Calculated sales]]-Table1_1[[#This Row],[Total cost]]</f>
        <v>37723</v>
      </c>
      <c r="V825" s="4">
        <f>IFERROR(Table1_1[[#This Row],[Profit/Loss]]/Table1_1[[#This Row],[Calculated sales]],0)</f>
        <v>0.12695234281137366</v>
      </c>
    </row>
    <row r="826" spans="1:22" x14ac:dyDescent="0.25">
      <c r="A826" s="4" t="s">
        <v>975</v>
      </c>
      <c r="B826" s="5">
        <v>45723</v>
      </c>
      <c r="C826" s="4">
        <f>YEAR(Table1_1[[#This Row],[Order Dates]])</f>
        <v>2025</v>
      </c>
      <c r="D826" s="6">
        <f>MONTH(Table1_1[[#This Row],[Order Dates]])</f>
        <v>3</v>
      </c>
      <c r="E826" s="4" t="s">
        <v>56</v>
      </c>
      <c r="F826" s="4" t="s">
        <v>127</v>
      </c>
      <c r="G826" s="4" t="s">
        <v>91</v>
      </c>
      <c r="H826" s="4" t="str">
        <f>TRIM(CLEAN(SUBSTITUTE(Table1_1[[#This Row],[Salesperson]],"   "," ")))</f>
        <v>Anjali Menon</v>
      </c>
      <c r="I826" s="4" t="s">
        <v>19</v>
      </c>
      <c r="J826" s="4" t="s">
        <v>20</v>
      </c>
      <c r="K826" s="4" t="s">
        <v>109</v>
      </c>
      <c r="L826" s="4" t="s">
        <v>1675</v>
      </c>
      <c r="M826" s="4" t="s">
        <v>23</v>
      </c>
      <c r="N826" s="4" t="s">
        <v>24</v>
      </c>
      <c r="O826" s="4">
        <v>1</v>
      </c>
      <c r="P826" s="7">
        <v>68090</v>
      </c>
      <c r="Q826" s="8">
        <v>0.05</v>
      </c>
      <c r="R826" s="7">
        <v>46700</v>
      </c>
      <c r="S826" s="7">
        <f>Table1_1[[#This Row],[Units Sold]]*Table1_1[[#This Row],[Unit Price]]*(1-Table1_1[[#This Row],[Discount %]])</f>
        <v>64685.5</v>
      </c>
      <c r="T826" s="7">
        <f>Table1_1[[#This Row],[Units Sold]]*Table1_1[[#This Row],[Unit Cost]]</f>
        <v>46700</v>
      </c>
      <c r="U826" s="7">
        <f>Table1_1[[#This Row],[Calculated sales]]-Table1_1[[#This Row],[Total cost]]</f>
        <v>17985.5</v>
      </c>
      <c r="V826" s="4">
        <f>IFERROR(Table1_1[[#This Row],[Profit/Loss]]/Table1_1[[#This Row],[Calculated sales]],0)</f>
        <v>0.2780453115458642</v>
      </c>
    </row>
    <row r="827" spans="1:22" x14ac:dyDescent="0.25">
      <c r="A827" s="4" t="s">
        <v>976</v>
      </c>
      <c r="B827" s="5">
        <v>45723</v>
      </c>
      <c r="C827" s="4">
        <f>YEAR(Table1_1[[#This Row],[Order Dates]])</f>
        <v>2025</v>
      </c>
      <c r="D827" s="6">
        <f>MONTH(Table1_1[[#This Row],[Order Dates]])</f>
        <v>3</v>
      </c>
      <c r="E827" s="4" t="s">
        <v>16</v>
      </c>
      <c r="F827" s="4" t="s">
        <v>191</v>
      </c>
      <c r="G827" s="4" t="s">
        <v>26</v>
      </c>
      <c r="H827" s="4" t="str">
        <f>TRIM(CLEAN(SUBSTITUTE(Table1_1[[#This Row],[Salesperson]],"   "," ")))</f>
        <v>Prateek Shah</v>
      </c>
      <c r="I827" s="4" t="s">
        <v>92</v>
      </c>
      <c r="J827" s="4" t="s">
        <v>59</v>
      </c>
      <c r="K827" s="4" t="s">
        <v>73</v>
      </c>
      <c r="L827" s="4" t="s">
        <v>74</v>
      </c>
      <c r="M827" s="4" t="s">
        <v>23</v>
      </c>
      <c r="N827" s="4" t="s">
        <v>24</v>
      </c>
      <c r="O827" s="4">
        <v>2</v>
      </c>
      <c r="P827" s="7">
        <v>46890</v>
      </c>
      <c r="Q827" s="8">
        <v>0.05</v>
      </c>
      <c r="R827" s="7">
        <v>31740</v>
      </c>
      <c r="S827" s="7">
        <f>Table1_1[[#This Row],[Units Sold]]*Table1_1[[#This Row],[Unit Price]]*(1-Table1_1[[#This Row],[Discount %]])</f>
        <v>89091</v>
      </c>
      <c r="T827" s="7">
        <f>Table1_1[[#This Row],[Units Sold]]*Table1_1[[#This Row],[Unit Cost]]</f>
        <v>63480</v>
      </c>
      <c r="U827" s="7">
        <f>Table1_1[[#This Row],[Calculated sales]]-Table1_1[[#This Row],[Total cost]]</f>
        <v>25611</v>
      </c>
      <c r="V827" s="4">
        <f>IFERROR(Table1_1[[#This Row],[Profit/Loss]]/Table1_1[[#This Row],[Calculated sales]],0)</f>
        <v>0.28747011482641344</v>
      </c>
    </row>
    <row r="828" spans="1:22" x14ac:dyDescent="0.25">
      <c r="A828" s="4" t="s">
        <v>977</v>
      </c>
      <c r="B828" s="5">
        <v>45723</v>
      </c>
      <c r="C828" s="4">
        <f>YEAR(Table1_1[[#This Row],[Order Dates]])</f>
        <v>2025</v>
      </c>
      <c r="D828" s="6">
        <f>MONTH(Table1_1[[#This Row],[Order Dates]])</f>
        <v>3</v>
      </c>
      <c r="E828" s="4" t="s">
        <v>42</v>
      </c>
      <c r="F828" s="4" t="s">
        <v>43</v>
      </c>
      <c r="G828" s="4" t="s">
        <v>64</v>
      </c>
      <c r="H828" s="4" t="str">
        <f>TRIM(CLEAN(SUBSTITUTE(Table1_1[[#This Row],[Salesperson]],"   "," ")))</f>
        <v>Aditya Verma</v>
      </c>
      <c r="I828" s="4" t="s">
        <v>52</v>
      </c>
      <c r="J828" s="4" t="s">
        <v>59</v>
      </c>
      <c r="K828" s="4" t="s">
        <v>154</v>
      </c>
      <c r="L828" s="4" t="s">
        <v>155</v>
      </c>
      <c r="M828" s="4" t="s">
        <v>40</v>
      </c>
      <c r="N828" s="4" t="s">
        <v>24</v>
      </c>
      <c r="O828" s="4">
        <v>1</v>
      </c>
      <c r="P828" s="7">
        <v>12190</v>
      </c>
      <c r="Q828" s="8">
        <v>0.15</v>
      </c>
      <c r="R828" s="7">
        <v>7970</v>
      </c>
      <c r="S828" s="7">
        <f>Table1_1[[#This Row],[Units Sold]]*Table1_1[[#This Row],[Unit Price]]*(1-Table1_1[[#This Row],[Discount %]])</f>
        <v>10361.5</v>
      </c>
      <c r="T828" s="7">
        <f>Table1_1[[#This Row],[Units Sold]]*Table1_1[[#This Row],[Unit Cost]]</f>
        <v>7970</v>
      </c>
      <c r="U828" s="7">
        <f>Table1_1[[#This Row],[Calculated sales]]-Table1_1[[#This Row],[Total cost]]</f>
        <v>2391.5</v>
      </c>
      <c r="V828" s="4">
        <f>IFERROR(Table1_1[[#This Row],[Profit/Loss]]/Table1_1[[#This Row],[Calculated sales]],0)</f>
        <v>0.23080635043188727</v>
      </c>
    </row>
    <row r="829" spans="1:22" x14ac:dyDescent="0.25">
      <c r="A829" s="4" t="s">
        <v>978</v>
      </c>
      <c r="B829" s="5">
        <v>45724</v>
      </c>
      <c r="C829" s="4">
        <f>YEAR(Table1_1[[#This Row],[Order Dates]])</f>
        <v>2025</v>
      </c>
      <c r="D829" s="6">
        <f>MONTH(Table1_1[[#This Row],[Order Dates]])</f>
        <v>3</v>
      </c>
      <c r="E829" s="4" t="s">
        <v>42</v>
      </c>
      <c r="F829" s="4" t="s">
        <v>43</v>
      </c>
      <c r="G829" s="4" t="s">
        <v>64</v>
      </c>
      <c r="H829" s="4" t="str">
        <f>TRIM(CLEAN(SUBSTITUTE(Table1_1[[#This Row],[Salesperson]],"   "," ")))</f>
        <v>Aditya Verma</v>
      </c>
      <c r="I829" s="4" t="s">
        <v>52</v>
      </c>
      <c r="J829" s="4" t="s">
        <v>27</v>
      </c>
      <c r="K829" s="4" t="s">
        <v>28</v>
      </c>
      <c r="L829" s="4" t="s">
        <v>141</v>
      </c>
      <c r="M829" s="4" t="s">
        <v>23</v>
      </c>
      <c r="N829" s="4" t="s">
        <v>24</v>
      </c>
      <c r="O829" s="4">
        <v>7</v>
      </c>
      <c r="P829" s="7">
        <v>15810</v>
      </c>
      <c r="Q829" s="8">
        <v>0.15</v>
      </c>
      <c r="R829" s="7">
        <v>12180</v>
      </c>
      <c r="S829" s="7">
        <f>Table1_1[[#This Row],[Units Sold]]*Table1_1[[#This Row],[Unit Price]]*(1-Table1_1[[#This Row],[Discount %]])</f>
        <v>94069.5</v>
      </c>
      <c r="T829" s="7">
        <f>Table1_1[[#This Row],[Units Sold]]*Table1_1[[#This Row],[Unit Cost]]</f>
        <v>85260</v>
      </c>
      <c r="U829" s="7">
        <f>Table1_1[[#This Row],[Calculated sales]]-Table1_1[[#This Row],[Total cost]]</f>
        <v>8809.5</v>
      </c>
      <c r="V829" s="4">
        <f>IFERROR(Table1_1[[#This Row],[Profit/Loss]]/Table1_1[[#This Row],[Calculated sales]],0)</f>
        <v>9.3648844737135847E-2</v>
      </c>
    </row>
    <row r="830" spans="1:22" x14ac:dyDescent="0.25">
      <c r="A830" s="4" t="s">
        <v>979</v>
      </c>
      <c r="B830" s="5">
        <v>45724</v>
      </c>
      <c r="C830" s="4">
        <f>YEAR(Table1_1[[#This Row],[Order Dates]])</f>
        <v>2025</v>
      </c>
      <c r="D830" s="6">
        <f>MONTH(Table1_1[[#This Row],[Order Dates]])</f>
        <v>3</v>
      </c>
      <c r="E830" s="4" t="s">
        <v>16</v>
      </c>
      <c r="F830" s="4" t="s">
        <v>191</v>
      </c>
      <c r="G830" s="4" t="s">
        <v>26</v>
      </c>
      <c r="H830" s="4" t="str">
        <f>TRIM(CLEAN(SUBSTITUTE(Table1_1[[#This Row],[Salesperson]],"   "," ")))</f>
        <v>Prateek Shah</v>
      </c>
      <c r="I830" s="4" t="s">
        <v>45</v>
      </c>
      <c r="J830" s="4" t="s">
        <v>83</v>
      </c>
      <c r="K830" s="4" t="s">
        <v>184</v>
      </c>
      <c r="L830" s="4" t="s">
        <v>1679</v>
      </c>
      <c r="M830" s="4" t="s">
        <v>23</v>
      </c>
      <c r="N830" s="4" t="s">
        <v>24</v>
      </c>
      <c r="O830" s="4">
        <v>26</v>
      </c>
      <c r="P830" s="7">
        <v>4340</v>
      </c>
      <c r="Q830" s="8">
        <v>0.05</v>
      </c>
      <c r="R830" s="7">
        <v>3400</v>
      </c>
      <c r="S830" s="7">
        <f>Table1_1[[#This Row],[Units Sold]]*Table1_1[[#This Row],[Unit Price]]*(1-Table1_1[[#This Row],[Discount %]])</f>
        <v>107198</v>
      </c>
      <c r="T830" s="7">
        <f>Table1_1[[#This Row],[Units Sold]]*Table1_1[[#This Row],[Unit Cost]]</f>
        <v>88400</v>
      </c>
      <c r="U830" s="7">
        <f>Table1_1[[#This Row],[Calculated sales]]-Table1_1[[#This Row],[Total cost]]</f>
        <v>18798</v>
      </c>
      <c r="V830" s="4">
        <f>IFERROR(Table1_1[[#This Row],[Profit/Loss]]/Table1_1[[#This Row],[Calculated sales]],0)</f>
        <v>0.17535774921173902</v>
      </c>
    </row>
    <row r="831" spans="1:22" x14ac:dyDescent="0.25">
      <c r="A831" s="4" t="s">
        <v>980</v>
      </c>
      <c r="B831" s="5">
        <v>45724</v>
      </c>
      <c r="C831" s="4">
        <f>YEAR(Table1_1[[#This Row],[Order Dates]])</f>
        <v>2025</v>
      </c>
      <c r="D831" s="6">
        <f>MONTH(Table1_1[[#This Row],[Order Dates]])</f>
        <v>3</v>
      </c>
      <c r="E831" s="4" t="s">
        <v>76</v>
      </c>
      <c r="F831" s="4" t="s">
        <v>112</v>
      </c>
      <c r="G831" s="4" t="s">
        <v>78</v>
      </c>
      <c r="H831" s="4" t="str">
        <f>TRIM(CLEAN(SUBSTITUTE(Table1_1[[#This Row],[Salesperson]],"   "," ")))</f>
        <v>Pooja Chouhan</v>
      </c>
      <c r="I831" s="4" t="s">
        <v>19</v>
      </c>
      <c r="J831" s="4" t="s">
        <v>20</v>
      </c>
      <c r="K831" s="4" t="s">
        <v>109</v>
      </c>
      <c r="L831" s="4" t="s">
        <v>171</v>
      </c>
      <c r="M831" s="4" t="s">
        <v>23</v>
      </c>
      <c r="N831" s="4" t="s">
        <v>24</v>
      </c>
      <c r="O831" s="4">
        <v>4</v>
      </c>
      <c r="P831" s="7">
        <v>22270</v>
      </c>
      <c r="Q831" s="8">
        <v>0.25</v>
      </c>
      <c r="R831" s="7">
        <v>16510</v>
      </c>
      <c r="S831" s="7">
        <f>Table1_1[[#This Row],[Units Sold]]*Table1_1[[#This Row],[Unit Price]]*(1-Table1_1[[#This Row],[Discount %]])</f>
        <v>66810</v>
      </c>
      <c r="T831" s="7">
        <f>Table1_1[[#This Row],[Units Sold]]*Table1_1[[#This Row],[Unit Cost]]</f>
        <v>66040</v>
      </c>
      <c r="U831" s="7">
        <f>Table1_1[[#This Row],[Calculated sales]]-Table1_1[[#This Row],[Total cost]]</f>
        <v>770</v>
      </c>
      <c r="V831" s="4">
        <f>IFERROR(Table1_1[[#This Row],[Profit/Loss]]/Table1_1[[#This Row],[Calculated sales]],0)</f>
        <v>1.1525220775333035E-2</v>
      </c>
    </row>
    <row r="832" spans="1:22" x14ac:dyDescent="0.25">
      <c r="A832" s="4" t="s">
        <v>981</v>
      </c>
      <c r="B832" s="5">
        <v>45725</v>
      </c>
      <c r="C832" s="4">
        <f>YEAR(Table1_1[[#This Row],[Order Dates]])</f>
        <v>2025</v>
      </c>
      <c r="D832" s="6">
        <f>MONTH(Table1_1[[#This Row],[Order Dates]])</f>
        <v>3</v>
      </c>
      <c r="E832" s="4" t="s">
        <v>56</v>
      </c>
      <c r="F832" s="4" t="s">
        <v>127</v>
      </c>
      <c r="G832" s="4" t="s">
        <v>58</v>
      </c>
      <c r="H832" s="4" t="str">
        <f>TRIM(CLEAN(SUBSTITUTE(Table1_1[[#This Row],[Salesperson]],"   "," ")))</f>
        <v>Karthik Raman</v>
      </c>
      <c r="I832" s="4" t="s">
        <v>52</v>
      </c>
      <c r="J832" s="4" t="s">
        <v>46</v>
      </c>
      <c r="K832" s="4" t="s">
        <v>179</v>
      </c>
      <c r="L832" s="4" t="s">
        <v>180</v>
      </c>
      <c r="M832" s="4" t="s">
        <v>40</v>
      </c>
      <c r="N832" s="4" t="s">
        <v>24</v>
      </c>
      <c r="O832" s="4">
        <v>5</v>
      </c>
      <c r="P832" s="7">
        <v>3630</v>
      </c>
      <c r="Q832" s="8">
        <v>0.15</v>
      </c>
      <c r="R832" s="7">
        <v>2860</v>
      </c>
      <c r="S832" s="7">
        <f>Table1_1[[#This Row],[Units Sold]]*Table1_1[[#This Row],[Unit Price]]*(1-Table1_1[[#This Row],[Discount %]])</f>
        <v>15427.5</v>
      </c>
      <c r="T832" s="7">
        <f>Table1_1[[#This Row],[Units Sold]]*Table1_1[[#This Row],[Unit Cost]]</f>
        <v>14300</v>
      </c>
      <c r="U832" s="7">
        <f>Table1_1[[#This Row],[Calculated sales]]-Table1_1[[#This Row],[Total cost]]</f>
        <v>1127.5</v>
      </c>
      <c r="V832" s="4">
        <f>IFERROR(Table1_1[[#This Row],[Profit/Loss]]/Table1_1[[#This Row],[Calculated sales]],0)</f>
        <v>7.3083778966131913E-2</v>
      </c>
    </row>
    <row r="833" spans="1:22" x14ac:dyDescent="0.25">
      <c r="A833" s="4" t="s">
        <v>982</v>
      </c>
      <c r="B833" s="5">
        <v>45725</v>
      </c>
      <c r="C833" s="4">
        <f>YEAR(Table1_1[[#This Row],[Order Dates]])</f>
        <v>2025</v>
      </c>
      <c r="D833" s="6">
        <f>MONTH(Table1_1[[#This Row],[Order Dates]])</f>
        <v>3</v>
      </c>
      <c r="E833" s="4" t="s">
        <v>37</v>
      </c>
      <c r="F833" s="4" t="s">
        <v>166</v>
      </c>
      <c r="G833" s="4" t="s">
        <v>39</v>
      </c>
      <c r="H833" s="4" t="str">
        <f>TRIM(CLEAN(SUBSTITUTE(Table1_1[[#This Row],[Salesperson]],"   "," ")))</f>
        <v>Sourav Das</v>
      </c>
      <c r="I833" s="4" t="s">
        <v>19</v>
      </c>
      <c r="J833" s="4" t="s">
        <v>20</v>
      </c>
      <c r="K833" s="4" t="s">
        <v>109</v>
      </c>
      <c r="L833" s="4" t="s">
        <v>171</v>
      </c>
      <c r="M833" s="4" t="s">
        <v>49</v>
      </c>
      <c r="N833" s="4" t="s">
        <v>24</v>
      </c>
      <c r="O833" s="4">
        <v>4</v>
      </c>
      <c r="P833" s="7">
        <v>23760</v>
      </c>
      <c r="Q833" s="8">
        <v>0.15</v>
      </c>
      <c r="R833" s="7">
        <v>16950</v>
      </c>
      <c r="S833" s="7">
        <f>Table1_1[[#This Row],[Units Sold]]*Table1_1[[#This Row],[Unit Price]]*(1-Table1_1[[#This Row],[Discount %]])</f>
        <v>80784</v>
      </c>
      <c r="T833" s="7">
        <f>Table1_1[[#This Row],[Units Sold]]*Table1_1[[#This Row],[Unit Cost]]</f>
        <v>67800</v>
      </c>
      <c r="U833" s="7">
        <f>Table1_1[[#This Row],[Calculated sales]]-Table1_1[[#This Row],[Total cost]]</f>
        <v>12984</v>
      </c>
      <c r="V833" s="4">
        <f>IFERROR(Table1_1[[#This Row],[Profit/Loss]]/Table1_1[[#This Row],[Calculated sales]],0)</f>
        <v>0.16072489601901366</v>
      </c>
    </row>
    <row r="834" spans="1:22" x14ac:dyDescent="0.25">
      <c r="A834" s="4" t="s">
        <v>983</v>
      </c>
      <c r="B834" s="5">
        <v>45725</v>
      </c>
      <c r="C834" s="4">
        <f>YEAR(Table1_1[[#This Row],[Order Dates]])</f>
        <v>2025</v>
      </c>
      <c r="D834" s="6">
        <f>MONTH(Table1_1[[#This Row],[Order Dates]])</f>
        <v>3</v>
      </c>
      <c r="E834" s="4" t="s">
        <v>76</v>
      </c>
      <c r="F834" s="4" t="s">
        <v>77</v>
      </c>
      <c r="G834" s="4" t="s">
        <v>170</v>
      </c>
      <c r="H834" s="4" t="str">
        <f>TRIM(CLEAN(SUBSTITUTE(Table1_1[[#This Row],[Salesperson]],"   "," ")))</f>
        <v>Manish Tiwari</v>
      </c>
      <c r="I834" s="4" t="s">
        <v>19</v>
      </c>
      <c r="J834" s="4" t="s">
        <v>83</v>
      </c>
      <c r="K834" s="4" t="s">
        <v>184</v>
      </c>
      <c r="L834" s="4" t="s">
        <v>1679</v>
      </c>
      <c r="M834" s="4" t="s">
        <v>49</v>
      </c>
      <c r="N834" s="4" t="s">
        <v>24</v>
      </c>
      <c r="O834" s="4">
        <v>5</v>
      </c>
      <c r="P834" s="7">
        <v>4450</v>
      </c>
      <c r="Q834" s="8">
        <v>0.15</v>
      </c>
      <c r="R834" s="7">
        <v>3390</v>
      </c>
      <c r="S834" s="7">
        <f>Table1_1[[#This Row],[Units Sold]]*Table1_1[[#This Row],[Unit Price]]*(1-Table1_1[[#This Row],[Discount %]])</f>
        <v>18912.5</v>
      </c>
      <c r="T834" s="7">
        <f>Table1_1[[#This Row],[Units Sold]]*Table1_1[[#This Row],[Unit Cost]]</f>
        <v>16950</v>
      </c>
      <c r="U834" s="7">
        <f>Table1_1[[#This Row],[Calculated sales]]-Table1_1[[#This Row],[Total cost]]</f>
        <v>1962.5</v>
      </c>
      <c r="V834" s="4">
        <f>IFERROR(Table1_1[[#This Row],[Profit/Loss]]/Table1_1[[#This Row],[Calculated sales]],0)</f>
        <v>0.1037673496364838</v>
      </c>
    </row>
    <row r="835" spans="1:22" x14ac:dyDescent="0.25">
      <c r="A835" s="4" t="s">
        <v>984</v>
      </c>
      <c r="B835" s="5">
        <v>45725</v>
      </c>
      <c r="C835" s="4">
        <f>YEAR(Table1_1[[#This Row],[Order Dates]])</f>
        <v>2025</v>
      </c>
      <c r="D835" s="6">
        <f>MONTH(Table1_1[[#This Row],[Order Dates]])</f>
        <v>3</v>
      </c>
      <c r="E835" s="4" t="s">
        <v>56</v>
      </c>
      <c r="F835" s="4" t="s">
        <v>127</v>
      </c>
      <c r="G835" s="4" t="s">
        <v>58</v>
      </c>
      <c r="H835" s="4" t="str">
        <f>TRIM(CLEAN(SUBSTITUTE(Table1_1[[#This Row],[Salesperson]],"   "," ")))</f>
        <v>Karthik Raman</v>
      </c>
      <c r="I835" s="4" t="s">
        <v>19</v>
      </c>
      <c r="J835" s="4" t="s">
        <v>20</v>
      </c>
      <c r="K835" s="4" t="s">
        <v>87</v>
      </c>
      <c r="L835" s="4" t="s">
        <v>1672</v>
      </c>
      <c r="M835" s="4" t="s">
        <v>23</v>
      </c>
      <c r="N835" s="4" t="s">
        <v>24</v>
      </c>
      <c r="O835" s="4">
        <v>2</v>
      </c>
      <c r="P835" s="7">
        <v>31790</v>
      </c>
      <c r="Q835" s="8">
        <v>0</v>
      </c>
      <c r="R835" s="7">
        <v>25030</v>
      </c>
      <c r="S835" s="7">
        <f>Table1_1[[#This Row],[Units Sold]]*Table1_1[[#This Row],[Unit Price]]*(1-Table1_1[[#This Row],[Discount %]])</f>
        <v>63580</v>
      </c>
      <c r="T835" s="7">
        <f>Table1_1[[#This Row],[Units Sold]]*Table1_1[[#This Row],[Unit Cost]]</f>
        <v>50060</v>
      </c>
      <c r="U835" s="7">
        <f>Table1_1[[#This Row],[Calculated sales]]-Table1_1[[#This Row],[Total cost]]</f>
        <v>13520</v>
      </c>
      <c r="V835" s="4">
        <f>IFERROR(Table1_1[[#This Row],[Profit/Loss]]/Table1_1[[#This Row],[Calculated sales]],0)</f>
        <v>0.21264548600188737</v>
      </c>
    </row>
    <row r="836" spans="1:22" x14ac:dyDescent="0.25">
      <c r="A836" s="4" t="s">
        <v>985</v>
      </c>
      <c r="B836" s="5">
        <v>45725</v>
      </c>
      <c r="C836" s="4">
        <f>YEAR(Table1_1[[#This Row],[Order Dates]])</f>
        <v>2025</v>
      </c>
      <c r="D836" s="6">
        <f>MONTH(Table1_1[[#This Row],[Order Dates]])</f>
        <v>3</v>
      </c>
      <c r="E836" s="4" t="s">
        <v>42</v>
      </c>
      <c r="F836" s="4" t="s">
        <v>96</v>
      </c>
      <c r="G836" s="4" t="s">
        <v>97</v>
      </c>
      <c r="H836" s="4" t="str">
        <f>TRIM(CLEAN(SUBSTITUTE(Table1_1[[#This Row],[Salesperson]],"   "," ")))</f>
        <v>Rohit Malhotra</v>
      </c>
      <c r="I836" s="4" t="s">
        <v>45</v>
      </c>
      <c r="J836" s="4" t="s">
        <v>20</v>
      </c>
      <c r="K836" s="4" t="s">
        <v>33</v>
      </c>
      <c r="L836" s="4" t="s">
        <v>34</v>
      </c>
      <c r="M836" s="4" t="s">
        <v>23</v>
      </c>
      <c r="N836" s="4" t="s">
        <v>24</v>
      </c>
      <c r="O836" s="4">
        <v>2</v>
      </c>
      <c r="P836" s="7">
        <v>52430</v>
      </c>
      <c r="Q836" s="8">
        <v>0.08</v>
      </c>
      <c r="R836" s="7">
        <v>34910</v>
      </c>
      <c r="S836" s="7">
        <f>Table1_1[[#This Row],[Units Sold]]*Table1_1[[#This Row],[Unit Price]]*(1-Table1_1[[#This Row],[Discount %]])</f>
        <v>96471.2</v>
      </c>
      <c r="T836" s="7">
        <f>Table1_1[[#This Row],[Units Sold]]*Table1_1[[#This Row],[Unit Cost]]</f>
        <v>69820</v>
      </c>
      <c r="U836" s="7">
        <f>Table1_1[[#This Row],[Calculated sales]]-Table1_1[[#This Row],[Total cost]]</f>
        <v>26651.199999999997</v>
      </c>
      <c r="V836" s="4">
        <f>IFERROR(Table1_1[[#This Row],[Profit/Loss]]/Table1_1[[#This Row],[Calculated sales]],0)</f>
        <v>0.27626068712734991</v>
      </c>
    </row>
    <row r="837" spans="1:22" x14ac:dyDescent="0.25">
      <c r="A837" s="4" t="s">
        <v>986</v>
      </c>
      <c r="B837" s="5">
        <v>45727</v>
      </c>
      <c r="C837" s="4">
        <f>YEAR(Table1_1[[#This Row],[Order Dates]])</f>
        <v>2025</v>
      </c>
      <c r="D837" s="6">
        <f>MONTH(Table1_1[[#This Row],[Order Dates]])</f>
        <v>3</v>
      </c>
      <c r="E837" s="4" t="s">
        <v>76</v>
      </c>
      <c r="F837" s="4" t="s">
        <v>77</v>
      </c>
      <c r="G837" s="4" t="s">
        <v>78</v>
      </c>
      <c r="H837" s="4" t="str">
        <f>TRIM(CLEAN(SUBSTITUTE(Table1_1[[#This Row],[Salesperson]],"   "," ")))</f>
        <v>Pooja Chouhan</v>
      </c>
      <c r="I837" s="4" t="s">
        <v>92</v>
      </c>
      <c r="J837" s="4" t="s">
        <v>20</v>
      </c>
      <c r="K837" s="4" t="s">
        <v>33</v>
      </c>
      <c r="L837" s="4" t="s">
        <v>1678</v>
      </c>
      <c r="M837" s="4" t="s">
        <v>40</v>
      </c>
      <c r="N837" s="4" t="s">
        <v>24</v>
      </c>
      <c r="O837" s="4">
        <v>2</v>
      </c>
      <c r="P837" s="7">
        <v>105100</v>
      </c>
      <c r="Q837" s="8">
        <v>0</v>
      </c>
      <c r="R837" s="7">
        <v>75570</v>
      </c>
      <c r="S837" s="7">
        <f>Table1_1[[#This Row],[Units Sold]]*Table1_1[[#This Row],[Unit Price]]*(1-Table1_1[[#This Row],[Discount %]])</f>
        <v>210200</v>
      </c>
      <c r="T837" s="7">
        <f>Table1_1[[#This Row],[Units Sold]]*Table1_1[[#This Row],[Unit Cost]]</f>
        <v>151140</v>
      </c>
      <c r="U837" s="7">
        <f>Table1_1[[#This Row],[Calculated sales]]-Table1_1[[#This Row],[Total cost]]</f>
        <v>59060</v>
      </c>
      <c r="V837" s="4">
        <f>IFERROR(Table1_1[[#This Row],[Profit/Loss]]/Table1_1[[#This Row],[Calculated sales]],0)</f>
        <v>0.28097050428163656</v>
      </c>
    </row>
    <row r="838" spans="1:22" x14ac:dyDescent="0.25">
      <c r="A838" s="4" t="s">
        <v>987</v>
      </c>
      <c r="B838" s="5">
        <v>45727</v>
      </c>
      <c r="C838" s="4">
        <f>YEAR(Table1_1[[#This Row],[Order Dates]])</f>
        <v>2025</v>
      </c>
      <c r="D838" s="6">
        <f>MONTH(Table1_1[[#This Row],[Order Dates]])</f>
        <v>3</v>
      </c>
      <c r="E838" s="4" t="s">
        <v>16</v>
      </c>
      <c r="F838" s="4" t="s">
        <v>51</v>
      </c>
      <c r="G838" s="4" t="s">
        <v>26</v>
      </c>
      <c r="H838" s="4" t="str">
        <f>TRIM(CLEAN(SUBSTITUTE(Table1_1[[#This Row],[Salesperson]],"   "," ")))</f>
        <v>Prateek Shah</v>
      </c>
      <c r="I838" s="4" t="s">
        <v>19</v>
      </c>
      <c r="J838" s="4" t="s">
        <v>83</v>
      </c>
      <c r="K838" s="4" t="s">
        <v>84</v>
      </c>
      <c r="L838" s="4" t="s">
        <v>292</v>
      </c>
      <c r="M838" s="4" t="s">
        <v>23</v>
      </c>
      <c r="N838" s="4" t="s">
        <v>24</v>
      </c>
      <c r="O838" s="4">
        <v>4</v>
      </c>
      <c r="P838" s="7">
        <v>40390</v>
      </c>
      <c r="Q838" s="8">
        <v>0</v>
      </c>
      <c r="R838" s="7">
        <v>31750</v>
      </c>
      <c r="S838" s="7">
        <f>Table1_1[[#This Row],[Units Sold]]*Table1_1[[#This Row],[Unit Price]]*(1-Table1_1[[#This Row],[Discount %]])</f>
        <v>161560</v>
      </c>
      <c r="T838" s="7">
        <f>Table1_1[[#This Row],[Units Sold]]*Table1_1[[#This Row],[Unit Cost]]</f>
        <v>127000</v>
      </c>
      <c r="U838" s="7">
        <f>Table1_1[[#This Row],[Calculated sales]]-Table1_1[[#This Row],[Total cost]]</f>
        <v>34560</v>
      </c>
      <c r="V838" s="4">
        <f>IFERROR(Table1_1[[#This Row],[Profit/Loss]]/Table1_1[[#This Row],[Calculated sales]],0)</f>
        <v>0.21391433523149295</v>
      </c>
    </row>
    <row r="839" spans="1:22" x14ac:dyDescent="0.25">
      <c r="A839" s="4" t="s">
        <v>988</v>
      </c>
      <c r="B839" s="5">
        <v>45727</v>
      </c>
      <c r="C839" s="4">
        <f>YEAR(Table1_1[[#This Row],[Order Dates]])</f>
        <v>2025</v>
      </c>
      <c r="D839" s="6">
        <f>MONTH(Table1_1[[#This Row],[Order Dates]])</f>
        <v>3</v>
      </c>
      <c r="E839" s="4" t="s">
        <v>56</v>
      </c>
      <c r="F839" s="4" t="s">
        <v>143</v>
      </c>
      <c r="G839" s="4" t="s">
        <v>134</v>
      </c>
      <c r="H839" s="4" t="str">
        <f>TRIM(CLEAN(SUBSTITUTE(Table1_1[[#This Row],[Salesperson]],"   "," ")))</f>
        <v>Divya Nair</v>
      </c>
      <c r="I839" s="4" t="s">
        <v>92</v>
      </c>
      <c r="J839" s="4" t="s">
        <v>83</v>
      </c>
      <c r="K839" s="4" t="s">
        <v>84</v>
      </c>
      <c r="L839" s="4" t="s">
        <v>292</v>
      </c>
      <c r="M839" s="4" t="s">
        <v>23</v>
      </c>
      <c r="N839" s="4" t="s">
        <v>35</v>
      </c>
      <c r="O839" s="4">
        <v>5</v>
      </c>
      <c r="P839" s="7">
        <v>41330</v>
      </c>
      <c r="Q839" s="8">
        <v>0</v>
      </c>
      <c r="R839" s="7">
        <v>29180</v>
      </c>
      <c r="S839" s="7">
        <f>Table1_1[[#This Row],[Units Sold]]*Table1_1[[#This Row],[Unit Price]]*(1-Table1_1[[#This Row],[Discount %]])</f>
        <v>206650</v>
      </c>
      <c r="T839" s="7">
        <f>Table1_1[[#This Row],[Units Sold]]*Table1_1[[#This Row],[Unit Cost]]</f>
        <v>145900</v>
      </c>
      <c r="U839" s="7">
        <f>Table1_1[[#This Row],[Calculated sales]]-Table1_1[[#This Row],[Total cost]]</f>
        <v>60750</v>
      </c>
      <c r="V839" s="4">
        <f>IFERROR(Table1_1[[#This Row],[Profit/Loss]]/Table1_1[[#This Row],[Calculated sales]],0)</f>
        <v>0.29397532059037018</v>
      </c>
    </row>
    <row r="840" spans="1:22" x14ac:dyDescent="0.25">
      <c r="A840" s="4" t="s">
        <v>989</v>
      </c>
      <c r="B840" s="5">
        <v>45727</v>
      </c>
      <c r="C840" s="4">
        <f>YEAR(Table1_1[[#This Row],[Order Dates]])</f>
        <v>2025</v>
      </c>
      <c r="D840" s="6">
        <f>MONTH(Table1_1[[#This Row],[Order Dates]])</f>
        <v>3</v>
      </c>
      <c r="E840" s="4" t="s">
        <v>37</v>
      </c>
      <c r="F840" s="4" t="s">
        <v>67</v>
      </c>
      <c r="G840" s="4" t="s">
        <v>39</v>
      </c>
      <c r="H840" s="4" t="str">
        <f>TRIM(CLEAN(SUBSTITUTE(Table1_1[[#This Row],[Salesperson]],"   "," ")))</f>
        <v>Sourav Das</v>
      </c>
      <c r="I840" s="4" t="s">
        <v>52</v>
      </c>
      <c r="J840" s="4" t="s">
        <v>20</v>
      </c>
      <c r="K840" s="4" t="s">
        <v>109</v>
      </c>
      <c r="L840" s="4" t="s">
        <v>159</v>
      </c>
      <c r="M840" s="4" t="s">
        <v>40</v>
      </c>
      <c r="N840" s="4" t="s">
        <v>24</v>
      </c>
      <c r="O840" s="4">
        <v>5</v>
      </c>
      <c r="P840" s="7">
        <v>19110</v>
      </c>
      <c r="Q840" s="8">
        <v>0.15</v>
      </c>
      <c r="R840" s="7">
        <v>14950</v>
      </c>
      <c r="S840" s="7">
        <f>Table1_1[[#This Row],[Units Sold]]*Table1_1[[#This Row],[Unit Price]]*(1-Table1_1[[#This Row],[Discount %]])</f>
        <v>81217.5</v>
      </c>
      <c r="T840" s="7">
        <f>Table1_1[[#This Row],[Units Sold]]*Table1_1[[#This Row],[Unit Cost]]</f>
        <v>74750</v>
      </c>
      <c r="U840" s="7">
        <f>Table1_1[[#This Row],[Calculated sales]]-Table1_1[[#This Row],[Total cost]]</f>
        <v>6467.5</v>
      </c>
      <c r="V840" s="4">
        <f>IFERROR(Table1_1[[#This Row],[Profit/Loss]]/Table1_1[[#This Row],[Calculated sales]],0)</f>
        <v>7.9631852741096437E-2</v>
      </c>
    </row>
    <row r="841" spans="1:22" x14ac:dyDescent="0.25">
      <c r="A841" s="4" t="s">
        <v>990</v>
      </c>
      <c r="B841" s="5">
        <v>45727</v>
      </c>
      <c r="C841" s="4">
        <f>YEAR(Table1_1[[#This Row],[Order Dates]])</f>
        <v>2025</v>
      </c>
      <c r="D841" s="6">
        <f>MONTH(Table1_1[[#This Row],[Order Dates]])</f>
        <v>3</v>
      </c>
      <c r="E841" s="4" t="s">
        <v>56</v>
      </c>
      <c r="F841" s="4" t="s">
        <v>103</v>
      </c>
      <c r="G841" s="4" t="s">
        <v>58</v>
      </c>
      <c r="H841" s="4" t="str">
        <f>TRIM(CLEAN(SUBSTITUTE(Table1_1[[#This Row],[Salesperson]],"   "," ")))</f>
        <v>Karthik Raman</v>
      </c>
      <c r="I841" s="4" t="s">
        <v>92</v>
      </c>
      <c r="J841" s="4" t="s">
        <v>27</v>
      </c>
      <c r="K841" s="4" t="s">
        <v>79</v>
      </c>
      <c r="L841" s="4" t="s">
        <v>262</v>
      </c>
      <c r="M841" s="4" t="s">
        <v>40</v>
      </c>
      <c r="N841" s="4" t="s">
        <v>24</v>
      </c>
      <c r="O841" s="4">
        <v>38</v>
      </c>
      <c r="P841" s="7">
        <v>2660</v>
      </c>
      <c r="Q841" s="8">
        <v>0</v>
      </c>
      <c r="R841" s="7">
        <v>1510</v>
      </c>
      <c r="S841" s="7">
        <f>Table1_1[[#This Row],[Units Sold]]*Table1_1[[#This Row],[Unit Price]]*(1-Table1_1[[#This Row],[Discount %]])</f>
        <v>101080</v>
      </c>
      <c r="T841" s="7">
        <f>Table1_1[[#This Row],[Units Sold]]*Table1_1[[#This Row],[Unit Cost]]</f>
        <v>57380</v>
      </c>
      <c r="U841" s="7">
        <f>Table1_1[[#This Row],[Calculated sales]]-Table1_1[[#This Row],[Total cost]]</f>
        <v>43700</v>
      </c>
      <c r="V841" s="4">
        <f>IFERROR(Table1_1[[#This Row],[Profit/Loss]]/Table1_1[[#This Row],[Calculated sales]],0)</f>
        <v>0.43233082706766918</v>
      </c>
    </row>
    <row r="842" spans="1:22" x14ac:dyDescent="0.25">
      <c r="A842" s="4" t="s">
        <v>991</v>
      </c>
      <c r="B842" s="5">
        <v>45727</v>
      </c>
      <c r="C842" s="4">
        <f>YEAR(Table1_1[[#This Row],[Order Dates]])</f>
        <v>2025</v>
      </c>
      <c r="D842" s="6">
        <f>MONTH(Table1_1[[#This Row],[Order Dates]])</f>
        <v>3</v>
      </c>
      <c r="E842" s="4" t="s">
        <v>76</v>
      </c>
      <c r="F842" s="4" t="s">
        <v>125</v>
      </c>
      <c r="G842" s="4" t="s">
        <v>78</v>
      </c>
      <c r="H842" s="4" t="str">
        <f>TRIM(CLEAN(SUBSTITUTE(Table1_1[[#This Row],[Salesperson]],"   "," ")))</f>
        <v>Pooja Chouhan</v>
      </c>
      <c r="I842" s="4" t="s">
        <v>92</v>
      </c>
      <c r="J842" s="4" t="s">
        <v>46</v>
      </c>
      <c r="K842" s="4" t="s">
        <v>100</v>
      </c>
      <c r="L842" s="4" t="s">
        <v>101</v>
      </c>
      <c r="M842" s="4" t="s">
        <v>40</v>
      </c>
      <c r="N842" s="4" t="s">
        <v>24</v>
      </c>
      <c r="O842" s="4">
        <v>34</v>
      </c>
      <c r="P842" s="7">
        <v>1830</v>
      </c>
      <c r="Q842" s="8">
        <v>0</v>
      </c>
      <c r="R842" s="7">
        <v>1400</v>
      </c>
      <c r="S842" s="7">
        <f>Table1_1[[#This Row],[Units Sold]]*Table1_1[[#This Row],[Unit Price]]*(1-Table1_1[[#This Row],[Discount %]])</f>
        <v>62220</v>
      </c>
      <c r="T842" s="7">
        <f>Table1_1[[#This Row],[Units Sold]]*Table1_1[[#This Row],[Unit Cost]]</f>
        <v>47600</v>
      </c>
      <c r="U842" s="7">
        <f>Table1_1[[#This Row],[Calculated sales]]-Table1_1[[#This Row],[Total cost]]</f>
        <v>14620</v>
      </c>
      <c r="V842" s="4">
        <f>IFERROR(Table1_1[[#This Row],[Profit/Loss]]/Table1_1[[#This Row],[Calculated sales]],0)</f>
        <v>0.23497267759562843</v>
      </c>
    </row>
    <row r="843" spans="1:22" x14ac:dyDescent="0.25">
      <c r="A843" s="4" t="s">
        <v>992</v>
      </c>
      <c r="B843" s="5">
        <v>45728</v>
      </c>
      <c r="C843" s="4">
        <f>YEAR(Table1_1[[#This Row],[Order Dates]])</f>
        <v>2025</v>
      </c>
      <c r="D843" s="6">
        <f>MONTH(Table1_1[[#This Row],[Order Dates]])</f>
        <v>3</v>
      </c>
      <c r="E843" s="4" t="s">
        <v>16</v>
      </c>
      <c r="F843" s="4" t="s">
        <v>191</v>
      </c>
      <c r="G843" s="4" t="s">
        <v>26</v>
      </c>
      <c r="H843" s="4" t="str">
        <f>TRIM(CLEAN(SUBSTITUTE(Table1_1[[#This Row],[Salesperson]],"   "," ")))</f>
        <v>Prateek Shah</v>
      </c>
      <c r="I843" s="4" t="s">
        <v>92</v>
      </c>
      <c r="J843" s="4" t="s">
        <v>20</v>
      </c>
      <c r="K843" s="4" t="s">
        <v>33</v>
      </c>
      <c r="L843" s="4" t="s">
        <v>1678</v>
      </c>
      <c r="M843" s="4" t="s">
        <v>49</v>
      </c>
      <c r="N843" s="4" t="s">
        <v>24</v>
      </c>
      <c r="O843" s="4">
        <v>4</v>
      </c>
      <c r="P843" s="7">
        <v>109810</v>
      </c>
      <c r="Q843" s="8">
        <v>0.15</v>
      </c>
      <c r="R843" s="7">
        <v>66600</v>
      </c>
      <c r="S843" s="7">
        <f>Table1_1[[#This Row],[Units Sold]]*Table1_1[[#This Row],[Unit Price]]*(1-Table1_1[[#This Row],[Discount %]])</f>
        <v>373354</v>
      </c>
      <c r="T843" s="7">
        <f>Table1_1[[#This Row],[Units Sold]]*Table1_1[[#This Row],[Unit Cost]]</f>
        <v>266400</v>
      </c>
      <c r="U843" s="7">
        <f>Table1_1[[#This Row],[Calculated sales]]-Table1_1[[#This Row],[Total cost]]</f>
        <v>106954</v>
      </c>
      <c r="V843" s="4">
        <f>IFERROR(Table1_1[[#This Row],[Profit/Loss]]/Table1_1[[#This Row],[Calculated sales]],0)</f>
        <v>0.28646807051752493</v>
      </c>
    </row>
    <row r="844" spans="1:22" x14ac:dyDescent="0.25">
      <c r="A844" s="4" t="s">
        <v>993</v>
      </c>
      <c r="B844" s="5">
        <v>45728</v>
      </c>
      <c r="C844" s="4">
        <f>YEAR(Table1_1[[#This Row],[Order Dates]])</f>
        <v>2025</v>
      </c>
      <c r="D844" s="6">
        <f>MONTH(Table1_1[[#This Row],[Order Dates]])</f>
        <v>3</v>
      </c>
      <c r="E844" s="4" t="s">
        <v>56</v>
      </c>
      <c r="F844" s="4" t="s">
        <v>103</v>
      </c>
      <c r="G844" s="4" t="s">
        <v>58</v>
      </c>
      <c r="H844" s="4" t="str">
        <f>TRIM(CLEAN(SUBSTITUTE(Table1_1[[#This Row],[Salesperson]],"   "," ")))</f>
        <v>Karthik Raman</v>
      </c>
      <c r="I844" s="4" t="s">
        <v>19</v>
      </c>
      <c r="J844" s="4" t="s">
        <v>59</v>
      </c>
      <c r="K844" s="4" t="s">
        <v>73</v>
      </c>
      <c r="L844" s="4" t="s">
        <v>74</v>
      </c>
      <c r="M844" s="4" t="s">
        <v>23</v>
      </c>
      <c r="N844" s="4" t="s">
        <v>119</v>
      </c>
      <c r="O844" s="4">
        <v>1</v>
      </c>
      <c r="P844" s="7">
        <v>45670</v>
      </c>
      <c r="Q844" s="8">
        <v>0.25</v>
      </c>
      <c r="R844" s="7">
        <v>29670</v>
      </c>
      <c r="S844" s="7">
        <f>Table1_1[[#This Row],[Units Sold]]*Table1_1[[#This Row],[Unit Price]]*(1-Table1_1[[#This Row],[Discount %]])</f>
        <v>34252.5</v>
      </c>
      <c r="T844" s="7">
        <f>Table1_1[[#This Row],[Units Sold]]*Table1_1[[#This Row],[Unit Cost]]</f>
        <v>29670</v>
      </c>
      <c r="U844" s="7">
        <f>Table1_1[[#This Row],[Calculated sales]]-Table1_1[[#This Row],[Total cost]]</f>
        <v>4582.5</v>
      </c>
      <c r="V844" s="4">
        <f>IFERROR(Table1_1[[#This Row],[Profit/Loss]]/Table1_1[[#This Row],[Calculated sales]],0)</f>
        <v>0.13378585504707685</v>
      </c>
    </row>
    <row r="845" spans="1:22" x14ac:dyDescent="0.25">
      <c r="A845" s="4" t="s">
        <v>994</v>
      </c>
      <c r="B845" s="5">
        <v>45729</v>
      </c>
      <c r="C845" s="4">
        <f>YEAR(Table1_1[[#This Row],[Order Dates]])</f>
        <v>2025</v>
      </c>
      <c r="D845" s="6">
        <f>MONTH(Table1_1[[#This Row],[Order Dates]])</f>
        <v>3</v>
      </c>
      <c r="E845" s="4" t="s">
        <v>42</v>
      </c>
      <c r="F845" s="4" t="s">
        <v>130</v>
      </c>
      <c r="G845" s="4" t="s">
        <v>44</v>
      </c>
      <c r="H845" s="4" t="str">
        <f>TRIM(CLEAN(SUBSTITUTE(Table1_1[[#This Row],[Salesperson]],"   "," ")))</f>
        <v>Simran Kaur</v>
      </c>
      <c r="I845" s="4" t="s">
        <v>19</v>
      </c>
      <c r="J845" s="4" t="s">
        <v>59</v>
      </c>
      <c r="K845" s="4" t="s">
        <v>60</v>
      </c>
      <c r="L845" s="4" t="s">
        <v>200</v>
      </c>
      <c r="M845" s="4" t="s">
        <v>40</v>
      </c>
      <c r="N845" s="4" t="s">
        <v>24</v>
      </c>
      <c r="O845" s="4">
        <v>9</v>
      </c>
      <c r="P845" s="7">
        <v>8190</v>
      </c>
      <c r="Q845" s="8">
        <v>0.08</v>
      </c>
      <c r="R845" s="7">
        <v>6340</v>
      </c>
      <c r="S845" s="7">
        <f>Table1_1[[#This Row],[Units Sold]]*Table1_1[[#This Row],[Unit Price]]*(1-Table1_1[[#This Row],[Discount %]])</f>
        <v>67813.2</v>
      </c>
      <c r="T845" s="7">
        <f>Table1_1[[#This Row],[Units Sold]]*Table1_1[[#This Row],[Unit Cost]]</f>
        <v>57060</v>
      </c>
      <c r="U845" s="7">
        <f>Table1_1[[#This Row],[Calculated sales]]-Table1_1[[#This Row],[Total cost]]</f>
        <v>10753.199999999997</v>
      </c>
      <c r="V845" s="4">
        <f>IFERROR(Table1_1[[#This Row],[Profit/Loss]]/Table1_1[[#This Row],[Calculated sales]],0)</f>
        <v>0.15857089770133245</v>
      </c>
    </row>
    <row r="846" spans="1:22" x14ac:dyDescent="0.25">
      <c r="A846" s="4" t="s">
        <v>995</v>
      </c>
      <c r="B846" s="5">
        <v>45730</v>
      </c>
      <c r="C846" s="4">
        <f>YEAR(Table1_1[[#This Row],[Order Dates]])</f>
        <v>2025</v>
      </c>
      <c r="D846" s="6">
        <f>MONTH(Table1_1[[#This Row],[Order Dates]])</f>
        <v>3</v>
      </c>
      <c r="E846" s="4" t="s">
        <v>42</v>
      </c>
      <c r="F846" s="4" t="s">
        <v>130</v>
      </c>
      <c r="G846" s="4" t="s">
        <v>44</v>
      </c>
      <c r="H846" s="4" t="str">
        <f>TRIM(CLEAN(SUBSTITUTE(Table1_1[[#This Row],[Salesperson]],"   "," ")))</f>
        <v>Simran Kaur</v>
      </c>
      <c r="I846" s="4" t="s">
        <v>52</v>
      </c>
      <c r="J846" s="4" t="s">
        <v>27</v>
      </c>
      <c r="K846" s="4" t="s">
        <v>53</v>
      </c>
      <c r="L846" s="4" t="s">
        <v>1669</v>
      </c>
      <c r="M846" s="4" t="s">
        <v>23</v>
      </c>
      <c r="N846" s="4" t="s">
        <v>24</v>
      </c>
      <c r="O846" s="4">
        <v>2</v>
      </c>
      <c r="P846" s="7">
        <v>41700</v>
      </c>
      <c r="Q846" s="8">
        <v>0.05</v>
      </c>
      <c r="R846" s="7">
        <v>24340</v>
      </c>
      <c r="S846" s="7">
        <f>Table1_1[[#This Row],[Units Sold]]*Table1_1[[#This Row],[Unit Price]]*(1-Table1_1[[#This Row],[Discount %]])</f>
        <v>79230</v>
      </c>
      <c r="T846" s="7">
        <f>Table1_1[[#This Row],[Units Sold]]*Table1_1[[#This Row],[Unit Cost]]</f>
        <v>48680</v>
      </c>
      <c r="U846" s="7">
        <f>Table1_1[[#This Row],[Calculated sales]]-Table1_1[[#This Row],[Total cost]]</f>
        <v>30550</v>
      </c>
      <c r="V846" s="4">
        <f>IFERROR(Table1_1[[#This Row],[Profit/Loss]]/Table1_1[[#This Row],[Calculated sales]],0)</f>
        <v>0.385586267827843</v>
      </c>
    </row>
    <row r="847" spans="1:22" x14ac:dyDescent="0.25">
      <c r="A847" s="4" t="s">
        <v>996</v>
      </c>
      <c r="B847" s="5">
        <v>45730</v>
      </c>
      <c r="C847" s="4">
        <f>YEAR(Table1_1[[#This Row],[Order Dates]])</f>
        <v>2025</v>
      </c>
      <c r="D847" s="6">
        <f>MONTH(Table1_1[[#This Row],[Order Dates]])</f>
        <v>3</v>
      </c>
      <c r="E847" s="4" t="s">
        <v>56</v>
      </c>
      <c r="F847" s="4" t="s">
        <v>103</v>
      </c>
      <c r="G847" s="4" t="s">
        <v>91</v>
      </c>
      <c r="H847" s="4" t="str">
        <f>TRIM(CLEAN(SUBSTITUTE(Table1_1[[#This Row],[Salesperson]],"   "," ")))</f>
        <v>Anjali Menon</v>
      </c>
      <c r="I847" s="4" t="s">
        <v>45</v>
      </c>
      <c r="J847" s="4" t="s">
        <v>27</v>
      </c>
      <c r="K847" s="4" t="s">
        <v>214</v>
      </c>
      <c r="L847" s="4" t="s">
        <v>1680</v>
      </c>
      <c r="M847" s="4" t="s">
        <v>40</v>
      </c>
      <c r="N847" s="4" t="s">
        <v>24</v>
      </c>
      <c r="O847" s="4">
        <v>7</v>
      </c>
      <c r="P847" s="7">
        <v>32320</v>
      </c>
      <c r="Q847" s="8">
        <v>0.12</v>
      </c>
      <c r="R847" s="7">
        <v>24940</v>
      </c>
      <c r="S847" s="7">
        <f>Table1_1[[#This Row],[Units Sold]]*Table1_1[[#This Row],[Unit Price]]*(1-Table1_1[[#This Row],[Discount %]])</f>
        <v>199091.20000000001</v>
      </c>
      <c r="T847" s="7">
        <f>Table1_1[[#This Row],[Units Sold]]*Table1_1[[#This Row],[Unit Cost]]</f>
        <v>174580</v>
      </c>
      <c r="U847" s="7">
        <f>Table1_1[[#This Row],[Calculated sales]]-Table1_1[[#This Row],[Total cost]]</f>
        <v>24511.200000000012</v>
      </c>
      <c r="V847" s="4">
        <f>IFERROR(Table1_1[[#This Row],[Profit/Loss]]/Table1_1[[#This Row],[Calculated sales]],0)</f>
        <v>0.12311543654365442</v>
      </c>
    </row>
    <row r="848" spans="1:22" x14ac:dyDescent="0.25">
      <c r="A848" s="4" t="s">
        <v>997</v>
      </c>
      <c r="B848" s="5">
        <v>45730</v>
      </c>
      <c r="C848" s="4">
        <f>YEAR(Table1_1[[#This Row],[Order Dates]])</f>
        <v>2025</v>
      </c>
      <c r="D848" s="6">
        <f>MONTH(Table1_1[[#This Row],[Order Dates]])</f>
        <v>3</v>
      </c>
      <c r="E848" s="4" t="s">
        <v>16</v>
      </c>
      <c r="F848" s="4" t="s">
        <v>31</v>
      </c>
      <c r="G848" s="4" t="s">
        <v>26</v>
      </c>
      <c r="H848" s="4" t="str">
        <f>TRIM(CLEAN(SUBSTITUTE(Table1_1[[#This Row],[Salesperson]],"   "," ")))</f>
        <v>Prateek Shah</v>
      </c>
      <c r="I848" s="4" t="s">
        <v>19</v>
      </c>
      <c r="J848" s="4" t="s">
        <v>59</v>
      </c>
      <c r="K848" s="4" t="s">
        <v>73</v>
      </c>
      <c r="L848" s="4" t="s">
        <v>113</v>
      </c>
      <c r="M848" s="4" t="s">
        <v>49</v>
      </c>
      <c r="N848" s="4" t="s">
        <v>94</v>
      </c>
      <c r="O848" s="4">
        <v>4</v>
      </c>
      <c r="P848" s="7">
        <v>31650</v>
      </c>
      <c r="Q848" s="8">
        <v>0.1</v>
      </c>
      <c r="R848" s="7">
        <v>20460</v>
      </c>
      <c r="S848" s="7">
        <f>Table1_1[[#This Row],[Units Sold]]*Table1_1[[#This Row],[Unit Price]]*(1-Table1_1[[#This Row],[Discount %]])</f>
        <v>113940</v>
      </c>
      <c r="T848" s="7">
        <f>Table1_1[[#This Row],[Units Sold]]*Table1_1[[#This Row],[Unit Cost]]</f>
        <v>81840</v>
      </c>
      <c r="U848" s="7">
        <f>Table1_1[[#This Row],[Calculated sales]]-Table1_1[[#This Row],[Total cost]]</f>
        <v>32100</v>
      </c>
      <c r="V848" s="4">
        <f>IFERROR(Table1_1[[#This Row],[Profit/Loss]]/Table1_1[[#This Row],[Calculated sales]],0)</f>
        <v>0.28172722485518692</v>
      </c>
    </row>
    <row r="849" spans="1:22" x14ac:dyDescent="0.25">
      <c r="A849" s="4" t="s">
        <v>998</v>
      </c>
      <c r="B849" s="5">
        <v>45731</v>
      </c>
      <c r="C849" s="4">
        <f>YEAR(Table1_1[[#This Row],[Order Dates]])</f>
        <v>2025</v>
      </c>
      <c r="D849" s="6">
        <f>MONTH(Table1_1[[#This Row],[Order Dates]])</f>
        <v>3</v>
      </c>
      <c r="E849" s="4" t="s">
        <v>56</v>
      </c>
      <c r="F849" s="4" t="s">
        <v>72</v>
      </c>
      <c r="G849" s="4" t="s">
        <v>58</v>
      </c>
      <c r="H849" s="4" t="str">
        <f>TRIM(CLEAN(SUBSTITUTE(Table1_1[[#This Row],[Salesperson]],"   "," ")))</f>
        <v>Karthik Raman</v>
      </c>
      <c r="I849" s="4" t="s">
        <v>45</v>
      </c>
      <c r="J849" s="4" t="s">
        <v>59</v>
      </c>
      <c r="K849" s="4" t="s">
        <v>154</v>
      </c>
      <c r="L849" s="4" t="s">
        <v>155</v>
      </c>
      <c r="M849" s="4" t="s">
        <v>23</v>
      </c>
      <c r="N849" s="4" t="s">
        <v>119</v>
      </c>
      <c r="O849" s="4">
        <v>1</v>
      </c>
      <c r="P849" s="7">
        <v>11510</v>
      </c>
      <c r="Q849" s="8">
        <v>0.12</v>
      </c>
      <c r="R849" s="7">
        <v>6830</v>
      </c>
      <c r="S849" s="7">
        <f>Table1_1[[#This Row],[Units Sold]]*Table1_1[[#This Row],[Unit Price]]*(1-Table1_1[[#This Row],[Discount %]])</f>
        <v>10128.799999999999</v>
      </c>
      <c r="T849" s="7">
        <f>Table1_1[[#This Row],[Units Sold]]*Table1_1[[#This Row],[Unit Cost]]</f>
        <v>6830</v>
      </c>
      <c r="U849" s="7">
        <f>Table1_1[[#This Row],[Calculated sales]]-Table1_1[[#This Row],[Total cost]]</f>
        <v>3298.7999999999993</v>
      </c>
      <c r="V849" s="4">
        <f>IFERROR(Table1_1[[#This Row],[Profit/Loss]]/Table1_1[[#This Row],[Calculated sales]],0)</f>
        <v>0.32568517494668664</v>
      </c>
    </row>
    <row r="850" spans="1:22" x14ac:dyDescent="0.25">
      <c r="A850" s="4" t="s">
        <v>999</v>
      </c>
      <c r="B850" s="5">
        <v>45731</v>
      </c>
      <c r="C850" s="4">
        <f>YEAR(Table1_1[[#This Row],[Order Dates]])</f>
        <v>2025</v>
      </c>
      <c r="D850" s="6">
        <f>MONTH(Table1_1[[#This Row],[Order Dates]])</f>
        <v>3</v>
      </c>
      <c r="E850" s="4" t="s">
        <v>16</v>
      </c>
      <c r="F850" s="4" t="s">
        <v>51</v>
      </c>
      <c r="G850" s="4" t="s">
        <v>26</v>
      </c>
      <c r="H850" s="4" t="str">
        <f>TRIM(CLEAN(SUBSTITUTE(Table1_1[[#This Row],[Salesperson]],"   "," ")))</f>
        <v>Prateek Shah</v>
      </c>
      <c r="I850" s="4" t="s">
        <v>52</v>
      </c>
      <c r="J850" s="4" t="s">
        <v>27</v>
      </c>
      <c r="K850" s="4" t="s">
        <v>214</v>
      </c>
      <c r="L850" s="4" t="s">
        <v>1680</v>
      </c>
      <c r="M850" s="4" t="s">
        <v>49</v>
      </c>
      <c r="N850" s="4" t="s">
        <v>24</v>
      </c>
      <c r="O850" s="4">
        <v>3</v>
      </c>
      <c r="P850" s="7">
        <v>35810</v>
      </c>
      <c r="Q850" s="8">
        <v>0</v>
      </c>
      <c r="R850" s="7">
        <v>22820</v>
      </c>
      <c r="S850" s="7">
        <f>Table1_1[[#This Row],[Units Sold]]*Table1_1[[#This Row],[Unit Price]]*(1-Table1_1[[#This Row],[Discount %]])</f>
        <v>107430</v>
      </c>
      <c r="T850" s="7">
        <f>Table1_1[[#This Row],[Units Sold]]*Table1_1[[#This Row],[Unit Cost]]</f>
        <v>68460</v>
      </c>
      <c r="U850" s="7">
        <f>Table1_1[[#This Row],[Calculated sales]]-Table1_1[[#This Row],[Total cost]]</f>
        <v>38970</v>
      </c>
      <c r="V850" s="4">
        <f>IFERROR(Table1_1[[#This Row],[Profit/Loss]]/Table1_1[[#This Row],[Calculated sales]],0)</f>
        <v>0.36274783580005587</v>
      </c>
    </row>
    <row r="851" spans="1:22" x14ac:dyDescent="0.25">
      <c r="A851" s="4" t="s">
        <v>1000</v>
      </c>
      <c r="B851" s="5">
        <v>45731</v>
      </c>
      <c r="C851" s="4">
        <f>YEAR(Table1_1[[#This Row],[Order Dates]])</f>
        <v>2025</v>
      </c>
      <c r="D851" s="6">
        <f>MONTH(Table1_1[[#This Row],[Order Dates]])</f>
        <v>3</v>
      </c>
      <c r="E851" s="4" t="s">
        <v>76</v>
      </c>
      <c r="F851" s="4" t="s">
        <v>112</v>
      </c>
      <c r="G851" s="4" t="s">
        <v>170</v>
      </c>
      <c r="H851" s="4" t="str">
        <f>TRIM(CLEAN(SUBSTITUTE(Table1_1[[#This Row],[Salesperson]],"   "," ")))</f>
        <v>Manish Tiwari</v>
      </c>
      <c r="I851" s="4" t="s">
        <v>45</v>
      </c>
      <c r="J851" s="4" t="s">
        <v>46</v>
      </c>
      <c r="K851" s="4" t="s">
        <v>100</v>
      </c>
      <c r="L851" s="4" t="s">
        <v>101</v>
      </c>
      <c r="M851" s="4" t="s">
        <v>23</v>
      </c>
      <c r="N851" s="4" t="s">
        <v>24</v>
      </c>
      <c r="O851" s="4">
        <v>61</v>
      </c>
      <c r="P851" s="7">
        <v>1830</v>
      </c>
      <c r="Q851" s="8">
        <v>0.12</v>
      </c>
      <c r="R851" s="7">
        <v>1230</v>
      </c>
      <c r="S851" s="7">
        <f>Table1_1[[#This Row],[Units Sold]]*Table1_1[[#This Row],[Unit Price]]*(1-Table1_1[[#This Row],[Discount %]])</f>
        <v>98234.4</v>
      </c>
      <c r="T851" s="7">
        <f>Table1_1[[#This Row],[Units Sold]]*Table1_1[[#This Row],[Unit Cost]]</f>
        <v>75030</v>
      </c>
      <c r="U851" s="7">
        <f>Table1_1[[#This Row],[Calculated sales]]-Table1_1[[#This Row],[Total cost]]</f>
        <v>23204.399999999994</v>
      </c>
      <c r="V851" s="4">
        <f>IFERROR(Table1_1[[#This Row],[Profit/Loss]]/Table1_1[[#This Row],[Calculated sales]],0)</f>
        <v>0.23621460506706404</v>
      </c>
    </row>
    <row r="852" spans="1:22" x14ac:dyDescent="0.25">
      <c r="A852" s="4" t="s">
        <v>1001</v>
      </c>
      <c r="B852" s="5">
        <v>45731</v>
      </c>
      <c r="C852" s="4">
        <f>YEAR(Table1_1[[#This Row],[Order Dates]])</f>
        <v>2025</v>
      </c>
      <c r="D852" s="6">
        <f>MONTH(Table1_1[[#This Row],[Order Dates]])</f>
        <v>3</v>
      </c>
      <c r="E852" s="4" t="s">
        <v>56</v>
      </c>
      <c r="F852" s="4" t="s">
        <v>133</v>
      </c>
      <c r="G852" s="4" t="s">
        <v>91</v>
      </c>
      <c r="H852" s="4" t="str">
        <f>TRIM(CLEAN(SUBSTITUTE(Table1_1[[#This Row],[Salesperson]],"   "," ")))</f>
        <v>Anjali Menon</v>
      </c>
      <c r="I852" s="4" t="s">
        <v>52</v>
      </c>
      <c r="J852" s="4" t="s">
        <v>20</v>
      </c>
      <c r="K852" s="4" t="s">
        <v>33</v>
      </c>
      <c r="L852" s="4" t="s">
        <v>1678</v>
      </c>
      <c r="M852" s="4" t="s">
        <v>40</v>
      </c>
      <c r="N852" s="4" t="s">
        <v>119</v>
      </c>
      <c r="O852" s="4">
        <v>3</v>
      </c>
      <c r="P852" s="7">
        <v>103590</v>
      </c>
      <c r="Q852" s="8">
        <v>0.12</v>
      </c>
      <c r="R852" s="7">
        <v>76070</v>
      </c>
      <c r="S852" s="7">
        <f>Table1_1[[#This Row],[Units Sold]]*Table1_1[[#This Row],[Unit Price]]*(1-Table1_1[[#This Row],[Discount %]])</f>
        <v>273477.59999999998</v>
      </c>
      <c r="T852" s="7">
        <f>Table1_1[[#This Row],[Units Sold]]*Table1_1[[#This Row],[Unit Cost]]</f>
        <v>228210</v>
      </c>
      <c r="U852" s="7">
        <f>Table1_1[[#This Row],[Calculated sales]]-Table1_1[[#This Row],[Total cost]]</f>
        <v>45267.599999999977</v>
      </c>
      <c r="V852" s="4">
        <f>IFERROR(Table1_1[[#This Row],[Profit/Loss]]/Table1_1[[#This Row],[Calculated sales]],0)</f>
        <v>0.16552580540417197</v>
      </c>
    </row>
    <row r="853" spans="1:22" x14ac:dyDescent="0.25">
      <c r="A853" s="4" t="s">
        <v>1002</v>
      </c>
      <c r="B853" s="5">
        <v>45731</v>
      </c>
      <c r="C853" s="4">
        <f>YEAR(Table1_1[[#This Row],[Order Dates]])</f>
        <v>2025</v>
      </c>
      <c r="D853" s="6">
        <f>MONTH(Table1_1[[#This Row],[Order Dates]])</f>
        <v>3</v>
      </c>
      <c r="E853" s="4" t="s">
        <v>56</v>
      </c>
      <c r="F853" s="4" t="s">
        <v>72</v>
      </c>
      <c r="G853" s="4" t="s">
        <v>58</v>
      </c>
      <c r="H853" s="4" t="str">
        <f>TRIM(CLEAN(SUBSTITUTE(Table1_1[[#This Row],[Salesperson]],"   "," ")))</f>
        <v>Karthik Raman</v>
      </c>
      <c r="I853" s="4" t="s">
        <v>52</v>
      </c>
      <c r="J853" s="4" t="s">
        <v>27</v>
      </c>
      <c r="K853" s="4" t="s">
        <v>214</v>
      </c>
      <c r="L853" s="4" t="s">
        <v>1680</v>
      </c>
      <c r="M853" s="4" t="s">
        <v>40</v>
      </c>
      <c r="N853" s="4" t="s">
        <v>24</v>
      </c>
      <c r="O853" s="4">
        <v>4</v>
      </c>
      <c r="P853" s="7">
        <v>34350</v>
      </c>
      <c r="Q853" s="8">
        <v>0.2</v>
      </c>
      <c r="R853" s="7">
        <v>26620</v>
      </c>
      <c r="S853" s="7">
        <f>Table1_1[[#This Row],[Units Sold]]*Table1_1[[#This Row],[Unit Price]]*(1-Table1_1[[#This Row],[Discount %]])</f>
        <v>109920</v>
      </c>
      <c r="T853" s="7">
        <f>Table1_1[[#This Row],[Units Sold]]*Table1_1[[#This Row],[Unit Cost]]</f>
        <v>106480</v>
      </c>
      <c r="U853" s="7">
        <f>Table1_1[[#This Row],[Calculated sales]]-Table1_1[[#This Row],[Total cost]]</f>
        <v>3440</v>
      </c>
      <c r="V853" s="4">
        <f>IFERROR(Table1_1[[#This Row],[Profit/Loss]]/Table1_1[[#This Row],[Calculated sales]],0)</f>
        <v>3.1295487627365358E-2</v>
      </c>
    </row>
    <row r="854" spans="1:22" x14ac:dyDescent="0.25">
      <c r="A854" s="4" t="s">
        <v>1003</v>
      </c>
      <c r="B854" s="5">
        <v>45732</v>
      </c>
      <c r="C854" s="4">
        <f>YEAR(Table1_1[[#This Row],[Order Dates]])</f>
        <v>2025</v>
      </c>
      <c r="D854" s="6">
        <f>MONTH(Table1_1[[#This Row],[Order Dates]])</f>
        <v>3</v>
      </c>
      <c r="E854" s="4" t="s">
        <v>16</v>
      </c>
      <c r="F854" s="4" t="s">
        <v>51</v>
      </c>
      <c r="G854" s="4" t="s">
        <v>18</v>
      </c>
      <c r="H854" s="4" t="str">
        <f>TRIM(CLEAN(SUBSTITUTE(Table1_1[[#This Row],[Salesperson]],"   "," ")))</f>
        <v>Imran Sheikh</v>
      </c>
      <c r="I854" s="4" t="s">
        <v>19</v>
      </c>
      <c r="J854" s="4" t="s">
        <v>59</v>
      </c>
      <c r="K854" s="4" t="s">
        <v>69</v>
      </c>
      <c r="L854" s="4" t="s">
        <v>70</v>
      </c>
      <c r="M854" s="4" t="s">
        <v>23</v>
      </c>
      <c r="N854" s="4" t="s">
        <v>24</v>
      </c>
      <c r="O854" s="4">
        <v>6</v>
      </c>
      <c r="P854" s="7">
        <v>28330</v>
      </c>
      <c r="Q854" s="8">
        <v>0</v>
      </c>
      <c r="R854" s="7">
        <v>18050</v>
      </c>
      <c r="S854" s="7">
        <f>Table1_1[[#This Row],[Units Sold]]*Table1_1[[#This Row],[Unit Price]]*(1-Table1_1[[#This Row],[Discount %]])</f>
        <v>169980</v>
      </c>
      <c r="T854" s="7">
        <f>Table1_1[[#This Row],[Units Sold]]*Table1_1[[#This Row],[Unit Cost]]</f>
        <v>108300</v>
      </c>
      <c r="U854" s="7">
        <f>Table1_1[[#This Row],[Calculated sales]]-Table1_1[[#This Row],[Total cost]]</f>
        <v>61680</v>
      </c>
      <c r="V854" s="4">
        <f>IFERROR(Table1_1[[#This Row],[Profit/Loss]]/Table1_1[[#This Row],[Calculated sales]],0)</f>
        <v>0.36286621955524179</v>
      </c>
    </row>
    <row r="855" spans="1:22" x14ac:dyDescent="0.25">
      <c r="A855" s="4" t="s">
        <v>1004</v>
      </c>
      <c r="B855" s="5">
        <v>45732</v>
      </c>
      <c r="C855" s="4">
        <f>YEAR(Table1_1[[#This Row],[Order Dates]])</f>
        <v>2025</v>
      </c>
      <c r="D855" s="6">
        <f>MONTH(Table1_1[[#This Row],[Order Dates]])</f>
        <v>3</v>
      </c>
      <c r="E855" s="4" t="s">
        <v>56</v>
      </c>
      <c r="F855" s="4" t="s">
        <v>127</v>
      </c>
      <c r="G855" s="4" t="s">
        <v>91</v>
      </c>
      <c r="H855" s="4" t="str">
        <f>TRIM(CLEAN(SUBSTITUTE(Table1_1[[#This Row],[Salesperson]],"   "," ")))</f>
        <v>Anjali Menon</v>
      </c>
      <c r="I855" s="4" t="s">
        <v>19</v>
      </c>
      <c r="J855" s="4" t="s">
        <v>59</v>
      </c>
      <c r="K855" s="4" t="s">
        <v>69</v>
      </c>
      <c r="L855" s="4" t="s">
        <v>121</v>
      </c>
      <c r="M855" s="4" t="s">
        <v>49</v>
      </c>
      <c r="N855" s="4" t="s">
        <v>24</v>
      </c>
      <c r="O855" s="4">
        <v>10</v>
      </c>
      <c r="P855" s="7">
        <v>3620</v>
      </c>
      <c r="Q855" s="8">
        <v>0.05</v>
      </c>
      <c r="R855" s="7">
        <v>2680</v>
      </c>
      <c r="S855" s="7">
        <f>Table1_1[[#This Row],[Units Sold]]*Table1_1[[#This Row],[Unit Price]]*(1-Table1_1[[#This Row],[Discount %]])</f>
        <v>34390</v>
      </c>
      <c r="T855" s="7">
        <f>Table1_1[[#This Row],[Units Sold]]*Table1_1[[#This Row],[Unit Cost]]</f>
        <v>26800</v>
      </c>
      <c r="U855" s="7">
        <f>Table1_1[[#This Row],[Calculated sales]]-Table1_1[[#This Row],[Total cost]]</f>
        <v>7590</v>
      </c>
      <c r="V855" s="4">
        <f>IFERROR(Table1_1[[#This Row],[Profit/Loss]]/Table1_1[[#This Row],[Calculated sales]],0)</f>
        <v>0.22070369293399245</v>
      </c>
    </row>
    <row r="856" spans="1:22" x14ac:dyDescent="0.25">
      <c r="A856" s="4" t="s">
        <v>1005</v>
      </c>
      <c r="B856" s="5">
        <v>45732</v>
      </c>
      <c r="C856" s="4">
        <f>YEAR(Table1_1[[#This Row],[Order Dates]])</f>
        <v>2025</v>
      </c>
      <c r="D856" s="6">
        <f>MONTH(Table1_1[[#This Row],[Order Dates]])</f>
        <v>3</v>
      </c>
      <c r="E856" s="4" t="s">
        <v>16</v>
      </c>
      <c r="F856" s="4" t="s">
        <v>51</v>
      </c>
      <c r="G856" s="4" t="s">
        <v>26</v>
      </c>
      <c r="H856" s="4" t="str">
        <f>TRIM(CLEAN(SUBSTITUTE(Table1_1[[#This Row],[Salesperson]],"   "," ")))</f>
        <v>Prateek Shah</v>
      </c>
      <c r="I856" s="4" t="s">
        <v>19</v>
      </c>
      <c r="J856" s="4" t="s">
        <v>27</v>
      </c>
      <c r="K856" s="4" t="s">
        <v>79</v>
      </c>
      <c r="L856" s="4" t="s">
        <v>168</v>
      </c>
      <c r="M856" s="4" t="s">
        <v>49</v>
      </c>
      <c r="N856" s="4" t="s">
        <v>24</v>
      </c>
      <c r="O856" s="4">
        <v>6</v>
      </c>
      <c r="P856" s="7">
        <v>10210</v>
      </c>
      <c r="Q856" s="8">
        <v>0.05</v>
      </c>
      <c r="R856" s="7">
        <v>7200</v>
      </c>
      <c r="S856" s="7">
        <f>Table1_1[[#This Row],[Units Sold]]*Table1_1[[#This Row],[Unit Price]]*(1-Table1_1[[#This Row],[Discount %]])</f>
        <v>58197</v>
      </c>
      <c r="T856" s="7">
        <f>Table1_1[[#This Row],[Units Sold]]*Table1_1[[#This Row],[Unit Cost]]</f>
        <v>43200</v>
      </c>
      <c r="U856" s="7">
        <f>Table1_1[[#This Row],[Calculated sales]]-Table1_1[[#This Row],[Total cost]]</f>
        <v>14997</v>
      </c>
      <c r="V856" s="4">
        <f>IFERROR(Table1_1[[#This Row],[Profit/Loss]]/Table1_1[[#This Row],[Calculated sales]],0)</f>
        <v>0.2576936955513171</v>
      </c>
    </row>
    <row r="857" spans="1:22" x14ac:dyDescent="0.25">
      <c r="A857" s="4" t="s">
        <v>1006</v>
      </c>
      <c r="B857" s="5">
        <v>45733</v>
      </c>
      <c r="C857" s="4">
        <f>YEAR(Table1_1[[#This Row],[Order Dates]])</f>
        <v>2025</v>
      </c>
      <c r="D857" s="6">
        <f>MONTH(Table1_1[[#This Row],[Order Dates]])</f>
        <v>3</v>
      </c>
      <c r="E857" s="4" t="s">
        <v>76</v>
      </c>
      <c r="F857" s="4" t="s">
        <v>150</v>
      </c>
      <c r="G857" s="4" t="s">
        <v>78</v>
      </c>
      <c r="H857" s="4" t="str">
        <f>TRIM(CLEAN(SUBSTITUTE(Table1_1[[#This Row],[Salesperson]],"   "," ")))</f>
        <v>Pooja Chouhan</v>
      </c>
      <c r="I857" s="4" t="s">
        <v>19</v>
      </c>
      <c r="J857" s="4" t="s">
        <v>20</v>
      </c>
      <c r="K857" s="4" t="s">
        <v>21</v>
      </c>
      <c r="L857" s="4" t="s">
        <v>1682</v>
      </c>
      <c r="M857" s="4" t="s">
        <v>40</v>
      </c>
      <c r="N857" s="4" t="s">
        <v>24</v>
      </c>
      <c r="O857" s="4">
        <v>14</v>
      </c>
      <c r="P857" s="7">
        <v>9780</v>
      </c>
      <c r="Q857" s="8">
        <v>0.1</v>
      </c>
      <c r="R857" s="7">
        <v>5990</v>
      </c>
      <c r="S857" s="7">
        <f>Table1_1[[#This Row],[Units Sold]]*Table1_1[[#This Row],[Unit Price]]*(1-Table1_1[[#This Row],[Discount %]])</f>
        <v>123228</v>
      </c>
      <c r="T857" s="7">
        <f>Table1_1[[#This Row],[Units Sold]]*Table1_1[[#This Row],[Unit Cost]]</f>
        <v>83860</v>
      </c>
      <c r="U857" s="7">
        <f>Table1_1[[#This Row],[Calculated sales]]-Table1_1[[#This Row],[Total cost]]</f>
        <v>39368</v>
      </c>
      <c r="V857" s="4">
        <f>IFERROR(Table1_1[[#This Row],[Profit/Loss]]/Table1_1[[#This Row],[Calculated sales]],0)</f>
        <v>0.31947284708020907</v>
      </c>
    </row>
    <row r="858" spans="1:22" x14ac:dyDescent="0.25">
      <c r="A858" s="4" t="s">
        <v>1007</v>
      </c>
      <c r="B858" s="5">
        <v>45733</v>
      </c>
      <c r="C858" s="4">
        <f>YEAR(Table1_1[[#This Row],[Order Dates]])</f>
        <v>2025</v>
      </c>
      <c r="D858" s="6">
        <f>MONTH(Table1_1[[#This Row],[Order Dates]])</f>
        <v>3</v>
      </c>
      <c r="E858" s="4" t="s">
        <v>56</v>
      </c>
      <c r="F858" s="4" t="s">
        <v>143</v>
      </c>
      <c r="G858" s="4" t="s">
        <v>58</v>
      </c>
      <c r="H858" s="4" t="str">
        <f>TRIM(CLEAN(SUBSTITUTE(Table1_1[[#This Row],[Salesperson]],"   "," ")))</f>
        <v>Karthik Raman</v>
      </c>
      <c r="I858" s="4" t="s">
        <v>52</v>
      </c>
      <c r="J858" s="4" t="s">
        <v>83</v>
      </c>
      <c r="K858" s="4" t="s">
        <v>184</v>
      </c>
      <c r="L858" s="4" t="s">
        <v>196</v>
      </c>
      <c r="M858" s="4" t="s">
        <v>40</v>
      </c>
      <c r="N858" s="4" t="s">
        <v>24</v>
      </c>
      <c r="O858" s="4">
        <v>15</v>
      </c>
      <c r="P858" s="7">
        <v>3170</v>
      </c>
      <c r="Q858" s="8">
        <v>0.15</v>
      </c>
      <c r="R858" s="7">
        <v>1940</v>
      </c>
      <c r="S858" s="7">
        <f>Table1_1[[#This Row],[Units Sold]]*Table1_1[[#This Row],[Unit Price]]*(1-Table1_1[[#This Row],[Discount %]])</f>
        <v>40417.5</v>
      </c>
      <c r="T858" s="7">
        <f>Table1_1[[#This Row],[Units Sold]]*Table1_1[[#This Row],[Unit Cost]]</f>
        <v>29100</v>
      </c>
      <c r="U858" s="7">
        <f>Table1_1[[#This Row],[Calculated sales]]-Table1_1[[#This Row],[Total cost]]</f>
        <v>11317.5</v>
      </c>
      <c r="V858" s="4">
        <f>IFERROR(Table1_1[[#This Row],[Profit/Loss]]/Table1_1[[#This Row],[Calculated sales]],0)</f>
        <v>0.28001484505474111</v>
      </c>
    </row>
    <row r="859" spans="1:22" x14ac:dyDescent="0.25">
      <c r="A859" s="4" t="s">
        <v>1008</v>
      </c>
      <c r="B859" s="5">
        <v>45733</v>
      </c>
      <c r="C859" s="4">
        <f>YEAR(Table1_1[[#This Row],[Order Dates]])</f>
        <v>2025</v>
      </c>
      <c r="D859" s="6">
        <f>MONTH(Table1_1[[#This Row],[Order Dates]])</f>
        <v>3</v>
      </c>
      <c r="E859" s="4" t="s">
        <v>56</v>
      </c>
      <c r="F859" s="4" t="s">
        <v>127</v>
      </c>
      <c r="G859" s="4" t="s">
        <v>58</v>
      </c>
      <c r="H859" s="4" t="str">
        <f>TRIM(CLEAN(SUBSTITUTE(Table1_1[[#This Row],[Salesperson]],"   "," ")))</f>
        <v>Karthik Raman</v>
      </c>
      <c r="I859" s="4" t="s">
        <v>52</v>
      </c>
      <c r="J859" s="4" t="s">
        <v>20</v>
      </c>
      <c r="K859" s="4" t="s">
        <v>109</v>
      </c>
      <c r="L859" s="4" t="s">
        <v>171</v>
      </c>
      <c r="M859" s="4" t="s">
        <v>49</v>
      </c>
      <c r="N859" s="4" t="s">
        <v>24</v>
      </c>
      <c r="O859" s="4">
        <v>7</v>
      </c>
      <c r="P859" s="7">
        <v>21210</v>
      </c>
      <c r="Q859" s="8">
        <v>0.12</v>
      </c>
      <c r="R859" s="7">
        <v>15900</v>
      </c>
      <c r="S859" s="7">
        <f>Table1_1[[#This Row],[Units Sold]]*Table1_1[[#This Row],[Unit Price]]*(1-Table1_1[[#This Row],[Discount %]])</f>
        <v>130653.6</v>
      </c>
      <c r="T859" s="7">
        <f>Table1_1[[#This Row],[Units Sold]]*Table1_1[[#This Row],[Unit Cost]]</f>
        <v>111300</v>
      </c>
      <c r="U859" s="7">
        <f>Table1_1[[#This Row],[Calculated sales]]-Table1_1[[#This Row],[Total cost]]</f>
        <v>19353.600000000006</v>
      </c>
      <c r="V859" s="4">
        <f>IFERROR(Table1_1[[#This Row],[Profit/Loss]]/Table1_1[[#This Row],[Calculated sales]],0)</f>
        <v>0.14812909862414816</v>
      </c>
    </row>
    <row r="860" spans="1:22" x14ac:dyDescent="0.25">
      <c r="A860" s="4" t="s">
        <v>1009</v>
      </c>
      <c r="B860" s="5">
        <v>45734</v>
      </c>
      <c r="C860" s="4">
        <f>YEAR(Table1_1[[#This Row],[Order Dates]])</f>
        <v>2025</v>
      </c>
      <c r="D860" s="6">
        <f>MONTH(Table1_1[[#This Row],[Order Dates]])</f>
        <v>3</v>
      </c>
      <c r="E860" s="4" t="s">
        <v>16</v>
      </c>
      <c r="F860" s="4" t="s">
        <v>51</v>
      </c>
      <c r="G860" s="4" t="s">
        <v>32</v>
      </c>
      <c r="H860" s="4" t="str">
        <f>TRIM(CLEAN(SUBSTITUTE(Table1_1[[#This Row],[Salesperson]],"   "," ")))</f>
        <v>Neha Deshpande</v>
      </c>
      <c r="I860" s="4" t="s">
        <v>52</v>
      </c>
      <c r="J860" s="4" t="s">
        <v>27</v>
      </c>
      <c r="K860" s="4" t="s">
        <v>53</v>
      </c>
      <c r="L860" s="4" t="s">
        <v>1676</v>
      </c>
      <c r="M860" s="4" t="s">
        <v>49</v>
      </c>
      <c r="N860" s="4" t="s">
        <v>24</v>
      </c>
      <c r="O860" s="4">
        <v>2</v>
      </c>
      <c r="P860" s="7">
        <v>38110</v>
      </c>
      <c r="Q860" s="8">
        <v>0</v>
      </c>
      <c r="R860" s="7">
        <v>27060</v>
      </c>
      <c r="S860" s="7">
        <f>Table1_1[[#This Row],[Units Sold]]*Table1_1[[#This Row],[Unit Price]]*(1-Table1_1[[#This Row],[Discount %]])</f>
        <v>76220</v>
      </c>
      <c r="T860" s="7">
        <f>Table1_1[[#This Row],[Units Sold]]*Table1_1[[#This Row],[Unit Cost]]</f>
        <v>54120</v>
      </c>
      <c r="U860" s="7">
        <f>Table1_1[[#This Row],[Calculated sales]]-Table1_1[[#This Row],[Total cost]]</f>
        <v>22100</v>
      </c>
      <c r="V860" s="4">
        <f>IFERROR(Table1_1[[#This Row],[Profit/Loss]]/Table1_1[[#This Row],[Calculated sales]],0)</f>
        <v>0.28995014431907634</v>
      </c>
    </row>
    <row r="861" spans="1:22" x14ac:dyDescent="0.25">
      <c r="A861" s="4" t="s">
        <v>1010</v>
      </c>
      <c r="B861" s="5">
        <v>45735</v>
      </c>
      <c r="C861" s="4">
        <f>YEAR(Table1_1[[#This Row],[Order Dates]])</f>
        <v>2025</v>
      </c>
      <c r="D861" s="6">
        <f>MONTH(Table1_1[[#This Row],[Order Dates]])</f>
        <v>3</v>
      </c>
      <c r="E861" s="4" t="s">
        <v>56</v>
      </c>
      <c r="F861" s="4" t="s">
        <v>57</v>
      </c>
      <c r="G861" s="4" t="s">
        <v>134</v>
      </c>
      <c r="H861" s="4" t="str">
        <f>TRIM(CLEAN(SUBSTITUTE(Table1_1[[#This Row],[Salesperson]],"   "," ")))</f>
        <v>Divya Nair</v>
      </c>
      <c r="I861" s="4" t="s">
        <v>92</v>
      </c>
      <c r="J861" s="4" t="s">
        <v>20</v>
      </c>
      <c r="K861" s="4" t="s">
        <v>33</v>
      </c>
      <c r="L861" s="4" t="s">
        <v>34</v>
      </c>
      <c r="M861" s="4" t="s">
        <v>40</v>
      </c>
      <c r="N861" s="4" t="s">
        <v>24</v>
      </c>
      <c r="O861" s="4">
        <v>8</v>
      </c>
      <c r="P861" s="7">
        <v>56140</v>
      </c>
      <c r="Q861" s="8">
        <v>0</v>
      </c>
      <c r="R861" s="7">
        <v>40530</v>
      </c>
      <c r="S861" s="7">
        <f>Table1_1[[#This Row],[Units Sold]]*Table1_1[[#This Row],[Unit Price]]*(1-Table1_1[[#This Row],[Discount %]])</f>
        <v>449120</v>
      </c>
      <c r="T861" s="7">
        <f>Table1_1[[#This Row],[Units Sold]]*Table1_1[[#This Row],[Unit Cost]]</f>
        <v>324240</v>
      </c>
      <c r="U861" s="7">
        <f>Table1_1[[#This Row],[Calculated sales]]-Table1_1[[#This Row],[Total cost]]</f>
        <v>124880</v>
      </c>
      <c r="V861" s="4">
        <f>IFERROR(Table1_1[[#This Row],[Profit/Loss]]/Table1_1[[#This Row],[Calculated sales]],0)</f>
        <v>0.27805486284289277</v>
      </c>
    </row>
    <row r="862" spans="1:22" x14ac:dyDescent="0.25">
      <c r="A862" s="4" t="s">
        <v>1011</v>
      </c>
      <c r="B862" s="5">
        <v>45736</v>
      </c>
      <c r="C862" s="4">
        <f>YEAR(Table1_1[[#This Row],[Order Dates]])</f>
        <v>2025</v>
      </c>
      <c r="D862" s="6">
        <f>MONTH(Table1_1[[#This Row],[Order Dates]])</f>
        <v>3</v>
      </c>
      <c r="E862" s="4" t="s">
        <v>16</v>
      </c>
      <c r="F862" s="4" t="s">
        <v>191</v>
      </c>
      <c r="G862" s="4" t="s">
        <v>26</v>
      </c>
      <c r="H862" s="4" t="str">
        <f>TRIM(CLEAN(SUBSTITUTE(Table1_1[[#This Row],[Salesperson]],"   "," ")))</f>
        <v>Prateek Shah</v>
      </c>
      <c r="I862" s="4" t="s">
        <v>19</v>
      </c>
      <c r="J862" s="4" t="s">
        <v>46</v>
      </c>
      <c r="K862" s="4" t="s">
        <v>100</v>
      </c>
      <c r="L862" s="4" t="s">
        <v>101</v>
      </c>
      <c r="M862" s="4" t="s">
        <v>23</v>
      </c>
      <c r="N862" s="4" t="s">
        <v>24</v>
      </c>
      <c r="O862" s="4">
        <v>40</v>
      </c>
      <c r="P862" s="7">
        <v>1900</v>
      </c>
      <c r="Q862" s="8">
        <v>0.08</v>
      </c>
      <c r="R862" s="7">
        <v>1230</v>
      </c>
      <c r="S862" s="7">
        <f>Table1_1[[#This Row],[Units Sold]]*Table1_1[[#This Row],[Unit Price]]*(1-Table1_1[[#This Row],[Discount %]])</f>
        <v>69920</v>
      </c>
      <c r="T862" s="7">
        <f>Table1_1[[#This Row],[Units Sold]]*Table1_1[[#This Row],[Unit Cost]]</f>
        <v>49200</v>
      </c>
      <c r="U862" s="7">
        <f>Table1_1[[#This Row],[Calculated sales]]-Table1_1[[#This Row],[Total cost]]</f>
        <v>20720</v>
      </c>
      <c r="V862" s="4">
        <f>IFERROR(Table1_1[[#This Row],[Profit/Loss]]/Table1_1[[#This Row],[Calculated sales]],0)</f>
        <v>0.29633867276887871</v>
      </c>
    </row>
    <row r="863" spans="1:22" x14ac:dyDescent="0.25">
      <c r="A863" s="4" t="s">
        <v>1012</v>
      </c>
      <c r="B863" s="5">
        <v>45736</v>
      </c>
      <c r="C863" s="4">
        <f>YEAR(Table1_1[[#This Row],[Order Dates]])</f>
        <v>2025</v>
      </c>
      <c r="D863" s="6">
        <f>MONTH(Table1_1[[#This Row],[Order Dates]])</f>
        <v>3</v>
      </c>
      <c r="E863" s="4" t="s">
        <v>16</v>
      </c>
      <c r="F863" s="4" t="s">
        <v>31</v>
      </c>
      <c r="G863" s="4" t="s">
        <v>18</v>
      </c>
      <c r="H863" s="4" t="str">
        <f>TRIM(CLEAN(SUBSTITUTE(Table1_1[[#This Row],[Salesperson]],"   "," ")))</f>
        <v>Imran Sheikh</v>
      </c>
      <c r="I863" s="4" t="s">
        <v>19</v>
      </c>
      <c r="J863" s="4" t="s">
        <v>27</v>
      </c>
      <c r="K863" s="4" t="s">
        <v>53</v>
      </c>
      <c r="L863" s="4" t="s">
        <v>1676</v>
      </c>
      <c r="M863" s="4" t="s">
        <v>23</v>
      </c>
      <c r="N863" s="4" t="s">
        <v>119</v>
      </c>
      <c r="O863" s="4">
        <v>3</v>
      </c>
      <c r="P863" s="7">
        <v>34390</v>
      </c>
      <c r="Q863" s="8">
        <v>0.08</v>
      </c>
      <c r="R863" s="7">
        <v>26280</v>
      </c>
      <c r="S863" s="7">
        <f>Table1_1[[#This Row],[Units Sold]]*Table1_1[[#This Row],[Unit Price]]*(1-Table1_1[[#This Row],[Discount %]])</f>
        <v>94916.400000000009</v>
      </c>
      <c r="T863" s="7">
        <f>Table1_1[[#This Row],[Units Sold]]*Table1_1[[#This Row],[Unit Cost]]</f>
        <v>78840</v>
      </c>
      <c r="U863" s="7">
        <f>Table1_1[[#This Row],[Calculated sales]]-Table1_1[[#This Row],[Total cost]]</f>
        <v>16076.400000000009</v>
      </c>
      <c r="V863" s="4">
        <f>IFERROR(Table1_1[[#This Row],[Profit/Loss]]/Table1_1[[#This Row],[Calculated sales]],0)</f>
        <v>0.16937431255294141</v>
      </c>
    </row>
    <row r="864" spans="1:22" x14ac:dyDescent="0.25">
      <c r="A864" s="4" t="s">
        <v>1013</v>
      </c>
      <c r="B864" s="5">
        <v>45737</v>
      </c>
      <c r="C864" s="4">
        <f>YEAR(Table1_1[[#This Row],[Order Dates]])</f>
        <v>2025</v>
      </c>
      <c r="D864" s="6">
        <f>MONTH(Table1_1[[#This Row],[Order Dates]])</f>
        <v>3</v>
      </c>
      <c r="E864" s="4" t="s">
        <v>76</v>
      </c>
      <c r="F864" s="4" t="s">
        <v>99</v>
      </c>
      <c r="G864" s="4" t="s">
        <v>78</v>
      </c>
      <c r="H864" s="4" t="str">
        <f>TRIM(CLEAN(SUBSTITUTE(Table1_1[[#This Row],[Salesperson]],"   "," ")))</f>
        <v>Pooja Chouhan</v>
      </c>
      <c r="I864" s="4" t="s">
        <v>92</v>
      </c>
      <c r="J864" s="4" t="s">
        <v>59</v>
      </c>
      <c r="K864" s="4" t="s">
        <v>69</v>
      </c>
      <c r="L864" s="4" t="s">
        <v>70</v>
      </c>
      <c r="M864" s="4" t="s">
        <v>40</v>
      </c>
      <c r="N864" s="4" t="s">
        <v>24</v>
      </c>
      <c r="O864" s="4">
        <v>10</v>
      </c>
      <c r="P864" s="7">
        <v>27520</v>
      </c>
      <c r="Q864" s="8">
        <v>0.12</v>
      </c>
      <c r="R864" s="7">
        <v>18400</v>
      </c>
      <c r="S864" s="7">
        <f>Table1_1[[#This Row],[Units Sold]]*Table1_1[[#This Row],[Unit Price]]*(1-Table1_1[[#This Row],[Discount %]])</f>
        <v>242176</v>
      </c>
      <c r="T864" s="7">
        <f>Table1_1[[#This Row],[Units Sold]]*Table1_1[[#This Row],[Unit Cost]]</f>
        <v>184000</v>
      </c>
      <c r="U864" s="7">
        <f>Table1_1[[#This Row],[Calculated sales]]-Table1_1[[#This Row],[Total cost]]</f>
        <v>58176</v>
      </c>
      <c r="V864" s="4">
        <f>IFERROR(Table1_1[[#This Row],[Profit/Loss]]/Table1_1[[#This Row],[Calculated sales]],0)</f>
        <v>0.24022198731501057</v>
      </c>
    </row>
    <row r="865" spans="1:22" x14ac:dyDescent="0.25">
      <c r="A865" s="4" t="s">
        <v>1014</v>
      </c>
      <c r="B865" s="5">
        <v>45739</v>
      </c>
      <c r="C865" s="4">
        <f>YEAR(Table1_1[[#This Row],[Order Dates]])</f>
        <v>2025</v>
      </c>
      <c r="D865" s="6">
        <f>MONTH(Table1_1[[#This Row],[Order Dates]])</f>
        <v>3</v>
      </c>
      <c r="E865" s="4" t="s">
        <v>16</v>
      </c>
      <c r="F865" s="4" t="s">
        <v>31</v>
      </c>
      <c r="G865" s="4" t="s">
        <v>32</v>
      </c>
      <c r="H865" s="4" t="str">
        <f>TRIM(CLEAN(SUBSTITUTE(Table1_1[[#This Row],[Salesperson]],"   "," ")))</f>
        <v>Neha Deshpande</v>
      </c>
      <c r="I865" s="4" t="s">
        <v>92</v>
      </c>
      <c r="J865" s="4" t="s">
        <v>59</v>
      </c>
      <c r="K865" s="4" t="s">
        <v>73</v>
      </c>
      <c r="L865" s="4" t="s">
        <v>113</v>
      </c>
      <c r="M865" s="4" t="s">
        <v>40</v>
      </c>
      <c r="N865" s="4" t="s">
        <v>24</v>
      </c>
      <c r="O865" s="4">
        <v>2</v>
      </c>
      <c r="P865" s="7">
        <v>33720</v>
      </c>
      <c r="Q865" s="8">
        <v>0</v>
      </c>
      <c r="R865" s="7">
        <v>25040</v>
      </c>
      <c r="S865" s="7">
        <f>Table1_1[[#This Row],[Units Sold]]*Table1_1[[#This Row],[Unit Price]]*(1-Table1_1[[#This Row],[Discount %]])</f>
        <v>67440</v>
      </c>
      <c r="T865" s="7">
        <f>Table1_1[[#This Row],[Units Sold]]*Table1_1[[#This Row],[Unit Cost]]</f>
        <v>50080</v>
      </c>
      <c r="U865" s="7">
        <f>Table1_1[[#This Row],[Calculated sales]]-Table1_1[[#This Row],[Total cost]]</f>
        <v>17360</v>
      </c>
      <c r="V865" s="4">
        <f>IFERROR(Table1_1[[#This Row],[Profit/Loss]]/Table1_1[[#This Row],[Calculated sales]],0)</f>
        <v>0.25741399762752076</v>
      </c>
    </row>
    <row r="866" spans="1:22" x14ac:dyDescent="0.25">
      <c r="A866" s="4" t="s">
        <v>1015</v>
      </c>
      <c r="B866" s="5">
        <v>45739</v>
      </c>
      <c r="C866" s="4">
        <f>YEAR(Table1_1[[#This Row],[Order Dates]])</f>
        <v>2025</v>
      </c>
      <c r="D866" s="6">
        <f>MONTH(Table1_1[[#This Row],[Order Dates]])</f>
        <v>3</v>
      </c>
      <c r="E866" s="4" t="s">
        <v>56</v>
      </c>
      <c r="F866" s="4" t="s">
        <v>57</v>
      </c>
      <c r="G866" s="4" t="s">
        <v>134</v>
      </c>
      <c r="H866" s="4" t="str">
        <f>TRIM(CLEAN(SUBSTITUTE(Table1_1[[#This Row],[Salesperson]],"   "," ")))</f>
        <v>Divya Nair</v>
      </c>
      <c r="I866" s="4" t="s">
        <v>19</v>
      </c>
      <c r="J866" s="4" t="s">
        <v>83</v>
      </c>
      <c r="K866" s="4" t="s">
        <v>84</v>
      </c>
      <c r="L866" s="4" t="s">
        <v>1671</v>
      </c>
      <c r="M866" s="4" t="s">
        <v>23</v>
      </c>
      <c r="N866" s="4" t="s">
        <v>94</v>
      </c>
      <c r="O866" s="4">
        <v>14</v>
      </c>
      <c r="P866" s="7">
        <v>2430</v>
      </c>
      <c r="Q866" s="8">
        <v>0.15</v>
      </c>
      <c r="R866" s="7">
        <v>1820</v>
      </c>
      <c r="S866" s="7">
        <f>Table1_1[[#This Row],[Units Sold]]*Table1_1[[#This Row],[Unit Price]]*(1-Table1_1[[#This Row],[Discount %]])</f>
        <v>28917</v>
      </c>
      <c r="T866" s="7">
        <f>Table1_1[[#This Row],[Units Sold]]*Table1_1[[#This Row],[Unit Cost]]</f>
        <v>25480</v>
      </c>
      <c r="U866" s="7">
        <f>Table1_1[[#This Row],[Calculated sales]]-Table1_1[[#This Row],[Total cost]]</f>
        <v>3437</v>
      </c>
      <c r="V866" s="4">
        <f>IFERROR(Table1_1[[#This Row],[Profit/Loss]]/Table1_1[[#This Row],[Calculated sales]],0)</f>
        <v>0.11885741951101428</v>
      </c>
    </row>
    <row r="867" spans="1:22" x14ac:dyDescent="0.25">
      <c r="A867" s="4" t="s">
        <v>1016</v>
      </c>
      <c r="B867" s="5">
        <v>45740</v>
      </c>
      <c r="C867" s="4">
        <f>YEAR(Table1_1[[#This Row],[Order Dates]])</f>
        <v>2025</v>
      </c>
      <c r="D867" s="6">
        <f>MONTH(Table1_1[[#This Row],[Order Dates]])</f>
        <v>3</v>
      </c>
      <c r="E867" s="4" t="s">
        <v>16</v>
      </c>
      <c r="F867" s="4" t="s">
        <v>82</v>
      </c>
      <c r="G867" s="4" t="s">
        <v>32</v>
      </c>
      <c r="H867" s="4" t="str">
        <f>TRIM(CLEAN(SUBSTITUTE(Table1_1[[#This Row],[Salesperson]],"   "," ")))</f>
        <v>Neha Deshpande</v>
      </c>
      <c r="I867" s="4" t="s">
        <v>19</v>
      </c>
      <c r="J867" s="4" t="s">
        <v>20</v>
      </c>
      <c r="K867" s="4" t="s">
        <v>33</v>
      </c>
      <c r="L867" s="4" t="s">
        <v>34</v>
      </c>
      <c r="M867" s="4" t="s">
        <v>40</v>
      </c>
      <c r="N867" s="4" t="s">
        <v>24</v>
      </c>
      <c r="O867" s="4">
        <v>4</v>
      </c>
      <c r="P867" s="7">
        <v>54320</v>
      </c>
      <c r="Q867" s="8">
        <v>0.08</v>
      </c>
      <c r="R867" s="7">
        <v>34980</v>
      </c>
      <c r="S867" s="7">
        <f>Table1_1[[#This Row],[Units Sold]]*Table1_1[[#This Row],[Unit Price]]*(1-Table1_1[[#This Row],[Discount %]])</f>
        <v>199897.60000000001</v>
      </c>
      <c r="T867" s="7">
        <f>Table1_1[[#This Row],[Units Sold]]*Table1_1[[#This Row],[Unit Cost]]</f>
        <v>139920</v>
      </c>
      <c r="U867" s="7">
        <f>Table1_1[[#This Row],[Calculated sales]]-Table1_1[[#This Row],[Total cost]]</f>
        <v>59977.600000000006</v>
      </c>
      <c r="V867" s="4">
        <f>IFERROR(Table1_1[[#This Row],[Profit/Loss]]/Table1_1[[#This Row],[Calculated sales]],0)</f>
        <v>0.30004162131011081</v>
      </c>
    </row>
    <row r="868" spans="1:22" x14ac:dyDescent="0.25">
      <c r="A868" s="4" t="s">
        <v>1017</v>
      </c>
      <c r="B868" s="5">
        <v>45740</v>
      </c>
      <c r="C868" s="4">
        <f>YEAR(Table1_1[[#This Row],[Order Dates]])</f>
        <v>2025</v>
      </c>
      <c r="D868" s="6">
        <f>MONTH(Table1_1[[#This Row],[Order Dates]])</f>
        <v>3</v>
      </c>
      <c r="E868" s="4" t="s">
        <v>42</v>
      </c>
      <c r="F868" s="4" t="s">
        <v>43</v>
      </c>
      <c r="G868" s="4" t="s">
        <v>64</v>
      </c>
      <c r="H868" s="4" t="str">
        <f>TRIM(CLEAN(SUBSTITUTE(Table1_1[[#This Row],[Salesperson]],"   "," ")))</f>
        <v>Aditya Verma</v>
      </c>
      <c r="I868" s="4" t="s">
        <v>45</v>
      </c>
      <c r="J868" s="4" t="s">
        <v>27</v>
      </c>
      <c r="K868" s="4" t="s">
        <v>28</v>
      </c>
      <c r="L868" s="4" t="s">
        <v>1668</v>
      </c>
      <c r="M868" s="4" t="s">
        <v>40</v>
      </c>
      <c r="N868" s="4" t="s">
        <v>24</v>
      </c>
      <c r="O868" s="4">
        <v>5</v>
      </c>
      <c r="P868" s="7">
        <v>27140</v>
      </c>
      <c r="Q868" s="8">
        <v>0.05</v>
      </c>
      <c r="R868" s="7">
        <v>17940</v>
      </c>
      <c r="S868" s="7">
        <f>Table1_1[[#This Row],[Units Sold]]*Table1_1[[#This Row],[Unit Price]]*(1-Table1_1[[#This Row],[Discount %]])</f>
        <v>128915</v>
      </c>
      <c r="T868" s="7">
        <f>Table1_1[[#This Row],[Units Sold]]*Table1_1[[#This Row],[Unit Cost]]</f>
        <v>89700</v>
      </c>
      <c r="U868" s="7">
        <f>Table1_1[[#This Row],[Calculated sales]]-Table1_1[[#This Row],[Total cost]]</f>
        <v>39215</v>
      </c>
      <c r="V868" s="4">
        <f>IFERROR(Table1_1[[#This Row],[Profit/Loss]]/Table1_1[[#This Row],[Calculated sales]],0)</f>
        <v>0.30419268510258696</v>
      </c>
    </row>
    <row r="869" spans="1:22" x14ac:dyDescent="0.25">
      <c r="A869" s="4" t="s">
        <v>1018</v>
      </c>
      <c r="B869" s="5">
        <v>45741</v>
      </c>
      <c r="C869" s="4">
        <f>YEAR(Table1_1[[#This Row],[Order Dates]])</f>
        <v>2025</v>
      </c>
      <c r="D869" s="6">
        <f>MONTH(Table1_1[[#This Row],[Order Dates]])</f>
        <v>3</v>
      </c>
      <c r="E869" s="4" t="s">
        <v>42</v>
      </c>
      <c r="F869" s="4" t="s">
        <v>130</v>
      </c>
      <c r="G869" s="4" t="s">
        <v>44</v>
      </c>
      <c r="H869" s="4" t="str">
        <f>TRIM(CLEAN(SUBSTITUTE(Table1_1[[#This Row],[Salesperson]],"   "," ")))</f>
        <v>Simran Kaur</v>
      </c>
      <c r="I869" s="4" t="s">
        <v>45</v>
      </c>
      <c r="J869" s="4" t="s">
        <v>46</v>
      </c>
      <c r="K869" s="4" t="s">
        <v>179</v>
      </c>
      <c r="L869" s="4" t="s">
        <v>236</v>
      </c>
      <c r="M869" s="4" t="s">
        <v>40</v>
      </c>
      <c r="N869" s="4" t="s">
        <v>24</v>
      </c>
      <c r="O869" s="4">
        <v>38</v>
      </c>
      <c r="P869" s="7">
        <v>2300</v>
      </c>
      <c r="Q869" s="8">
        <v>0.15</v>
      </c>
      <c r="R869" s="7">
        <v>1320</v>
      </c>
      <c r="S869" s="7">
        <f>Table1_1[[#This Row],[Units Sold]]*Table1_1[[#This Row],[Unit Price]]*(1-Table1_1[[#This Row],[Discount %]])</f>
        <v>74290</v>
      </c>
      <c r="T869" s="7">
        <f>Table1_1[[#This Row],[Units Sold]]*Table1_1[[#This Row],[Unit Cost]]</f>
        <v>50160</v>
      </c>
      <c r="U869" s="7">
        <f>Table1_1[[#This Row],[Calculated sales]]-Table1_1[[#This Row],[Total cost]]</f>
        <v>24130</v>
      </c>
      <c r="V869" s="4">
        <f>IFERROR(Table1_1[[#This Row],[Profit/Loss]]/Table1_1[[#This Row],[Calculated sales]],0)</f>
        <v>0.32480818414322249</v>
      </c>
    </row>
    <row r="870" spans="1:22" x14ac:dyDescent="0.25">
      <c r="A870" s="4" t="s">
        <v>1019</v>
      </c>
      <c r="B870" s="5">
        <v>45741</v>
      </c>
      <c r="C870" s="4">
        <f>YEAR(Table1_1[[#This Row],[Order Dates]])</f>
        <v>2025</v>
      </c>
      <c r="D870" s="6">
        <f>MONTH(Table1_1[[#This Row],[Order Dates]])</f>
        <v>3</v>
      </c>
      <c r="E870" s="4" t="s">
        <v>56</v>
      </c>
      <c r="F870" s="4" t="s">
        <v>133</v>
      </c>
      <c r="G870" s="4" t="s">
        <v>134</v>
      </c>
      <c r="H870" s="4" t="str">
        <f>TRIM(CLEAN(SUBSTITUTE(Table1_1[[#This Row],[Salesperson]],"   "," ")))</f>
        <v>Divya Nair</v>
      </c>
      <c r="I870" s="4" t="s">
        <v>45</v>
      </c>
      <c r="J870" s="4" t="s">
        <v>27</v>
      </c>
      <c r="K870" s="4" t="s">
        <v>79</v>
      </c>
      <c r="L870" s="4" t="s">
        <v>262</v>
      </c>
      <c r="M870" s="4" t="s">
        <v>49</v>
      </c>
      <c r="N870" s="4" t="s">
        <v>24</v>
      </c>
      <c r="O870" s="4">
        <v>7</v>
      </c>
      <c r="P870" s="7">
        <v>2510</v>
      </c>
      <c r="Q870" s="8">
        <v>0.2</v>
      </c>
      <c r="R870" s="7">
        <v>1410</v>
      </c>
      <c r="S870" s="7">
        <f>Table1_1[[#This Row],[Units Sold]]*Table1_1[[#This Row],[Unit Price]]*(1-Table1_1[[#This Row],[Discount %]])</f>
        <v>14056</v>
      </c>
      <c r="T870" s="7">
        <f>Table1_1[[#This Row],[Units Sold]]*Table1_1[[#This Row],[Unit Cost]]</f>
        <v>9870</v>
      </c>
      <c r="U870" s="7">
        <f>Table1_1[[#This Row],[Calculated sales]]-Table1_1[[#This Row],[Total cost]]</f>
        <v>4186</v>
      </c>
      <c r="V870" s="4">
        <f>IFERROR(Table1_1[[#This Row],[Profit/Loss]]/Table1_1[[#This Row],[Calculated sales]],0)</f>
        <v>0.29780876494023906</v>
      </c>
    </row>
    <row r="871" spans="1:22" x14ac:dyDescent="0.25">
      <c r="A871" s="4" t="s">
        <v>1020</v>
      </c>
      <c r="B871" s="5">
        <v>45742</v>
      </c>
      <c r="C871" s="4">
        <f>YEAR(Table1_1[[#This Row],[Order Dates]])</f>
        <v>2025</v>
      </c>
      <c r="D871" s="6">
        <f>MONTH(Table1_1[[#This Row],[Order Dates]])</f>
        <v>3</v>
      </c>
      <c r="E871" s="4" t="s">
        <v>16</v>
      </c>
      <c r="F871" s="4" t="s">
        <v>31</v>
      </c>
      <c r="G871" s="4" t="s">
        <v>32</v>
      </c>
      <c r="H871" s="4" t="str">
        <f>TRIM(CLEAN(SUBSTITUTE(Table1_1[[#This Row],[Salesperson]],"   "," ")))</f>
        <v>Neha Deshpande</v>
      </c>
      <c r="I871" s="4" t="s">
        <v>19</v>
      </c>
      <c r="J871" s="4" t="s">
        <v>20</v>
      </c>
      <c r="K871" s="4" t="s">
        <v>21</v>
      </c>
      <c r="L871" s="4" t="s">
        <v>1667</v>
      </c>
      <c r="M871" s="4" t="s">
        <v>23</v>
      </c>
      <c r="N871" s="4" t="s">
        <v>24</v>
      </c>
      <c r="O871" s="4">
        <v>18</v>
      </c>
      <c r="P871" s="7">
        <v>1790</v>
      </c>
      <c r="Q871" s="8">
        <v>0.15</v>
      </c>
      <c r="R871" s="7">
        <v>1400</v>
      </c>
      <c r="S871" s="7">
        <f>Table1_1[[#This Row],[Units Sold]]*Table1_1[[#This Row],[Unit Price]]*(1-Table1_1[[#This Row],[Discount %]])</f>
        <v>27387</v>
      </c>
      <c r="T871" s="7">
        <f>Table1_1[[#This Row],[Units Sold]]*Table1_1[[#This Row],[Unit Cost]]</f>
        <v>25200</v>
      </c>
      <c r="U871" s="7">
        <f>Table1_1[[#This Row],[Calculated sales]]-Table1_1[[#This Row],[Total cost]]</f>
        <v>2187</v>
      </c>
      <c r="V871" s="4">
        <f>IFERROR(Table1_1[[#This Row],[Profit/Loss]]/Table1_1[[#This Row],[Calculated sales]],0)</f>
        <v>7.9855405849490635E-2</v>
      </c>
    </row>
    <row r="872" spans="1:22" x14ac:dyDescent="0.25">
      <c r="A872" s="4" t="s">
        <v>1021</v>
      </c>
      <c r="B872" s="5">
        <v>45742</v>
      </c>
      <c r="C872" s="4">
        <f>YEAR(Table1_1[[#This Row],[Order Dates]])</f>
        <v>2025</v>
      </c>
      <c r="D872" s="6">
        <f>MONTH(Table1_1[[#This Row],[Order Dates]])</f>
        <v>3</v>
      </c>
      <c r="E872" s="4" t="s">
        <v>76</v>
      </c>
      <c r="F872" s="4" t="s">
        <v>150</v>
      </c>
      <c r="G872" s="4" t="s">
        <v>78</v>
      </c>
      <c r="H872" s="4" t="str">
        <f>TRIM(CLEAN(SUBSTITUTE(Table1_1[[#This Row],[Salesperson]],"   "," ")))</f>
        <v>Pooja Chouhan</v>
      </c>
      <c r="I872" s="4" t="s">
        <v>19</v>
      </c>
      <c r="J872" s="4" t="s">
        <v>59</v>
      </c>
      <c r="K872" s="4" t="s">
        <v>154</v>
      </c>
      <c r="L872" s="4" t="s">
        <v>249</v>
      </c>
      <c r="M872" s="4" t="s">
        <v>40</v>
      </c>
      <c r="N872" s="4" t="s">
        <v>24</v>
      </c>
      <c r="O872" s="4">
        <v>4</v>
      </c>
      <c r="P872" s="7">
        <v>6770</v>
      </c>
      <c r="Q872" s="8">
        <v>0.2</v>
      </c>
      <c r="R872" s="7">
        <v>4340</v>
      </c>
      <c r="S872" s="7">
        <f>Table1_1[[#This Row],[Units Sold]]*Table1_1[[#This Row],[Unit Price]]*(1-Table1_1[[#This Row],[Discount %]])</f>
        <v>21664</v>
      </c>
      <c r="T872" s="7">
        <f>Table1_1[[#This Row],[Units Sold]]*Table1_1[[#This Row],[Unit Cost]]</f>
        <v>17360</v>
      </c>
      <c r="U872" s="7">
        <f>Table1_1[[#This Row],[Calculated sales]]-Table1_1[[#This Row],[Total cost]]</f>
        <v>4304</v>
      </c>
      <c r="V872" s="4">
        <f>IFERROR(Table1_1[[#This Row],[Profit/Loss]]/Table1_1[[#This Row],[Calculated sales]],0)</f>
        <v>0.19867060561299851</v>
      </c>
    </row>
    <row r="873" spans="1:22" x14ac:dyDescent="0.25">
      <c r="A873" s="4" t="s">
        <v>1022</v>
      </c>
      <c r="B873" s="5">
        <v>45742</v>
      </c>
      <c r="C873" s="4">
        <f>YEAR(Table1_1[[#This Row],[Order Dates]])</f>
        <v>2025</v>
      </c>
      <c r="D873" s="6">
        <f>MONTH(Table1_1[[#This Row],[Order Dates]])</f>
        <v>3</v>
      </c>
      <c r="E873" s="4" t="s">
        <v>42</v>
      </c>
      <c r="F873" s="4" t="s">
        <v>130</v>
      </c>
      <c r="G873" s="4" t="s">
        <v>64</v>
      </c>
      <c r="H873" s="4" t="str">
        <f>TRIM(CLEAN(SUBSTITUTE(Table1_1[[#This Row],[Salesperson]],"   "," ")))</f>
        <v>Aditya Verma</v>
      </c>
      <c r="I873" s="4" t="s">
        <v>19</v>
      </c>
      <c r="J873" s="4" t="s">
        <v>46</v>
      </c>
      <c r="K873" s="4" t="s">
        <v>179</v>
      </c>
      <c r="L873" s="4" t="s">
        <v>221</v>
      </c>
      <c r="M873" s="4" t="s">
        <v>23</v>
      </c>
      <c r="N873" s="4" t="s">
        <v>119</v>
      </c>
      <c r="O873" s="4">
        <v>16</v>
      </c>
      <c r="P873" s="7">
        <v>1640</v>
      </c>
      <c r="Q873" s="8">
        <v>0.08</v>
      </c>
      <c r="R873" s="7">
        <v>970</v>
      </c>
      <c r="S873" s="7">
        <f>Table1_1[[#This Row],[Units Sold]]*Table1_1[[#This Row],[Unit Price]]*(1-Table1_1[[#This Row],[Discount %]])</f>
        <v>24140.799999999999</v>
      </c>
      <c r="T873" s="7">
        <f>Table1_1[[#This Row],[Units Sold]]*Table1_1[[#This Row],[Unit Cost]]</f>
        <v>15520</v>
      </c>
      <c r="U873" s="7">
        <f>Table1_1[[#This Row],[Calculated sales]]-Table1_1[[#This Row],[Total cost]]</f>
        <v>8620.7999999999993</v>
      </c>
      <c r="V873" s="4">
        <f>IFERROR(Table1_1[[#This Row],[Profit/Loss]]/Table1_1[[#This Row],[Calculated sales]],0)</f>
        <v>0.3571049840933192</v>
      </c>
    </row>
    <row r="874" spans="1:22" x14ac:dyDescent="0.25">
      <c r="A874" s="4" t="s">
        <v>1023</v>
      </c>
      <c r="B874" s="5">
        <v>45743</v>
      </c>
      <c r="C874" s="4">
        <f>YEAR(Table1_1[[#This Row],[Order Dates]])</f>
        <v>2025</v>
      </c>
      <c r="D874" s="6">
        <f>MONTH(Table1_1[[#This Row],[Order Dates]])</f>
        <v>3</v>
      </c>
      <c r="E874" s="4" t="s">
        <v>16</v>
      </c>
      <c r="F874" s="4" t="s">
        <v>153</v>
      </c>
      <c r="G874" s="4" t="s">
        <v>18</v>
      </c>
      <c r="H874" s="4" t="str">
        <f>TRIM(CLEAN(SUBSTITUTE(Table1_1[[#This Row],[Salesperson]],"   "," ")))</f>
        <v>Imran Sheikh</v>
      </c>
      <c r="I874" s="4" t="s">
        <v>92</v>
      </c>
      <c r="J874" s="4" t="s">
        <v>59</v>
      </c>
      <c r="K874" s="4" t="s">
        <v>69</v>
      </c>
      <c r="L874" s="4" t="s">
        <v>121</v>
      </c>
      <c r="M874" s="4" t="s">
        <v>23</v>
      </c>
      <c r="N874" s="4" t="s">
        <v>24</v>
      </c>
      <c r="O874" s="4">
        <v>16</v>
      </c>
      <c r="P874" s="7">
        <v>3440</v>
      </c>
      <c r="Q874" s="8">
        <v>0.15</v>
      </c>
      <c r="R874" s="7">
        <v>2680</v>
      </c>
      <c r="S874" s="7">
        <f>Table1_1[[#This Row],[Units Sold]]*Table1_1[[#This Row],[Unit Price]]*(1-Table1_1[[#This Row],[Discount %]])</f>
        <v>46784</v>
      </c>
      <c r="T874" s="7">
        <f>Table1_1[[#This Row],[Units Sold]]*Table1_1[[#This Row],[Unit Cost]]</f>
        <v>42880</v>
      </c>
      <c r="U874" s="7">
        <f>Table1_1[[#This Row],[Calculated sales]]-Table1_1[[#This Row],[Total cost]]</f>
        <v>3904</v>
      </c>
      <c r="V874" s="4">
        <f>IFERROR(Table1_1[[#This Row],[Profit/Loss]]/Table1_1[[#This Row],[Calculated sales]],0)</f>
        <v>8.3447332421340628E-2</v>
      </c>
    </row>
    <row r="875" spans="1:22" x14ac:dyDescent="0.25">
      <c r="A875" s="4" t="s">
        <v>1024</v>
      </c>
      <c r="B875" s="5">
        <v>45743</v>
      </c>
      <c r="C875" s="4">
        <f>YEAR(Table1_1[[#This Row],[Order Dates]])</f>
        <v>2025</v>
      </c>
      <c r="D875" s="6">
        <f>MONTH(Table1_1[[#This Row],[Order Dates]])</f>
        <v>3</v>
      </c>
      <c r="E875" s="4" t="s">
        <v>56</v>
      </c>
      <c r="F875" s="4" t="s">
        <v>72</v>
      </c>
      <c r="G875" s="4" t="s">
        <v>134</v>
      </c>
      <c r="H875" s="4" t="str">
        <f>TRIM(CLEAN(SUBSTITUTE(Table1_1[[#This Row],[Salesperson]],"   "," ")))</f>
        <v>Divya Nair</v>
      </c>
      <c r="I875" s="4" t="s">
        <v>52</v>
      </c>
      <c r="J875" s="4" t="s">
        <v>46</v>
      </c>
      <c r="K875" s="4" t="s">
        <v>47</v>
      </c>
      <c r="L875" s="4" t="s">
        <v>48</v>
      </c>
      <c r="M875" s="4" t="s">
        <v>49</v>
      </c>
      <c r="N875" s="4" t="s">
        <v>24</v>
      </c>
      <c r="O875" s="4">
        <v>28</v>
      </c>
      <c r="P875" s="7">
        <v>1720</v>
      </c>
      <c r="Q875" s="8">
        <v>0.1</v>
      </c>
      <c r="R875" s="7">
        <v>1080</v>
      </c>
      <c r="S875" s="7">
        <f>Table1_1[[#This Row],[Units Sold]]*Table1_1[[#This Row],[Unit Price]]*(1-Table1_1[[#This Row],[Discount %]])</f>
        <v>43344</v>
      </c>
      <c r="T875" s="7">
        <f>Table1_1[[#This Row],[Units Sold]]*Table1_1[[#This Row],[Unit Cost]]</f>
        <v>30240</v>
      </c>
      <c r="U875" s="7">
        <f>Table1_1[[#This Row],[Calculated sales]]-Table1_1[[#This Row],[Total cost]]</f>
        <v>13104</v>
      </c>
      <c r="V875" s="4">
        <f>IFERROR(Table1_1[[#This Row],[Profit/Loss]]/Table1_1[[#This Row],[Calculated sales]],0)</f>
        <v>0.30232558139534882</v>
      </c>
    </row>
    <row r="876" spans="1:22" x14ac:dyDescent="0.25">
      <c r="A876" s="4" t="s">
        <v>1025</v>
      </c>
      <c r="B876" s="5">
        <v>45743</v>
      </c>
      <c r="C876" s="4">
        <f>YEAR(Table1_1[[#This Row],[Order Dates]])</f>
        <v>2025</v>
      </c>
      <c r="D876" s="6">
        <f>MONTH(Table1_1[[#This Row],[Order Dates]])</f>
        <v>3</v>
      </c>
      <c r="E876" s="4" t="s">
        <v>16</v>
      </c>
      <c r="F876" s="4" t="s">
        <v>191</v>
      </c>
      <c r="G876" s="4" t="s">
        <v>26</v>
      </c>
      <c r="H876" s="4" t="str">
        <f>TRIM(CLEAN(SUBSTITUTE(Table1_1[[#This Row],[Salesperson]],"   "," ")))</f>
        <v>Prateek Shah</v>
      </c>
      <c r="I876" s="4" t="s">
        <v>52</v>
      </c>
      <c r="J876" s="4" t="s">
        <v>59</v>
      </c>
      <c r="K876" s="4" t="s">
        <v>73</v>
      </c>
      <c r="L876" s="4" t="s">
        <v>74</v>
      </c>
      <c r="M876" s="4" t="s">
        <v>23</v>
      </c>
      <c r="N876" s="4" t="s">
        <v>24</v>
      </c>
      <c r="O876" s="4">
        <v>4</v>
      </c>
      <c r="P876" s="7">
        <v>44020</v>
      </c>
      <c r="Q876" s="8">
        <v>0</v>
      </c>
      <c r="R876" s="7">
        <v>28190</v>
      </c>
      <c r="S876" s="7">
        <f>Table1_1[[#This Row],[Units Sold]]*Table1_1[[#This Row],[Unit Price]]*(1-Table1_1[[#This Row],[Discount %]])</f>
        <v>176080</v>
      </c>
      <c r="T876" s="7">
        <f>Table1_1[[#This Row],[Units Sold]]*Table1_1[[#This Row],[Unit Cost]]</f>
        <v>112760</v>
      </c>
      <c r="U876" s="7">
        <f>Table1_1[[#This Row],[Calculated sales]]-Table1_1[[#This Row],[Total cost]]</f>
        <v>63320</v>
      </c>
      <c r="V876" s="4">
        <f>IFERROR(Table1_1[[#This Row],[Profit/Loss]]/Table1_1[[#This Row],[Calculated sales]],0)</f>
        <v>0.35960926851431169</v>
      </c>
    </row>
    <row r="877" spans="1:22" x14ac:dyDescent="0.25">
      <c r="A877" s="4" t="s">
        <v>1026</v>
      </c>
      <c r="B877" s="5">
        <v>45743</v>
      </c>
      <c r="C877" s="4">
        <f>YEAR(Table1_1[[#This Row],[Order Dates]])</f>
        <v>2025</v>
      </c>
      <c r="D877" s="6">
        <f>MONTH(Table1_1[[#This Row],[Order Dates]])</f>
        <v>3</v>
      </c>
      <c r="E877" s="4" t="s">
        <v>56</v>
      </c>
      <c r="F877" s="4" t="s">
        <v>127</v>
      </c>
      <c r="G877" s="4" t="s">
        <v>91</v>
      </c>
      <c r="H877" s="4" t="str">
        <f>TRIM(CLEAN(SUBSTITUTE(Table1_1[[#This Row],[Salesperson]],"   "," ")))</f>
        <v>Anjali Menon</v>
      </c>
      <c r="I877" s="4" t="s">
        <v>92</v>
      </c>
      <c r="J877" s="4" t="s">
        <v>59</v>
      </c>
      <c r="K877" s="4" t="s">
        <v>69</v>
      </c>
      <c r="L877" s="4" t="s">
        <v>121</v>
      </c>
      <c r="M877" s="4" t="s">
        <v>40</v>
      </c>
      <c r="N877" s="4" t="s">
        <v>24</v>
      </c>
      <c r="O877" s="4">
        <v>6</v>
      </c>
      <c r="P877" s="7">
        <v>3410</v>
      </c>
      <c r="Q877" s="8">
        <v>0.25</v>
      </c>
      <c r="R877" s="7">
        <v>2260</v>
      </c>
      <c r="S877" s="7">
        <f>Table1_1[[#This Row],[Units Sold]]*Table1_1[[#This Row],[Unit Price]]*(1-Table1_1[[#This Row],[Discount %]])</f>
        <v>15345</v>
      </c>
      <c r="T877" s="7">
        <f>Table1_1[[#This Row],[Units Sold]]*Table1_1[[#This Row],[Unit Cost]]</f>
        <v>13560</v>
      </c>
      <c r="U877" s="7">
        <f>Table1_1[[#This Row],[Calculated sales]]-Table1_1[[#This Row],[Total cost]]</f>
        <v>1785</v>
      </c>
      <c r="V877" s="4">
        <f>IFERROR(Table1_1[[#This Row],[Profit/Loss]]/Table1_1[[#This Row],[Calculated sales]],0)</f>
        <v>0.11632453567937438</v>
      </c>
    </row>
    <row r="878" spans="1:22" x14ac:dyDescent="0.25">
      <c r="A878" s="4" t="s">
        <v>1027</v>
      </c>
      <c r="B878" s="5">
        <v>45744</v>
      </c>
      <c r="C878" s="4">
        <f>YEAR(Table1_1[[#This Row],[Order Dates]])</f>
        <v>2025</v>
      </c>
      <c r="D878" s="6">
        <f>MONTH(Table1_1[[#This Row],[Order Dates]])</f>
        <v>3</v>
      </c>
      <c r="E878" s="4" t="s">
        <v>16</v>
      </c>
      <c r="F878" s="4" t="s">
        <v>31</v>
      </c>
      <c r="G878" s="4" t="s">
        <v>18</v>
      </c>
      <c r="H878" s="4" t="str">
        <f>TRIM(CLEAN(SUBSTITUTE(Table1_1[[#This Row],[Salesperson]],"   "," ")))</f>
        <v>Imran Sheikh</v>
      </c>
      <c r="I878" s="4" t="s">
        <v>52</v>
      </c>
      <c r="J878" s="4" t="s">
        <v>27</v>
      </c>
      <c r="K878" s="4" t="s">
        <v>28</v>
      </c>
      <c r="L878" s="4" t="s">
        <v>1668</v>
      </c>
      <c r="M878" s="4" t="s">
        <v>49</v>
      </c>
      <c r="N878" s="4" t="s">
        <v>24</v>
      </c>
      <c r="O878" s="4">
        <v>6</v>
      </c>
      <c r="P878" s="7">
        <v>28070</v>
      </c>
      <c r="Q878" s="8">
        <v>0.2</v>
      </c>
      <c r="R878" s="7">
        <v>22020</v>
      </c>
      <c r="S878" s="7">
        <f>Table1_1[[#This Row],[Units Sold]]*Table1_1[[#This Row],[Unit Price]]*(1-Table1_1[[#This Row],[Discount %]])</f>
        <v>134736</v>
      </c>
      <c r="T878" s="7">
        <f>Table1_1[[#This Row],[Units Sold]]*Table1_1[[#This Row],[Unit Cost]]</f>
        <v>132120</v>
      </c>
      <c r="U878" s="7">
        <f>Table1_1[[#This Row],[Calculated sales]]-Table1_1[[#This Row],[Total cost]]</f>
        <v>2616</v>
      </c>
      <c r="V878" s="4">
        <f>IFERROR(Table1_1[[#This Row],[Profit/Loss]]/Table1_1[[#This Row],[Calculated sales]],0)</f>
        <v>1.9415746348414677E-2</v>
      </c>
    </row>
    <row r="879" spans="1:22" x14ac:dyDescent="0.25">
      <c r="A879" s="4" t="s">
        <v>1028</v>
      </c>
      <c r="B879" s="5">
        <v>45744</v>
      </c>
      <c r="C879" s="4">
        <f>YEAR(Table1_1[[#This Row],[Order Dates]])</f>
        <v>2025</v>
      </c>
      <c r="D879" s="6">
        <f>MONTH(Table1_1[[#This Row],[Order Dates]])</f>
        <v>3</v>
      </c>
      <c r="E879" s="4" t="s">
        <v>42</v>
      </c>
      <c r="F879" s="4" t="s">
        <v>265</v>
      </c>
      <c r="G879" s="4" t="s">
        <v>97</v>
      </c>
      <c r="H879" s="4" t="str">
        <f>TRIM(CLEAN(SUBSTITUTE(Table1_1[[#This Row],[Salesperson]],"   "," ")))</f>
        <v>Rohit Malhotra</v>
      </c>
      <c r="I879" s="4" t="s">
        <v>52</v>
      </c>
      <c r="J879" s="4" t="s">
        <v>20</v>
      </c>
      <c r="K879" s="4" t="s">
        <v>109</v>
      </c>
      <c r="L879" s="4" t="s">
        <v>171</v>
      </c>
      <c r="M879" s="4" t="s">
        <v>23</v>
      </c>
      <c r="N879" s="4" t="s">
        <v>24</v>
      </c>
      <c r="O879" s="4">
        <v>4</v>
      </c>
      <c r="P879" s="7">
        <v>22280</v>
      </c>
      <c r="Q879" s="8">
        <v>0.08</v>
      </c>
      <c r="R879" s="7">
        <v>16620</v>
      </c>
      <c r="S879" s="7">
        <f>Table1_1[[#This Row],[Units Sold]]*Table1_1[[#This Row],[Unit Price]]*(1-Table1_1[[#This Row],[Discount %]])</f>
        <v>81990.400000000009</v>
      </c>
      <c r="T879" s="7">
        <f>Table1_1[[#This Row],[Units Sold]]*Table1_1[[#This Row],[Unit Cost]]</f>
        <v>66480</v>
      </c>
      <c r="U879" s="7">
        <f>Table1_1[[#This Row],[Calculated sales]]-Table1_1[[#This Row],[Total cost]]</f>
        <v>15510.400000000009</v>
      </c>
      <c r="V879" s="4">
        <f>IFERROR(Table1_1[[#This Row],[Profit/Loss]]/Table1_1[[#This Row],[Calculated sales]],0)</f>
        <v>0.18917336663804551</v>
      </c>
    </row>
    <row r="880" spans="1:22" x14ac:dyDescent="0.25">
      <c r="A880" s="4" t="s">
        <v>1029</v>
      </c>
      <c r="B880" s="5">
        <v>45745</v>
      </c>
      <c r="C880" s="4">
        <f>YEAR(Table1_1[[#This Row],[Order Dates]])</f>
        <v>2025</v>
      </c>
      <c r="D880" s="6">
        <f>MONTH(Table1_1[[#This Row],[Order Dates]])</f>
        <v>3</v>
      </c>
      <c r="E880" s="4" t="s">
        <v>56</v>
      </c>
      <c r="F880" s="4" t="s">
        <v>103</v>
      </c>
      <c r="G880" s="4" t="s">
        <v>91</v>
      </c>
      <c r="H880" s="4" t="str">
        <f>TRIM(CLEAN(SUBSTITUTE(Table1_1[[#This Row],[Salesperson]],"   "," ")))</f>
        <v>Anjali Menon</v>
      </c>
      <c r="I880" s="4" t="s">
        <v>19</v>
      </c>
      <c r="J880" s="4" t="s">
        <v>27</v>
      </c>
      <c r="K880" s="4" t="s">
        <v>28</v>
      </c>
      <c r="L880" s="4" t="s">
        <v>1668</v>
      </c>
      <c r="M880" s="4" t="s">
        <v>23</v>
      </c>
      <c r="N880" s="4" t="s">
        <v>24</v>
      </c>
      <c r="O880" s="4">
        <v>3</v>
      </c>
      <c r="P880" s="7">
        <v>30130</v>
      </c>
      <c r="Q880" s="8">
        <v>0</v>
      </c>
      <c r="R880" s="7">
        <v>17810</v>
      </c>
      <c r="S880" s="7">
        <f>Table1_1[[#This Row],[Units Sold]]*Table1_1[[#This Row],[Unit Price]]*(1-Table1_1[[#This Row],[Discount %]])</f>
        <v>90390</v>
      </c>
      <c r="T880" s="7">
        <f>Table1_1[[#This Row],[Units Sold]]*Table1_1[[#This Row],[Unit Cost]]</f>
        <v>53430</v>
      </c>
      <c r="U880" s="7">
        <f>Table1_1[[#This Row],[Calculated sales]]-Table1_1[[#This Row],[Total cost]]</f>
        <v>36960</v>
      </c>
      <c r="V880" s="4">
        <f>IFERROR(Table1_1[[#This Row],[Profit/Loss]]/Table1_1[[#This Row],[Calculated sales]],0)</f>
        <v>0.40889478924659806</v>
      </c>
    </row>
    <row r="881" spans="1:22" x14ac:dyDescent="0.25">
      <c r="A881" s="4" t="s">
        <v>1030</v>
      </c>
      <c r="B881" s="5">
        <v>45745</v>
      </c>
      <c r="C881" s="4">
        <f>YEAR(Table1_1[[#This Row],[Order Dates]])</f>
        <v>2025</v>
      </c>
      <c r="D881" s="6">
        <f>MONTH(Table1_1[[#This Row],[Order Dates]])</f>
        <v>3</v>
      </c>
      <c r="E881" s="4" t="s">
        <v>37</v>
      </c>
      <c r="F881" s="4" t="s">
        <v>213</v>
      </c>
      <c r="G881" s="4" t="s">
        <v>39</v>
      </c>
      <c r="H881" s="4" t="str">
        <f>TRIM(CLEAN(SUBSTITUTE(Table1_1[[#This Row],[Salesperson]],"   "," ")))</f>
        <v>Sourav Das</v>
      </c>
      <c r="I881" s="4" t="s">
        <v>92</v>
      </c>
      <c r="J881" s="4" t="s">
        <v>20</v>
      </c>
      <c r="K881" s="4" t="s">
        <v>109</v>
      </c>
      <c r="L881" s="4" t="s">
        <v>159</v>
      </c>
      <c r="M881" s="4" t="s">
        <v>49</v>
      </c>
      <c r="N881" s="4" t="s">
        <v>24</v>
      </c>
      <c r="O881" s="4">
        <v>3</v>
      </c>
      <c r="P881" s="7">
        <v>19230</v>
      </c>
      <c r="Q881" s="8">
        <v>0.1</v>
      </c>
      <c r="R881" s="7">
        <v>11120</v>
      </c>
      <c r="S881" s="7">
        <f>Table1_1[[#This Row],[Units Sold]]*Table1_1[[#This Row],[Unit Price]]*(1-Table1_1[[#This Row],[Discount %]])</f>
        <v>51921</v>
      </c>
      <c r="T881" s="7">
        <f>Table1_1[[#This Row],[Units Sold]]*Table1_1[[#This Row],[Unit Cost]]</f>
        <v>33360</v>
      </c>
      <c r="U881" s="7">
        <f>Table1_1[[#This Row],[Calculated sales]]-Table1_1[[#This Row],[Total cost]]</f>
        <v>18561</v>
      </c>
      <c r="V881" s="4">
        <f>IFERROR(Table1_1[[#This Row],[Profit/Loss]]/Table1_1[[#This Row],[Calculated sales]],0)</f>
        <v>0.35748541052753219</v>
      </c>
    </row>
    <row r="882" spans="1:22" x14ac:dyDescent="0.25">
      <c r="A882" s="4" t="s">
        <v>1031</v>
      </c>
      <c r="B882" s="5">
        <v>45745</v>
      </c>
      <c r="C882" s="4">
        <f>YEAR(Table1_1[[#This Row],[Order Dates]])</f>
        <v>2025</v>
      </c>
      <c r="D882" s="6">
        <f>MONTH(Table1_1[[#This Row],[Order Dates]])</f>
        <v>3</v>
      </c>
      <c r="E882" s="4" t="s">
        <v>56</v>
      </c>
      <c r="F882" s="4" t="s">
        <v>72</v>
      </c>
      <c r="G882" s="4" t="s">
        <v>58</v>
      </c>
      <c r="H882" s="4" t="str">
        <f>TRIM(CLEAN(SUBSTITUTE(Table1_1[[#This Row],[Salesperson]],"   "," ")))</f>
        <v>Karthik Raman</v>
      </c>
      <c r="I882" s="4" t="s">
        <v>19</v>
      </c>
      <c r="J882" s="4" t="s">
        <v>20</v>
      </c>
      <c r="K882" s="4" t="s">
        <v>33</v>
      </c>
      <c r="L882" s="4" t="s">
        <v>34</v>
      </c>
      <c r="M882" s="4" t="s">
        <v>23</v>
      </c>
      <c r="N882" s="4" t="s">
        <v>119</v>
      </c>
      <c r="O882" s="4">
        <v>3</v>
      </c>
      <c r="P882" s="7">
        <v>59050</v>
      </c>
      <c r="Q882" s="8">
        <v>0</v>
      </c>
      <c r="R882" s="7">
        <v>39820</v>
      </c>
      <c r="S882" s="7">
        <f>Table1_1[[#This Row],[Units Sold]]*Table1_1[[#This Row],[Unit Price]]*(1-Table1_1[[#This Row],[Discount %]])</f>
        <v>177150</v>
      </c>
      <c r="T882" s="7">
        <f>Table1_1[[#This Row],[Units Sold]]*Table1_1[[#This Row],[Unit Cost]]</f>
        <v>119460</v>
      </c>
      <c r="U882" s="7">
        <f>Table1_1[[#This Row],[Calculated sales]]-Table1_1[[#This Row],[Total cost]]</f>
        <v>57690</v>
      </c>
      <c r="V882" s="4">
        <f>IFERROR(Table1_1[[#This Row],[Profit/Loss]]/Table1_1[[#This Row],[Calculated sales]],0)</f>
        <v>0.3256562235393734</v>
      </c>
    </row>
    <row r="883" spans="1:22" x14ac:dyDescent="0.25">
      <c r="A883" s="4" t="s">
        <v>1032</v>
      </c>
      <c r="B883" s="5">
        <v>45746</v>
      </c>
      <c r="C883" s="4">
        <f>YEAR(Table1_1[[#This Row],[Order Dates]])</f>
        <v>2025</v>
      </c>
      <c r="D883" s="6">
        <f>MONTH(Table1_1[[#This Row],[Order Dates]])</f>
        <v>3</v>
      </c>
      <c r="E883" s="4" t="s">
        <v>16</v>
      </c>
      <c r="F883" s="4" t="s">
        <v>17</v>
      </c>
      <c r="G883" s="4" t="s">
        <v>32</v>
      </c>
      <c r="H883" s="4" t="str">
        <f>TRIM(CLEAN(SUBSTITUTE(Table1_1[[#This Row],[Salesperson]],"   "," ")))</f>
        <v>Neha Deshpande</v>
      </c>
      <c r="I883" s="4" t="s">
        <v>19</v>
      </c>
      <c r="J883" s="4" t="s">
        <v>83</v>
      </c>
      <c r="K883" s="4" t="s">
        <v>84</v>
      </c>
      <c r="L883" s="4" t="s">
        <v>292</v>
      </c>
      <c r="M883" s="4" t="s">
        <v>23</v>
      </c>
      <c r="N883" s="4" t="s">
        <v>24</v>
      </c>
      <c r="O883" s="4">
        <v>3</v>
      </c>
      <c r="P883" s="7">
        <v>40960</v>
      </c>
      <c r="Q883" s="8">
        <v>0.15</v>
      </c>
      <c r="R883" s="7">
        <v>28520</v>
      </c>
      <c r="S883" s="7">
        <f>Table1_1[[#This Row],[Units Sold]]*Table1_1[[#This Row],[Unit Price]]*(1-Table1_1[[#This Row],[Discount %]])</f>
        <v>104448</v>
      </c>
      <c r="T883" s="7">
        <f>Table1_1[[#This Row],[Units Sold]]*Table1_1[[#This Row],[Unit Cost]]</f>
        <v>85560</v>
      </c>
      <c r="U883" s="7">
        <f>Table1_1[[#This Row],[Calculated sales]]-Table1_1[[#This Row],[Total cost]]</f>
        <v>18888</v>
      </c>
      <c r="V883" s="4">
        <f>IFERROR(Table1_1[[#This Row],[Profit/Loss]]/Table1_1[[#This Row],[Calculated sales]],0)</f>
        <v>0.18083639705882354</v>
      </c>
    </row>
    <row r="884" spans="1:22" x14ac:dyDescent="0.25">
      <c r="A884" s="4" t="s">
        <v>1033</v>
      </c>
      <c r="B884" s="5">
        <v>45747</v>
      </c>
      <c r="C884" s="4">
        <f>YEAR(Table1_1[[#This Row],[Order Dates]])</f>
        <v>2025</v>
      </c>
      <c r="D884" s="6">
        <f>MONTH(Table1_1[[#This Row],[Order Dates]])</f>
        <v>3</v>
      </c>
      <c r="E884" s="4" t="s">
        <v>76</v>
      </c>
      <c r="F884" s="4" t="s">
        <v>150</v>
      </c>
      <c r="G884" s="4" t="s">
        <v>170</v>
      </c>
      <c r="H884" s="4" t="str">
        <f>TRIM(CLEAN(SUBSTITUTE(Table1_1[[#This Row],[Salesperson]],"   "," ")))</f>
        <v>Manish Tiwari</v>
      </c>
      <c r="I884" s="4" t="s">
        <v>92</v>
      </c>
      <c r="J884" s="4" t="s">
        <v>27</v>
      </c>
      <c r="K884" s="4" t="s">
        <v>214</v>
      </c>
      <c r="L884" s="4" t="s">
        <v>1681</v>
      </c>
      <c r="M884" s="4" t="s">
        <v>40</v>
      </c>
      <c r="N884" s="4" t="s">
        <v>24</v>
      </c>
      <c r="O884" s="4">
        <v>4</v>
      </c>
      <c r="P884" s="7">
        <v>13590</v>
      </c>
      <c r="Q884" s="8">
        <v>0</v>
      </c>
      <c r="R884" s="7">
        <v>10290</v>
      </c>
      <c r="S884" s="7">
        <f>Table1_1[[#This Row],[Units Sold]]*Table1_1[[#This Row],[Unit Price]]*(1-Table1_1[[#This Row],[Discount %]])</f>
        <v>54360</v>
      </c>
      <c r="T884" s="7">
        <f>Table1_1[[#This Row],[Units Sold]]*Table1_1[[#This Row],[Unit Cost]]</f>
        <v>41160</v>
      </c>
      <c r="U884" s="7">
        <f>Table1_1[[#This Row],[Calculated sales]]-Table1_1[[#This Row],[Total cost]]</f>
        <v>13200</v>
      </c>
      <c r="V884" s="4">
        <f>IFERROR(Table1_1[[#This Row],[Profit/Loss]]/Table1_1[[#This Row],[Calculated sales]],0)</f>
        <v>0.24282560706401765</v>
      </c>
    </row>
    <row r="885" spans="1:22" x14ac:dyDescent="0.25">
      <c r="A885" s="4" t="s">
        <v>1034</v>
      </c>
      <c r="B885" s="5">
        <v>45747</v>
      </c>
      <c r="C885" s="4">
        <f>YEAR(Table1_1[[#This Row],[Order Dates]])</f>
        <v>2025</v>
      </c>
      <c r="D885" s="6">
        <f>MONTH(Table1_1[[#This Row],[Order Dates]])</f>
        <v>3</v>
      </c>
      <c r="E885" s="4" t="s">
        <v>42</v>
      </c>
      <c r="F885" s="4" t="s">
        <v>265</v>
      </c>
      <c r="G885" s="4" t="s">
        <v>64</v>
      </c>
      <c r="H885" s="4" t="str">
        <f>TRIM(CLEAN(SUBSTITUTE(Table1_1[[#This Row],[Salesperson]],"   "," ")))</f>
        <v>Aditya Verma</v>
      </c>
      <c r="I885" s="4" t="s">
        <v>19</v>
      </c>
      <c r="J885" s="4" t="s">
        <v>20</v>
      </c>
      <c r="K885" s="4" t="s">
        <v>33</v>
      </c>
      <c r="L885" s="4" t="s">
        <v>34</v>
      </c>
      <c r="M885" s="4" t="s">
        <v>23</v>
      </c>
      <c r="N885" s="4" t="s">
        <v>24</v>
      </c>
      <c r="O885" s="4">
        <v>2</v>
      </c>
      <c r="P885" s="7">
        <v>52280</v>
      </c>
      <c r="Q885" s="8">
        <v>0.1</v>
      </c>
      <c r="R885" s="7">
        <v>38630</v>
      </c>
      <c r="S885" s="7">
        <f>Table1_1[[#This Row],[Units Sold]]*Table1_1[[#This Row],[Unit Price]]*(1-Table1_1[[#This Row],[Discount %]])</f>
        <v>94104</v>
      </c>
      <c r="T885" s="7">
        <f>Table1_1[[#This Row],[Units Sold]]*Table1_1[[#This Row],[Unit Cost]]</f>
        <v>77260</v>
      </c>
      <c r="U885" s="7">
        <f>Table1_1[[#This Row],[Calculated sales]]-Table1_1[[#This Row],[Total cost]]</f>
        <v>16844</v>
      </c>
      <c r="V885" s="4">
        <f>IFERROR(Table1_1[[#This Row],[Profit/Loss]]/Table1_1[[#This Row],[Calculated sales]],0)</f>
        <v>0.17899345405083736</v>
      </c>
    </row>
    <row r="886" spans="1:22" x14ac:dyDescent="0.25">
      <c r="A886" s="4" t="s">
        <v>1035</v>
      </c>
      <c r="B886" s="5">
        <v>45747</v>
      </c>
      <c r="C886" s="4">
        <f>YEAR(Table1_1[[#This Row],[Order Dates]])</f>
        <v>2025</v>
      </c>
      <c r="D886" s="6">
        <f>MONTH(Table1_1[[#This Row],[Order Dates]])</f>
        <v>3</v>
      </c>
      <c r="E886" s="4" t="s">
        <v>42</v>
      </c>
      <c r="F886" s="4" t="s">
        <v>130</v>
      </c>
      <c r="G886" s="4" t="s">
        <v>97</v>
      </c>
      <c r="H886" s="4" t="str">
        <f>TRIM(CLEAN(SUBSTITUTE(Table1_1[[#This Row],[Salesperson]],"   "," ")))</f>
        <v>Rohit Malhotra</v>
      </c>
      <c r="I886" s="4" t="s">
        <v>19</v>
      </c>
      <c r="J886" s="4" t="s">
        <v>46</v>
      </c>
      <c r="K886" s="4" t="s">
        <v>100</v>
      </c>
      <c r="L886" s="4" t="s">
        <v>177</v>
      </c>
      <c r="M886" s="4" t="s">
        <v>49</v>
      </c>
      <c r="N886" s="4" t="s">
        <v>24</v>
      </c>
      <c r="O886" s="4">
        <v>40</v>
      </c>
      <c r="P886" s="7">
        <v>2510</v>
      </c>
      <c r="Q886" s="8">
        <v>0.1</v>
      </c>
      <c r="R886" s="7">
        <v>1550</v>
      </c>
      <c r="S886" s="7">
        <f>Table1_1[[#This Row],[Units Sold]]*Table1_1[[#This Row],[Unit Price]]*(1-Table1_1[[#This Row],[Discount %]])</f>
        <v>90360</v>
      </c>
      <c r="T886" s="7">
        <f>Table1_1[[#This Row],[Units Sold]]*Table1_1[[#This Row],[Unit Cost]]</f>
        <v>62000</v>
      </c>
      <c r="U886" s="7">
        <f>Table1_1[[#This Row],[Calculated sales]]-Table1_1[[#This Row],[Total cost]]</f>
        <v>28360</v>
      </c>
      <c r="V886" s="4">
        <f>IFERROR(Table1_1[[#This Row],[Profit/Loss]]/Table1_1[[#This Row],[Calculated sales]],0)</f>
        <v>0.31385568835768041</v>
      </c>
    </row>
    <row r="887" spans="1:22" x14ac:dyDescent="0.25">
      <c r="A887" s="4" t="s">
        <v>1036</v>
      </c>
      <c r="B887" s="5">
        <v>45747</v>
      </c>
      <c r="C887" s="4">
        <f>YEAR(Table1_1[[#This Row],[Order Dates]])</f>
        <v>2025</v>
      </c>
      <c r="D887" s="6">
        <f>MONTH(Table1_1[[#This Row],[Order Dates]])</f>
        <v>3</v>
      </c>
      <c r="E887" s="4" t="s">
        <v>16</v>
      </c>
      <c r="F887" s="4" t="s">
        <v>51</v>
      </c>
      <c r="G887" s="4" t="s">
        <v>26</v>
      </c>
      <c r="H887" s="4" t="str">
        <f>TRIM(CLEAN(SUBSTITUTE(Table1_1[[#This Row],[Salesperson]],"   "," ")))</f>
        <v>Prateek Shah</v>
      </c>
      <c r="I887" s="4" t="s">
        <v>19</v>
      </c>
      <c r="J887" s="4" t="s">
        <v>20</v>
      </c>
      <c r="K887" s="4" t="s">
        <v>109</v>
      </c>
      <c r="L887" s="4" t="s">
        <v>159</v>
      </c>
      <c r="M887" s="4" t="s">
        <v>49</v>
      </c>
      <c r="N887" s="4" t="s">
        <v>24</v>
      </c>
      <c r="O887" s="4">
        <v>4</v>
      </c>
      <c r="P887" s="7">
        <v>18750</v>
      </c>
      <c r="Q887" s="8">
        <v>0.05</v>
      </c>
      <c r="R887" s="7">
        <v>11940</v>
      </c>
      <c r="S887" s="7">
        <f>Table1_1[[#This Row],[Units Sold]]*Table1_1[[#This Row],[Unit Price]]*(1-Table1_1[[#This Row],[Discount %]])</f>
        <v>71250</v>
      </c>
      <c r="T887" s="7">
        <f>Table1_1[[#This Row],[Units Sold]]*Table1_1[[#This Row],[Unit Cost]]</f>
        <v>47760</v>
      </c>
      <c r="U887" s="7">
        <f>Table1_1[[#This Row],[Calculated sales]]-Table1_1[[#This Row],[Total cost]]</f>
        <v>23490</v>
      </c>
      <c r="V887" s="4">
        <f>IFERROR(Table1_1[[#This Row],[Profit/Loss]]/Table1_1[[#This Row],[Calculated sales]],0)</f>
        <v>0.3296842105263158</v>
      </c>
    </row>
    <row r="888" spans="1:22" x14ac:dyDescent="0.25">
      <c r="A888" s="4" t="s">
        <v>1037</v>
      </c>
      <c r="B888" s="5">
        <v>45747</v>
      </c>
      <c r="C888" s="4">
        <f>YEAR(Table1_1[[#This Row],[Order Dates]])</f>
        <v>2025</v>
      </c>
      <c r="D888" s="6">
        <f>MONTH(Table1_1[[#This Row],[Order Dates]])</f>
        <v>3</v>
      </c>
      <c r="E888" s="4" t="s">
        <v>42</v>
      </c>
      <c r="F888" s="4" t="s">
        <v>265</v>
      </c>
      <c r="G888" s="4" t="s">
        <v>44</v>
      </c>
      <c r="H888" s="4" t="str">
        <f>TRIM(CLEAN(SUBSTITUTE(Table1_1[[#This Row],[Salesperson]],"   "," ")))</f>
        <v>Simran Kaur</v>
      </c>
      <c r="I888" s="4" t="s">
        <v>19</v>
      </c>
      <c r="J888" s="4" t="s">
        <v>83</v>
      </c>
      <c r="K888" s="4" t="s">
        <v>184</v>
      </c>
      <c r="L888" s="4" t="s">
        <v>196</v>
      </c>
      <c r="M888" s="4" t="s">
        <v>40</v>
      </c>
      <c r="N888" s="4" t="s">
        <v>24</v>
      </c>
      <c r="O888" s="4">
        <v>13</v>
      </c>
      <c r="P888" s="7">
        <v>3290</v>
      </c>
      <c r="Q888" s="8">
        <v>0.1</v>
      </c>
      <c r="R888" s="7">
        <v>2600</v>
      </c>
      <c r="S888" s="7">
        <f>Table1_1[[#This Row],[Units Sold]]*Table1_1[[#This Row],[Unit Price]]*(1-Table1_1[[#This Row],[Discount %]])</f>
        <v>38493</v>
      </c>
      <c r="T888" s="7">
        <f>Table1_1[[#This Row],[Units Sold]]*Table1_1[[#This Row],[Unit Cost]]</f>
        <v>33800</v>
      </c>
      <c r="U888" s="7">
        <f>Table1_1[[#This Row],[Calculated sales]]-Table1_1[[#This Row],[Total cost]]</f>
        <v>4693</v>
      </c>
      <c r="V888" s="4">
        <f>IFERROR(Table1_1[[#This Row],[Profit/Loss]]/Table1_1[[#This Row],[Calculated sales]],0)</f>
        <v>0.12191827085444107</v>
      </c>
    </row>
    <row r="889" spans="1:22" x14ac:dyDescent="0.25">
      <c r="A889" s="4" t="s">
        <v>1038</v>
      </c>
      <c r="B889" s="5">
        <v>45748</v>
      </c>
      <c r="C889" s="4">
        <f>YEAR(Table1_1[[#This Row],[Order Dates]])</f>
        <v>2025</v>
      </c>
      <c r="D889" s="6">
        <f>MONTH(Table1_1[[#This Row],[Order Dates]])</f>
        <v>4</v>
      </c>
      <c r="E889" s="4" t="s">
        <v>42</v>
      </c>
      <c r="F889" s="4" t="s">
        <v>123</v>
      </c>
      <c r="G889" s="4" t="s">
        <v>64</v>
      </c>
      <c r="H889" s="4" t="str">
        <f>TRIM(CLEAN(SUBSTITUTE(Table1_1[[#This Row],[Salesperson]],"   "," ")))</f>
        <v>Aditya Verma</v>
      </c>
      <c r="I889" s="4" t="s">
        <v>19</v>
      </c>
      <c r="J889" s="4" t="s">
        <v>46</v>
      </c>
      <c r="K889" s="4" t="s">
        <v>47</v>
      </c>
      <c r="L889" s="4" t="s">
        <v>1673</v>
      </c>
      <c r="M889" s="4" t="s">
        <v>40</v>
      </c>
      <c r="N889" s="4" t="s">
        <v>94</v>
      </c>
      <c r="O889" s="4">
        <v>3</v>
      </c>
      <c r="P889" s="7">
        <v>1170</v>
      </c>
      <c r="Q889" s="8">
        <v>0</v>
      </c>
      <c r="R889" s="7">
        <v>760</v>
      </c>
      <c r="S889" s="7">
        <f>Table1_1[[#This Row],[Units Sold]]*Table1_1[[#This Row],[Unit Price]]*(1-Table1_1[[#This Row],[Discount %]])</f>
        <v>3510</v>
      </c>
      <c r="T889" s="7">
        <f>Table1_1[[#This Row],[Units Sold]]*Table1_1[[#This Row],[Unit Cost]]</f>
        <v>2280</v>
      </c>
      <c r="U889" s="7">
        <f>Table1_1[[#This Row],[Calculated sales]]-Table1_1[[#This Row],[Total cost]]</f>
        <v>1230</v>
      </c>
      <c r="V889" s="4">
        <f>IFERROR(Table1_1[[#This Row],[Profit/Loss]]/Table1_1[[#This Row],[Calculated sales]],0)</f>
        <v>0.3504273504273504</v>
      </c>
    </row>
    <row r="890" spans="1:22" x14ac:dyDescent="0.25">
      <c r="A890" s="4" t="s">
        <v>1039</v>
      </c>
      <c r="B890" s="5">
        <v>45749</v>
      </c>
      <c r="C890" s="4">
        <f>YEAR(Table1_1[[#This Row],[Order Dates]])</f>
        <v>2025</v>
      </c>
      <c r="D890" s="6">
        <f>MONTH(Table1_1[[#This Row],[Order Dates]])</f>
        <v>4</v>
      </c>
      <c r="E890" s="4" t="s">
        <v>76</v>
      </c>
      <c r="F890" s="4" t="s">
        <v>112</v>
      </c>
      <c r="G890" s="4" t="s">
        <v>78</v>
      </c>
      <c r="H890" s="4" t="str">
        <f>TRIM(CLEAN(SUBSTITUTE(Table1_1[[#This Row],[Salesperson]],"   "," ")))</f>
        <v>Pooja Chouhan</v>
      </c>
      <c r="I890" s="4" t="s">
        <v>92</v>
      </c>
      <c r="J890" s="4" t="s">
        <v>83</v>
      </c>
      <c r="K890" s="4" t="s">
        <v>184</v>
      </c>
      <c r="L890" s="4" t="s">
        <v>196</v>
      </c>
      <c r="M890" s="4" t="s">
        <v>23</v>
      </c>
      <c r="N890" s="4" t="s">
        <v>24</v>
      </c>
      <c r="O890" s="4">
        <v>14</v>
      </c>
      <c r="P890" s="7">
        <v>3060</v>
      </c>
      <c r="Q890" s="8">
        <v>0</v>
      </c>
      <c r="R890" s="7">
        <v>1930</v>
      </c>
      <c r="S890" s="7">
        <f>Table1_1[[#This Row],[Units Sold]]*Table1_1[[#This Row],[Unit Price]]*(1-Table1_1[[#This Row],[Discount %]])</f>
        <v>42840</v>
      </c>
      <c r="T890" s="7">
        <f>Table1_1[[#This Row],[Units Sold]]*Table1_1[[#This Row],[Unit Cost]]</f>
        <v>27020</v>
      </c>
      <c r="U890" s="7">
        <f>Table1_1[[#This Row],[Calculated sales]]-Table1_1[[#This Row],[Total cost]]</f>
        <v>15820</v>
      </c>
      <c r="V890" s="4">
        <f>IFERROR(Table1_1[[#This Row],[Profit/Loss]]/Table1_1[[#This Row],[Calculated sales]],0)</f>
        <v>0.36928104575163401</v>
      </c>
    </row>
    <row r="891" spans="1:22" x14ac:dyDescent="0.25">
      <c r="A891" s="4" t="s">
        <v>1040</v>
      </c>
      <c r="B891" s="5">
        <v>45749</v>
      </c>
      <c r="C891" s="4">
        <f>YEAR(Table1_1[[#This Row],[Order Dates]])</f>
        <v>2025</v>
      </c>
      <c r="D891" s="6">
        <f>MONTH(Table1_1[[#This Row],[Order Dates]])</f>
        <v>4</v>
      </c>
      <c r="E891" s="4" t="s">
        <v>37</v>
      </c>
      <c r="F891" s="4" t="s">
        <v>38</v>
      </c>
      <c r="G891" s="4" t="s">
        <v>68</v>
      </c>
      <c r="H891" s="4" t="str">
        <f>TRIM(CLEAN(SUBSTITUTE(Table1_1[[#This Row],[Salesperson]],"   "," ")))</f>
        <v>Ritika Ghosh</v>
      </c>
      <c r="I891" s="4" t="s">
        <v>92</v>
      </c>
      <c r="J891" s="4" t="s">
        <v>20</v>
      </c>
      <c r="K891" s="4" t="s">
        <v>87</v>
      </c>
      <c r="L891" s="4" t="s">
        <v>1672</v>
      </c>
      <c r="M891" s="4" t="s">
        <v>40</v>
      </c>
      <c r="N891" s="4" t="s">
        <v>24</v>
      </c>
      <c r="O891" s="4">
        <v>4</v>
      </c>
      <c r="P891" s="7">
        <v>33140</v>
      </c>
      <c r="Q891" s="8">
        <v>0.05</v>
      </c>
      <c r="R891" s="7">
        <v>21280</v>
      </c>
      <c r="S891" s="7">
        <f>Table1_1[[#This Row],[Units Sold]]*Table1_1[[#This Row],[Unit Price]]*(1-Table1_1[[#This Row],[Discount %]])</f>
        <v>125932</v>
      </c>
      <c r="T891" s="7">
        <f>Table1_1[[#This Row],[Units Sold]]*Table1_1[[#This Row],[Unit Cost]]</f>
        <v>85120</v>
      </c>
      <c r="U891" s="7">
        <f>Table1_1[[#This Row],[Calculated sales]]-Table1_1[[#This Row],[Total cost]]</f>
        <v>40812</v>
      </c>
      <c r="V891" s="4">
        <f>IFERROR(Table1_1[[#This Row],[Profit/Loss]]/Table1_1[[#This Row],[Calculated sales]],0)</f>
        <v>0.32407966203983102</v>
      </c>
    </row>
    <row r="892" spans="1:22" x14ac:dyDescent="0.25">
      <c r="A892" s="4" t="s">
        <v>1041</v>
      </c>
      <c r="B892" s="5">
        <v>45749</v>
      </c>
      <c r="C892" s="4">
        <f>YEAR(Table1_1[[#This Row],[Order Dates]])</f>
        <v>2025</v>
      </c>
      <c r="D892" s="6">
        <f>MONTH(Table1_1[[#This Row],[Order Dates]])</f>
        <v>4</v>
      </c>
      <c r="E892" s="4" t="s">
        <v>76</v>
      </c>
      <c r="F892" s="4" t="s">
        <v>112</v>
      </c>
      <c r="G892" s="4" t="s">
        <v>78</v>
      </c>
      <c r="H892" s="4" t="str">
        <f>TRIM(CLEAN(SUBSTITUTE(Table1_1[[#This Row],[Salesperson]],"   "," ")))</f>
        <v>Pooja Chouhan</v>
      </c>
      <c r="I892" s="4" t="s">
        <v>19</v>
      </c>
      <c r="J892" s="4" t="s">
        <v>20</v>
      </c>
      <c r="K892" s="4" t="s">
        <v>21</v>
      </c>
      <c r="L892" s="4" t="s">
        <v>1670</v>
      </c>
      <c r="M892" s="4" t="s">
        <v>23</v>
      </c>
      <c r="N892" s="4" t="s">
        <v>119</v>
      </c>
      <c r="O892" s="4">
        <v>12</v>
      </c>
      <c r="P892" s="7">
        <v>8990</v>
      </c>
      <c r="Q892" s="8">
        <v>0.05</v>
      </c>
      <c r="R892" s="7">
        <v>5830</v>
      </c>
      <c r="S892" s="7">
        <f>Table1_1[[#This Row],[Units Sold]]*Table1_1[[#This Row],[Unit Price]]*(1-Table1_1[[#This Row],[Discount %]])</f>
        <v>102486</v>
      </c>
      <c r="T892" s="7">
        <f>Table1_1[[#This Row],[Units Sold]]*Table1_1[[#This Row],[Unit Cost]]</f>
        <v>69960</v>
      </c>
      <c r="U892" s="7">
        <f>Table1_1[[#This Row],[Calculated sales]]-Table1_1[[#This Row],[Total cost]]</f>
        <v>32526</v>
      </c>
      <c r="V892" s="4">
        <f>IFERROR(Table1_1[[#This Row],[Profit/Loss]]/Table1_1[[#This Row],[Calculated sales]],0)</f>
        <v>0.31737017739008255</v>
      </c>
    </row>
    <row r="893" spans="1:22" x14ac:dyDescent="0.25">
      <c r="A893" s="4" t="s">
        <v>1042</v>
      </c>
      <c r="B893" s="5">
        <v>45749</v>
      </c>
      <c r="C893" s="4">
        <f>YEAR(Table1_1[[#This Row],[Order Dates]])</f>
        <v>2025</v>
      </c>
      <c r="D893" s="6">
        <f>MONTH(Table1_1[[#This Row],[Order Dates]])</f>
        <v>4</v>
      </c>
      <c r="E893" s="4" t="s">
        <v>56</v>
      </c>
      <c r="F893" s="4" t="s">
        <v>103</v>
      </c>
      <c r="G893" s="4" t="s">
        <v>134</v>
      </c>
      <c r="H893" s="4" t="str">
        <f>TRIM(CLEAN(SUBSTITUTE(Table1_1[[#This Row],[Salesperson]],"   "," ")))</f>
        <v>Divya Nair</v>
      </c>
      <c r="I893" s="4" t="s">
        <v>92</v>
      </c>
      <c r="J893" s="4" t="s">
        <v>27</v>
      </c>
      <c r="K893" s="4" t="s">
        <v>214</v>
      </c>
      <c r="L893" s="4" t="s">
        <v>1681</v>
      </c>
      <c r="M893" s="4" t="s">
        <v>23</v>
      </c>
      <c r="N893" s="4" t="s">
        <v>24</v>
      </c>
      <c r="O893" s="4">
        <v>10</v>
      </c>
      <c r="P893" s="7">
        <v>13370</v>
      </c>
      <c r="Q893" s="8">
        <v>0.18</v>
      </c>
      <c r="R893" s="7">
        <v>8740</v>
      </c>
      <c r="S893" s="7">
        <f>Table1_1[[#This Row],[Units Sold]]*Table1_1[[#This Row],[Unit Price]]*(1-Table1_1[[#This Row],[Discount %]])</f>
        <v>109634.00000000001</v>
      </c>
      <c r="T893" s="7">
        <f>Table1_1[[#This Row],[Units Sold]]*Table1_1[[#This Row],[Unit Cost]]</f>
        <v>87400</v>
      </c>
      <c r="U893" s="7">
        <f>Table1_1[[#This Row],[Calculated sales]]-Table1_1[[#This Row],[Total cost]]</f>
        <v>22234.000000000015</v>
      </c>
      <c r="V893" s="4">
        <f>IFERROR(Table1_1[[#This Row],[Profit/Loss]]/Table1_1[[#This Row],[Calculated sales]],0)</f>
        <v>0.20280205045879937</v>
      </c>
    </row>
    <row r="894" spans="1:22" x14ac:dyDescent="0.25">
      <c r="A894" s="4" t="s">
        <v>1043</v>
      </c>
      <c r="B894" s="5">
        <v>45749</v>
      </c>
      <c r="C894" s="4">
        <f>YEAR(Table1_1[[#This Row],[Order Dates]])</f>
        <v>2025</v>
      </c>
      <c r="D894" s="6">
        <f>MONTH(Table1_1[[#This Row],[Order Dates]])</f>
        <v>4</v>
      </c>
      <c r="E894" s="4" t="s">
        <v>56</v>
      </c>
      <c r="F894" s="4" t="s">
        <v>143</v>
      </c>
      <c r="G894" s="4" t="s">
        <v>58</v>
      </c>
      <c r="H894" s="4" t="str">
        <f>TRIM(CLEAN(SUBSTITUTE(Table1_1[[#This Row],[Salesperson]],"   "," ")))</f>
        <v>Karthik Raman</v>
      </c>
      <c r="I894" s="4" t="s">
        <v>19</v>
      </c>
      <c r="J894" s="4" t="s">
        <v>20</v>
      </c>
      <c r="K894" s="4" t="s">
        <v>109</v>
      </c>
      <c r="L894" s="4" t="s">
        <v>1675</v>
      </c>
      <c r="M894" s="4" t="s">
        <v>40</v>
      </c>
      <c r="N894" s="4" t="s">
        <v>24</v>
      </c>
      <c r="O894" s="4">
        <v>1</v>
      </c>
      <c r="P894" s="7">
        <v>67320</v>
      </c>
      <c r="Q894" s="8">
        <v>0.15</v>
      </c>
      <c r="R894" s="7">
        <v>40340</v>
      </c>
      <c r="S894" s="7">
        <f>Table1_1[[#This Row],[Units Sold]]*Table1_1[[#This Row],[Unit Price]]*(1-Table1_1[[#This Row],[Discount %]])</f>
        <v>57222</v>
      </c>
      <c r="T894" s="7">
        <f>Table1_1[[#This Row],[Units Sold]]*Table1_1[[#This Row],[Unit Cost]]</f>
        <v>40340</v>
      </c>
      <c r="U894" s="7">
        <f>Table1_1[[#This Row],[Calculated sales]]-Table1_1[[#This Row],[Total cost]]</f>
        <v>16882</v>
      </c>
      <c r="V894" s="4">
        <f>IFERROR(Table1_1[[#This Row],[Profit/Loss]]/Table1_1[[#This Row],[Calculated sales]],0)</f>
        <v>0.29502638845199397</v>
      </c>
    </row>
    <row r="895" spans="1:22" x14ac:dyDescent="0.25">
      <c r="A895" s="4" t="s">
        <v>1044</v>
      </c>
      <c r="B895" s="5">
        <v>45750</v>
      </c>
      <c r="C895" s="4">
        <f>YEAR(Table1_1[[#This Row],[Order Dates]])</f>
        <v>2025</v>
      </c>
      <c r="D895" s="6">
        <f>MONTH(Table1_1[[#This Row],[Order Dates]])</f>
        <v>4</v>
      </c>
      <c r="E895" s="4" t="s">
        <v>56</v>
      </c>
      <c r="F895" s="4" t="s">
        <v>133</v>
      </c>
      <c r="G895" s="4" t="s">
        <v>58</v>
      </c>
      <c r="H895" s="4" t="str">
        <f>TRIM(CLEAN(SUBSTITUTE(Table1_1[[#This Row],[Salesperson]],"   "," ")))</f>
        <v>Karthik Raman</v>
      </c>
      <c r="I895" s="4" t="s">
        <v>19</v>
      </c>
      <c r="J895" s="4" t="s">
        <v>83</v>
      </c>
      <c r="K895" s="4" t="s">
        <v>136</v>
      </c>
      <c r="L895" s="4" t="s">
        <v>137</v>
      </c>
      <c r="M895" s="4" t="s">
        <v>49</v>
      </c>
      <c r="N895" s="4" t="s">
        <v>24</v>
      </c>
      <c r="O895" s="4">
        <v>40</v>
      </c>
      <c r="P895" s="7">
        <v>1720</v>
      </c>
      <c r="Q895" s="8">
        <v>0.1</v>
      </c>
      <c r="R895" s="7">
        <v>1060</v>
      </c>
      <c r="S895" s="7">
        <f>Table1_1[[#This Row],[Units Sold]]*Table1_1[[#This Row],[Unit Price]]*(1-Table1_1[[#This Row],[Discount %]])</f>
        <v>61920</v>
      </c>
      <c r="T895" s="7">
        <f>Table1_1[[#This Row],[Units Sold]]*Table1_1[[#This Row],[Unit Cost]]</f>
        <v>42400</v>
      </c>
      <c r="U895" s="7">
        <f>Table1_1[[#This Row],[Calculated sales]]-Table1_1[[#This Row],[Total cost]]</f>
        <v>19520</v>
      </c>
      <c r="V895" s="4">
        <f>IFERROR(Table1_1[[#This Row],[Profit/Loss]]/Table1_1[[#This Row],[Calculated sales]],0)</f>
        <v>0.3152454780361757</v>
      </c>
    </row>
    <row r="896" spans="1:22" x14ac:dyDescent="0.25">
      <c r="A896" s="4" t="s">
        <v>1045</v>
      </c>
      <c r="B896" s="5">
        <v>45751</v>
      </c>
      <c r="C896" s="4">
        <f>YEAR(Table1_1[[#This Row],[Order Dates]])</f>
        <v>2025</v>
      </c>
      <c r="D896" s="6">
        <f>MONTH(Table1_1[[#This Row],[Order Dates]])</f>
        <v>4</v>
      </c>
      <c r="E896" s="4" t="s">
        <v>56</v>
      </c>
      <c r="F896" s="4" t="s">
        <v>103</v>
      </c>
      <c r="G896" s="4" t="s">
        <v>91</v>
      </c>
      <c r="H896" s="4" t="str">
        <f>TRIM(CLEAN(SUBSTITUTE(Table1_1[[#This Row],[Salesperson]],"   "," ")))</f>
        <v>Anjali Menon</v>
      </c>
      <c r="I896" s="4" t="s">
        <v>92</v>
      </c>
      <c r="J896" s="4" t="s">
        <v>27</v>
      </c>
      <c r="K896" s="4" t="s">
        <v>53</v>
      </c>
      <c r="L896" s="4" t="s">
        <v>1669</v>
      </c>
      <c r="M896" s="4" t="s">
        <v>23</v>
      </c>
      <c r="N896" s="4" t="s">
        <v>24</v>
      </c>
      <c r="O896" s="4">
        <v>2</v>
      </c>
      <c r="P896" s="7">
        <v>42290</v>
      </c>
      <c r="Q896" s="8">
        <v>0.12</v>
      </c>
      <c r="R896" s="7">
        <v>25110</v>
      </c>
      <c r="S896" s="7">
        <f>Table1_1[[#This Row],[Units Sold]]*Table1_1[[#This Row],[Unit Price]]*(1-Table1_1[[#This Row],[Discount %]])</f>
        <v>74430.399999999994</v>
      </c>
      <c r="T896" s="7">
        <f>Table1_1[[#This Row],[Units Sold]]*Table1_1[[#This Row],[Unit Cost]]</f>
        <v>50220</v>
      </c>
      <c r="U896" s="7">
        <f>Table1_1[[#This Row],[Calculated sales]]-Table1_1[[#This Row],[Total cost]]</f>
        <v>24210.399999999994</v>
      </c>
      <c r="V896" s="4">
        <f>IFERROR(Table1_1[[#This Row],[Profit/Loss]]/Table1_1[[#This Row],[Calculated sales]],0)</f>
        <v>0.32527569380253224</v>
      </c>
    </row>
    <row r="897" spans="1:22" x14ac:dyDescent="0.25">
      <c r="A897" s="4" t="s">
        <v>1046</v>
      </c>
      <c r="B897" s="5">
        <v>45751</v>
      </c>
      <c r="C897" s="4">
        <f>YEAR(Table1_1[[#This Row],[Order Dates]])</f>
        <v>2025</v>
      </c>
      <c r="D897" s="6">
        <f>MONTH(Table1_1[[#This Row],[Order Dates]])</f>
        <v>4</v>
      </c>
      <c r="E897" s="4" t="s">
        <v>42</v>
      </c>
      <c r="F897" s="4" t="s">
        <v>123</v>
      </c>
      <c r="G897" s="4" t="s">
        <v>44</v>
      </c>
      <c r="H897" s="4" t="str">
        <f>TRIM(CLEAN(SUBSTITUTE(Table1_1[[#This Row],[Salesperson]],"   "," ")))</f>
        <v>Simran Kaur</v>
      </c>
      <c r="I897" s="4" t="s">
        <v>19</v>
      </c>
      <c r="J897" s="4" t="s">
        <v>20</v>
      </c>
      <c r="K897" s="4" t="s">
        <v>87</v>
      </c>
      <c r="L897" s="4" t="s">
        <v>1674</v>
      </c>
      <c r="M897" s="4" t="s">
        <v>40</v>
      </c>
      <c r="N897" s="4" t="s">
        <v>24</v>
      </c>
      <c r="O897" s="4">
        <v>1</v>
      </c>
      <c r="P897" s="7">
        <v>51460</v>
      </c>
      <c r="Q897" s="8">
        <v>0.15</v>
      </c>
      <c r="R897" s="7">
        <v>32650</v>
      </c>
      <c r="S897" s="7">
        <f>Table1_1[[#This Row],[Units Sold]]*Table1_1[[#This Row],[Unit Price]]*(1-Table1_1[[#This Row],[Discount %]])</f>
        <v>43741</v>
      </c>
      <c r="T897" s="7">
        <f>Table1_1[[#This Row],[Units Sold]]*Table1_1[[#This Row],[Unit Cost]]</f>
        <v>32650</v>
      </c>
      <c r="U897" s="7">
        <f>Table1_1[[#This Row],[Calculated sales]]-Table1_1[[#This Row],[Total cost]]</f>
        <v>11091</v>
      </c>
      <c r="V897" s="4">
        <f>IFERROR(Table1_1[[#This Row],[Profit/Loss]]/Table1_1[[#This Row],[Calculated sales]],0)</f>
        <v>0.25356073249354155</v>
      </c>
    </row>
    <row r="898" spans="1:22" x14ac:dyDescent="0.25">
      <c r="A898" s="4" t="s">
        <v>1047</v>
      </c>
      <c r="B898" s="5">
        <v>45751</v>
      </c>
      <c r="C898" s="4">
        <f>YEAR(Table1_1[[#This Row],[Order Dates]])</f>
        <v>2025</v>
      </c>
      <c r="D898" s="6">
        <f>MONTH(Table1_1[[#This Row],[Order Dates]])</f>
        <v>4</v>
      </c>
      <c r="E898" s="4" t="s">
        <v>42</v>
      </c>
      <c r="F898" s="4" t="s">
        <v>123</v>
      </c>
      <c r="G898" s="4" t="s">
        <v>97</v>
      </c>
      <c r="H898" s="4" t="str">
        <f>TRIM(CLEAN(SUBSTITUTE(Table1_1[[#This Row],[Salesperson]],"   "," ")))</f>
        <v>Rohit Malhotra</v>
      </c>
      <c r="I898" s="4" t="s">
        <v>19</v>
      </c>
      <c r="J898" s="4" t="s">
        <v>20</v>
      </c>
      <c r="K898" s="4" t="s">
        <v>109</v>
      </c>
      <c r="L898" s="4" t="s">
        <v>171</v>
      </c>
      <c r="M898" s="4" t="s">
        <v>49</v>
      </c>
      <c r="N898" s="4" t="s">
        <v>35</v>
      </c>
      <c r="O898" s="4">
        <v>3</v>
      </c>
      <c r="P898" s="7">
        <v>21010</v>
      </c>
      <c r="Q898" s="8">
        <v>0.05</v>
      </c>
      <c r="R898" s="7">
        <v>14210</v>
      </c>
      <c r="S898" s="7">
        <f>Table1_1[[#This Row],[Units Sold]]*Table1_1[[#This Row],[Unit Price]]*(1-Table1_1[[#This Row],[Discount %]])</f>
        <v>59878.5</v>
      </c>
      <c r="T898" s="7">
        <f>Table1_1[[#This Row],[Units Sold]]*Table1_1[[#This Row],[Unit Cost]]</f>
        <v>42630</v>
      </c>
      <c r="U898" s="7">
        <f>Table1_1[[#This Row],[Calculated sales]]-Table1_1[[#This Row],[Total cost]]</f>
        <v>17248.5</v>
      </c>
      <c r="V898" s="4">
        <f>IFERROR(Table1_1[[#This Row],[Profit/Loss]]/Table1_1[[#This Row],[Calculated sales]],0)</f>
        <v>0.28805831809414062</v>
      </c>
    </row>
    <row r="899" spans="1:22" x14ac:dyDescent="0.25">
      <c r="A899" s="4" t="s">
        <v>1048</v>
      </c>
      <c r="B899" s="5">
        <v>45752</v>
      </c>
      <c r="C899" s="4">
        <f>YEAR(Table1_1[[#This Row],[Order Dates]])</f>
        <v>2025</v>
      </c>
      <c r="D899" s="6">
        <f>MONTH(Table1_1[[#This Row],[Order Dates]])</f>
        <v>4</v>
      </c>
      <c r="E899" s="4" t="s">
        <v>42</v>
      </c>
      <c r="F899" s="4" t="s">
        <v>146</v>
      </c>
      <c r="G899" s="4" t="s">
        <v>64</v>
      </c>
      <c r="H899" s="4" t="str">
        <f>TRIM(CLEAN(SUBSTITUTE(Table1_1[[#This Row],[Salesperson]],"   "," ")))</f>
        <v>Aditya Verma</v>
      </c>
      <c r="I899" s="4" t="s">
        <v>19</v>
      </c>
      <c r="J899" s="4" t="s">
        <v>20</v>
      </c>
      <c r="K899" s="4" t="s">
        <v>21</v>
      </c>
      <c r="L899" s="4" t="s">
        <v>1670</v>
      </c>
      <c r="M899" s="4" t="s">
        <v>40</v>
      </c>
      <c r="N899" s="4" t="s">
        <v>24</v>
      </c>
      <c r="O899" s="4">
        <v>10</v>
      </c>
      <c r="P899" s="7">
        <v>8210</v>
      </c>
      <c r="Q899" s="8">
        <v>0</v>
      </c>
      <c r="R899" s="7">
        <v>5170</v>
      </c>
      <c r="S899" s="7">
        <f>Table1_1[[#This Row],[Units Sold]]*Table1_1[[#This Row],[Unit Price]]*(1-Table1_1[[#This Row],[Discount %]])</f>
        <v>82100</v>
      </c>
      <c r="T899" s="7">
        <f>Table1_1[[#This Row],[Units Sold]]*Table1_1[[#This Row],[Unit Cost]]</f>
        <v>51700</v>
      </c>
      <c r="U899" s="7">
        <f>Table1_1[[#This Row],[Calculated sales]]-Table1_1[[#This Row],[Total cost]]</f>
        <v>30400</v>
      </c>
      <c r="V899" s="4">
        <f>IFERROR(Table1_1[[#This Row],[Profit/Loss]]/Table1_1[[#This Row],[Calculated sales]],0)</f>
        <v>0.37028014616321558</v>
      </c>
    </row>
    <row r="900" spans="1:22" x14ac:dyDescent="0.25">
      <c r="A900" s="4" t="s">
        <v>1049</v>
      </c>
      <c r="B900" s="5">
        <v>45752</v>
      </c>
      <c r="C900" s="4">
        <f>YEAR(Table1_1[[#This Row],[Order Dates]])</f>
        <v>2025</v>
      </c>
      <c r="D900" s="6">
        <f>MONTH(Table1_1[[#This Row],[Order Dates]])</f>
        <v>4</v>
      </c>
      <c r="E900" s="4" t="s">
        <v>16</v>
      </c>
      <c r="F900" s="4" t="s">
        <v>31</v>
      </c>
      <c r="G900" s="4" t="s">
        <v>32</v>
      </c>
      <c r="H900" s="4" t="str">
        <f>TRIM(CLEAN(SUBSTITUTE(Table1_1[[#This Row],[Salesperson]],"   "," ")))</f>
        <v>Neha Deshpande</v>
      </c>
      <c r="I900" s="4" t="s">
        <v>52</v>
      </c>
      <c r="J900" s="4" t="s">
        <v>20</v>
      </c>
      <c r="K900" s="4" t="s">
        <v>109</v>
      </c>
      <c r="L900" s="4" t="s">
        <v>1675</v>
      </c>
      <c r="M900" s="4" t="s">
        <v>49</v>
      </c>
      <c r="N900" s="4" t="s">
        <v>24</v>
      </c>
      <c r="O900" s="4">
        <v>1</v>
      </c>
      <c r="P900" s="7">
        <v>66010</v>
      </c>
      <c r="Q900" s="8">
        <v>0.1</v>
      </c>
      <c r="R900" s="7">
        <v>47750</v>
      </c>
      <c r="S900" s="7">
        <f>Table1_1[[#This Row],[Units Sold]]*Table1_1[[#This Row],[Unit Price]]*(1-Table1_1[[#This Row],[Discount %]])</f>
        <v>59409</v>
      </c>
      <c r="T900" s="7">
        <f>Table1_1[[#This Row],[Units Sold]]*Table1_1[[#This Row],[Unit Cost]]</f>
        <v>47750</v>
      </c>
      <c r="U900" s="7">
        <f>Table1_1[[#This Row],[Calculated sales]]-Table1_1[[#This Row],[Total cost]]</f>
        <v>11659</v>
      </c>
      <c r="V900" s="4">
        <f>IFERROR(Table1_1[[#This Row],[Profit/Loss]]/Table1_1[[#This Row],[Calculated sales]],0)</f>
        <v>0.19624972647242001</v>
      </c>
    </row>
    <row r="901" spans="1:22" x14ac:dyDescent="0.25">
      <c r="A901" s="4" t="s">
        <v>1050</v>
      </c>
      <c r="B901" s="5">
        <v>45752</v>
      </c>
      <c r="C901" s="4">
        <f>YEAR(Table1_1[[#This Row],[Order Dates]])</f>
        <v>2025</v>
      </c>
      <c r="D901" s="6">
        <f>MONTH(Table1_1[[#This Row],[Order Dates]])</f>
        <v>4</v>
      </c>
      <c r="E901" s="4" t="s">
        <v>42</v>
      </c>
      <c r="F901" s="4" t="s">
        <v>265</v>
      </c>
      <c r="G901" s="4" t="s">
        <v>97</v>
      </c>
      <c r="H901" s="4" t="str">
        <f>TRIM(CLEAN(SUBSTITUTE(Table1_1[[#This Row],[Salesperson]],"   "," ")))</f>
        <v>Rohit Malhotra</v>
      </c>
      <c r="I901" s="4" t="s">
        <v>52</v>
      </c>
      <c r="J901" s="4" t="s">
        <v>59</v>
      </c>
      <c r="K901" s="4" t="s">
        <v>73</v>
      </c>
      <c r="L901" s="4" t="s">
        <v>113</v>
      </c>
      <c r="M901" s="4" t="s">
        <v>49</v>
      </c>
      <c r="N901" s="4" t="s">
        <v>24</v>
      </c>
      <c r="O901" s="4">
        <v>2</v>
      </c>
      <c r="P901" s="7">
        <v>32620</v>
      </c>
      <c r="Q901" s="8">
        <v>0.05</v>
      </c>
      <c r="R901" s="7">
        <v>24490</v>
      </c>
      <c r="S901" s="7">
        <f>Table1_1[[#This Row],[Units Sold]]*Table1_1[[#This Row],[Unit Price]]*(1-Table1_1[[#This Row],[Discount %]])</f>
        <v>61978</v>
      </c>
      <c r="T901" s="7">
        <f>Table1_1[[#This Row],[Units Sold]]*Table1_1[[#This Row],[Unit Cost]]</f>
        <v>48980</v>
      </c>
      <c r="U901" s="7">
        <f>Table1_1[[#This Row],[Calculated sales]]-Table1_1[[#This Row],[Total cost]]</f>
        <v>12998</v>
      </c>
      <c r="V901" s="4">
        <f>IFERROR(Table1_1[[#This Row],[Profit/Loss]]/Table1_1[[#This Row],[Calculated sales]],0)</f>
        <v>0.20971957791474394</v>
      </c>
    </row>
    <row r="902" spans="1:22" x14ac:dyDescent="0.25">
      <c r="A902" s="4" t="s">
        <v>1051</v>
      </c>
      <c r="B902" s="5">
        <v>45752</v>
      </c>
      <c r="C902" s="4">
        <f>YEAR(Table1_1[[#This Row],[Order Dates]])</f>
        <v>2025</v>
      </c>
      <c r="D902" s="6">
        <f>MONTH(Table1_1[[#This Row],[Order Dates]])</f>
        <v>4</v>
      </c>
      <c r="E902" s="4" t="s">
        <v>37</v>
      </c>
      <c r="F902" s="4" t="s">
        <v>161</v>
      </c>
      <c r="G902" s="4" t="s">
        <v>39</v>
      </c>
      <c r="H902" s="4" t="str">
        <f>TRIM(CLEAN(SUBSTITUTE(Table1_1[[#This Row],[Salesperson]],"   "," ")))</f>
        <v>Sourav Das</v>
      </c>
      <c r="I902" s="4" t="s">
        <v>45</v>
      </c>
      <c r="J902" s="4" t="s">
        <v>20</v>
      </c>
      <c r="K902" s="4" t="s">
        <v>87</v>
      </c>
      <c r="L902" s="4" t="s">
        <v>1674</v>
      </c>
      <c r="M902" s="4" t="s">
        <v>49</v>
      </c>
      <c r="N902" s="4" t="s">
        <v>24</v>
      </c>
      <c r="O902" s="4">
        <v>6</v>
      </c>
      <c r="P902" s="7">
        <v>53610</v>
      </c>
      <c r="Q902" s="8">
        <v>0.2</v>
      </c>
      <c r="R902" s="7">
        <v>42180</v>
      </c>
      <c r="S902" s="7">
        <f>Table1_1[[#This Row],[Units Sold]]*Table1_1[[#This Row],[Unit Price]]*(1-Table1_1[[#This Row],[Discount %]])</f>
        <v>257328</v>
      </c>
      <c r="T902" s="7">
        <f>Table1_1[[#This Row],[Units Sold]]*Table1_1[[#This Row],[Unit Cost]]</f>
        <v>253080</v>
      </c>
      <c r="U902" s="7">
        <f>Table1_1[[#This Row],[Calculated sales]]-Table1_1[[#This Row],[Total cost]]</f>
        <v>4248</v>
      </c>
      <c r="V902" s="4">
        <f>IFERROR(Table1_1[[#This Row],[Profit/Loss]]/Table1_1[[#This Row],[Calculated sales]],0)</f>
        <v>1.650811415780638E-2</v>
      </c>
    </row>
    <row r="903" spans="1:22" x14ac:dyDescent="0.25">
      <c r="A903" s="4" t="s">
        <v>1052</v>
      </c>
      <c r="B903" s="5">
        <v>45754</v>
      </c>
      <c r="C903" s="4">
        <f>YEAR(Table1_1[[#This Row],[Order Dates]])</f>
        <v>2025</v>
      </c>
      <c r="D903" s="6">
        <f>MONTH(Table1_1[[#This Row],[Order Dates]])</f>
        <v>4</v>
      </c>
      <c r="E903" s="4" t="s">
        <v>42</v>
      </c>
      <c r="F903" s="4" t="s">
        <v>43</v>
      </c>
      <c r="G903" s="4" t="s">
        <v>64</v>
      </c>
      <c r="H903" s="4" t="str">
        <f>TRIM(CLEAN(SUBSTITUTE(Table1_1[[#This Row],[Salesperson]],"   "," ")))</f>
        <v>Aditya Verma</v>
      </c>
      <c r="I903" s="4" t="s">
        <v>19</v>
      </c>
      <c r="J903" s="4" t="s">
        <v>27</v>
      </c>
      <c r="K903" s="4" t="s">
        <v>214</v>
      </c>
      <c r="L903" s="4" t="s">
        <v>1681</v>
      </c>
      <c r="M903" s="4" t="s">
        <v>40</v>
      </c>
      <c r="N903" s="4" t="s">
        <v>24</v>
      </c>
      <c r="O903" s="4">
        <v>3</v>
      </c>
      <c r="P903" s="7">
        <v>14840</v>
      </c>
      <c r="Q903" s="8">
        <v>0.12</v>
      </c>
      <c r="R903" s="7">
        <v>10540</v>
      </c>
      <c r="S903" s="7">
        <f>Table1_1[[#This Row],[Units Sold]]*Table1_1[[#This Row],[Unit Price]]*(1-Table1_1[[#This Row],[Discount %]])</f>
        <v>39177.599999999999</v>
      </c>
      <c r="T903" s="7">
        <f>Table1_1[[#This Row],[Units Sold]]*Table1_1[[#This Row],[Unit Cost]]</f>
        <v>31620</v>
      </c>
      <c r="U903" s="7">
        <f>Table1_1[[#This Row],[Calculated sales]]-Table1_1[[#This Row],[Total cost]]</f>
        <v>7557.5999999999985</v>
      </c>
      <c r="V903" s="4">
        <f>IFERROR(Table1_1[[#This Row],[Profit/Loss]]/Table1_1[[#This Row],[Calculated sales]],0)</f>
        <v>0.19290615045332024</v>
      </c>
    </row>
    <row r="904" spans="1:22" x14ac:dyDescent="0.25">
      <c r="A904" s="4" t="s">
        <v>1053</v>
      </c>
      <c r="B904" s="5">
        <v>45754</v>
      </c>
      <c r="C904" s="4">
        <f>YEAR(Table1_1[[#This Row],[Order Dates]])</f>
        <v>2025</v>
      </c>
      <c r="D904" s="6">
        <f>MONTH(Table1_1[[#This Row],[Order Dates]])</f>
        <v>4</v>
      </c>
      <c r="E904" s="4" t="s">
        <v>42</v>
      </c>
      <c r="F904" s="4" t="s">
        <v>43</v>
      </c>
      <c r="G904" s="4" t="s">
        <v>64</v>
      </c>
      <c r="H904" s="4" t="str">
        <f>TRIM(CLEAN(SUBSTITUTE(Table1_1[[#This Row],[Salesperson]],"   "," ")))</f>
        <v>Aditya Verma</v>
      </c>
      <c r="I904" s="4" t="s">
        <v>52</v>
      </c>
      <c r="J904" s="4" t="s">
        <v>83</v>
      </c>
      <c r="K904" s="4" t="s">
        <v>184</v>
      </c>
      <c r="L904" s="4" t="s">
        <v>1679</v>
      </c>
      <c r="M904" s="4" t="s">
        <v>23</v>
      </c>
      <c r="N904" s="4" t="s">
        <v>24</v>
      </c>
      <c r="O904" s="4">
        <v>14</v>
      </c>
      <c r="P904" s="7">
        <v>4660</v>
      </c>
      <c r="Q904" s="8">
        <v>0.05</v>
      </c>
      <c r="R904" s="7">
        <v>3450</v>
      </c>
      <c r="S904" s="7">
        <f>Table1_1[[#This Row],[Units Sold]]*Table1_1[[#This Row],[Unit Price]]*(1-Table1_1[[#This Row],[Discount %]])</f>
        <v>61978</v>
      </c>
      <c r="T904" s="7">
        <f>Table1_1[[#This Row],[Units Sold]]*Table1_1[[#This Row],[Unit Cost]]</f>
        <v>48300</v>
      </c>
      <c r="U904" s="7">
        <f>Table1_1[[#This Row],[Calculated sales]]-Table1_1[[#This Row],[Total cost]]</f>
        <v>13678</v>
      </c>
      <c r="V904" s="4">
        <f>IFERROR(Table1_1[[#This Row],[Profit/Loss]]/Table1_1[[#This Row],[Calculated sales]],0)</f>
        <v>0.22069121301106845</v>
      </c>
    </row>
    <row r="905" spans="1:22" x14ac:dyDescent="0.25">
      <c r="A905" s="4" t="s">
        <v>1054</v>
      </c>
      <c r="B905" s="5">
        <v>45755</v>
      </c>
      <c r="C905" s="4">
        <f>YEAR(Table1_1[[#This Row],[Order Dates]])</f>
        <v>2025</v>
      </c>
      <c r="D905" s="6">
        <f>MONTH(Table1_1[[#This Row],[Order Dates]])</f>
        <v>4</v>
      </c>
      <c r="E905" s="4" t="s">
        <v>42</v>
      </c>
      <c r="F905" s="4" t="s">
        <v>146</v>
      </c>
      <c r="G905" s="4" t="s">
        <v>44</v>
      </c>
      <c r="H905" s="4" t="str">
        <f>TRIM(CLEAN(SUBSTITUTE(Table1_1[[#This Row],[Salesperson]],"   "," ")))</f>
        <v>Simran Kaur</v>
      </c>
      <c r="I905" s="4" t="s">
        <v>52</v>
      </c>
      <c r="J905" s="4" t="s">
        <v>46</v>
      </c>
      <c r="K905" s="4" t="s">
        <v>47</v>
      </c>
      <c r="L905" s="4" t="s">
        <v>48</v>
      </c>
      <c r="M905" s="4" t="s">
        <v>40</v>
      </c>
      <c r="N905" s="4" t="s">
        <v>24</v>
      </c>
      <c r="O905" s="4">
        <v>17</v>
      </c>
      <c r="P905" s="7">
        <v>1900</v>
      </c>
      <c r="Q905" s="8">
        <v>0.05</v>
      </c>
      <c r="R905" s="7">
        <v>1280</v>
      </c>
      <c r="S905" s="7">
        <f>Table1_1[[#This Row],[Units Sold]]*Table1_1[[#This Row],[Unit Price]]*(1-Table1_1[[#This Row],[Discount %]])</f>
        <v>30685</v>
      </c>
      <c r="T905" s="7">
        <f>Table1_1[[#This Row],[Units Sold]]*Table1_1[[#This Row],[Unit Cost]]</f>
        <v>21760</v>
      </c>
      <c r="U905" s="7">
        <f>Table1_1[[#This Row],[Calculated sales]]-Table1_1[[#This Row],[Total cost]]</f>
        <v>8925</v>
      </c>
      <c r="V905" s="4">
        <f>IFERROR(Table1_1[[#This Row],[Profit/Loss]]/Table1_1[[#This Row],[Calculated sales]],0)</f>
        <v>0.29085872576177285</v>
      </c>
    </row>
    <row r="906" spans="1:22" x14ac:dyDescent="0.25">
      <c r="A906" s="4" t="s">
        <v>1055</v>
      </c>
      <c r="B906" s="5">
        <v>45756</v>
      </c>
      <c r="C906" s="4">
        <f>YEAR(Table1_1[[#This Row],[Order Dates]])</f>
        <v>2025</v>
      </c>
      <c r="D906" s="6">
        <f>MONTH(Table1_1[[#This Row],[Order Dates]])</f>
        <v>4</v>
      </c>
      <c r="E906" s="4" t="s">
        <v>42</v>
      </c>
      <c r="F906" s="4" t="s">
        <v>265</v>
      </c>
      <c r="G906" s="4" t="s">
        <v>44</v>
      </c>
      <c r="H906" s="4" t="str">
        <f>TRIM(CLEAN(SUBSTITUTE(Table1_1[[#This Row],[Salesperson]],"   "," ")))</f>
        <v>Simran Kaur</v>
      </c>
      <c r="I906" s="4" t="s">
        <v>92</v>
      </c>
      <c r="J906" s="4" t="s">
        <v>27</v>
      </c>
      <c r="K906" s="4" t="s">
        <v>79</v>
      </c>
      <c r="L906" s="4" t="s">
        <v>262</v>
      </c>
      <c r="M906" s="4" t="s">
        <v>23</v>
      </c>
      <c r="N906" s="4" t="s">
        <v>24</v>
      </c>
      <c r="O906" s="4">
        <v>16</v>
      </c>
      <c r="P906" s="7">
        <v>2580</v>
      </c>
      <c r="Q906" s="8">
        <v>0</v>
      </c>
      <c r="R906" s="7">
        <v>1510</v>
      </c>
      <c r="S906" s="7">
        <f>Table1_1[[#This Row],[Units Sold]]*Table1_1[[#This Row],[Unit Price]]*(1-Table1_1[[#This Row],[Discount %]])</f>
        <v>41280</v>
      </c>
      <c r="T906" s="7">
        <f>Table1_1[[#This Row],[Units Sold]]*Table1_1[[#This Row],[Unit Cost]]</f>
        <v>24160</v>
      </c>
      <c r="U906" s="7">
        <f>Table1_1[[#This Row],[Calculated sales]]-Table1_1[[#This Row],[Total cost]]</f>
        <v>17120</v>
      </c>
      <c r="V906" s="4">
        <f>IFERROR(Table1_1[[#This Row],[Profit/Loss]]/Table1_1[[#This Row],[Calculated sales]],0)</f>
        <v>0.41472868217054265</v>
      </c>
    </row>
    <row r="907" spans="1:22" x14ac:dyDescent="0.25">
      <c r="A907" s="4" t="s">
        <v>1056</v>
      </c>
      <c r="B907" s="5">
        <v>45756</v>
      </c>
      <c r="C907" s="4">
        <f>YEAR(Table1_1[[#This Row],[Order Dates]])</f>
        <v>2025</v>
      </c>
      <c r="D907" s="6">
        <f>MONTH(Table1_1[[#This Row],[Order Dates]])</f>
        <v>4</v>
      </c>
      <c r="E907" s="4" t="s">
        <v>42</v>
      </c>
      <c r="F907" s="4" t="s">
        <v>130</v>
      </c>
      <c r="G907" s="4" t="s">
        <v>44</v>
      </c>
      <c r="H907" s="4" t="str">
        <f>TRIM(CLEAN(SUBSTITUTE(Table1_1[[#This Row],[Salesperson]],"   "," ")))</f>
        <v>Simran Kaur</v>
      </c>
      <c r="I907" s="4" t="s">
        <v>52</v>
      </c>
      <c r="J907" s="4" t="s">
        <v>27</v>
      </c>
      <c r="K907" s="4" t="s">
        <v>79</v>
      </c>
      <c r="L907" s="4" t="s">
        <v>262</v>
      </c>
      <c r="M907" s="4" t="s">
        <v>40</v>
      </c>
      <c r="N907" s="4" t="s">
        <v>24</v>
      </c>
      <c r="O907" s="4">
        <v>35</v>
      </c>
      <c r="P907" s="7">
        <v>2640</v>
      </c>
      <c r="Q907" s="8">
        <v>0.15</v>
      </c>
      <c r="R907" s="7">
        <v>1990</v>
      </c>
      <c r="S907" s="7">
        <f>Table1_1[[#This Row],[Units Sold]]*Table1_1[[#This Row],[Unit Price]]*(1-Table1_1[[#This Row],[Discount %]])</f>
        <v>78540</v>
      </c>
      <c r="T907" s="7">
        <f>Table1_1[[#This Row],[Units Sold]]*Table1_1[[#This Row],[Unit Cost]]</f>
        <v>69650</v>
      </c>
      <c r="U907" s="7">
        <f>Table1_1[[#This Row],[Calculated sales]]-Table1_1[[#This Row],[Total cost]]</f>
        <v>8890</v>
      </c>
      <c r="V907" s="4">
        <f>IFERROR(Table1_1[[#This Row],[Profit/Loss]]/Table1_1[[#This Row],[Calculated sales]],0)</f>
        <v>0.11319073083778966</v>
      </c>
    </row>
    <row r="908" spans="1:22" x14ac:dyDescent="0.25">
      <c r="A908" s="4" t="s">
        <v>1057</v>
      </c>
      <c r="B908" s="5">
        <v>45756</v>
      </c>
      <c r="C908" s="4">
        <f>YEAR(Table1_1[[#This Row],[Order Dates]])</f>
        <v>2025</v>
      </c>
      <c r="D908" s="6">
        <f>MONTH(Table1_1[[#This Row],[Order Dates]])</f>
        <v>4</v>
      </c>
      <c r="E908" s="4" t="s">
        <v>37</v>
      </c>
      <c r="F908" s="4" t="s">
        <v>38</v>
      </c>
      <c r="G908" s="4" t="s">
        <v>39</v>
      </c>
      <c r="H908" s="4" t="str">
        <f>TRIM(CLEAN(SUBSTITUTE(Table1_1[[#This Row],[Salesperson]],"   "," ")))</f>
        <v>Sourav Das</v>
      </c>
      <c r="I908" s="4" t="s">
        <v>19</v>
      </c>
      <c r="J908" s="4" t="s">
        <v>27</v>
      </c>
      <c r="K908" s="4" t="s">
        <v>28</v>
      </c>
      <c r="L908" s="4" t="s">
        <v>1668</v>
      </c>
      <c r="M908" s="4" t="s">
        <v>49</v>
      </c>
      <c r="N908" s="4" t="s">
        <v>24</v>
      </c>
      <c r="O908" s="4">
        <v>2</v>
      </c>
      <c r="P908" s="7">
        <v>28110</v>
      </c>
      <c r="Q908" s="8">
        <v>0</v>
      </c>
      <c r="R908" s="7">
        <v>17040</v>
      </c>
      <c r="S908" s="7">
        <f>Table1_1[[#This Row],[Units Sold]]*Table1_1[[#This Row],[Unit Price]]*(1-Table1_1[[#This Row],[Discount %]])</f>
        <v>56220</v>
      </c>
      <c r="T908" s="7">
        <f>Table1_1[[#This Row],[Units Sold]]*Table1_1[[#This Row],[Unit Cost]]</f>
        <v>34080</v>
      </c>
      <c r="U908" s="7">
        <f>Table1_1[[#This Row],[Calculated sales]]-Table1_1[[#This Row],[Total cost]]</f>
        <v>22140</v>
      </c>
      <c r="V908" s="4">
        <f>IFERROR(Table1_1[[#This Row],[Profit/Loss]]/Table1_1[[#This Row],[Calculated sales]],0)</f>
        <v>0.39381003201707576</v>
      </c>
    </row>
    <row r="909" spans="1:22" x14ac:dyDescent="0.25">
      <c r="A909" s="4" t="s">
        <v>1058</v>
      </c>
      <c r="B909" s="5">
        <v>45757</v>
      </c>
      <c r="C909" s="4">
        <f>YEAR(Table1_1[[#This Row],[Order Dates]])</f>
        <v>2025</v>
      </c>
      <c r="D909" s="6">
        <f>MONTH(Table1_1[[#This Row],[Order Dates]])</f>
        <v>4</v>
      </c>
      <c r="E909" s="4" t="s">
        <v>37</v>
      </c>
      <c r="F909" s="4" t="s">
        <v>166</v>
      </c>
      <c r="G909" s="4" t="s">
        <v>68</v>
      </c>
      <c r="H909" s="4" t="str">
        <f>TRIM(CLEAN(SUBSTITUTE(Table1_1[[#This Row],[Salesperson]],"   "," ")))</f>
        <v>Ritika Ghosh</v>
      </c>
      <c r="I909" s="4" t="s">
        <v>52</v>
      </c>
      <c r="J909" s="4" t="s">
        <v>46</v>
      </c>
      <c r="K909" s="4" t="s">
        <v>179</v>
      </c>
      <c r="L909" s="4" t="s">
        <v>236</v>
      </c>
      <c r="M909" s="4" t="s">
        <v>40</v>
      </c>
      <c r="N909" s="4" t="s">
        <v>24</v>
      </c>
      <c r="O909" s="4">
        <v>36</v>
      </c>
      <c r="P909" s="7">
        <v>2310</v>
      </c>
      <c r="Q909" s="8">
        <v>0.08</v>
      </c>
      <c r="R909" s="7">
        <v>1650</v>
      </c>
      <c r="S909" s="7">
        <f>Table1_1[[#This Row],[Units Sold]]*Table1_1[[#This Row],[Unit Price]]*(1-Table1_1[[#This Row],[Discount %]])</f>
        <v>76507.199999999997</v>
      </c>
      <c r="T909" s="7">
        <f>Table1_1[[#This Row],[Units Sold]]*Table1_1[[#This Row],[Unit Cost]]</f>
        <v>59400</v>
      </c>
      <c r="U909" s="7">
        <f>Table1_1[[#This Row],[Calculated sales]]-Table1_1[[#This Row],[Total cost]]</f>
        <v>17107.199999999997</v>
      </c>
      <c r="V909" s="4">
        <f>IFERROR(Table1_1[[#This Row],[Profit/Loss]]/Table1_1[[#This Row],[Calculated sales]],0)</f>
        <v>0.22360248447204967</v>
      </c>
    </row>
    <row r="910" spans="1:22" x14ac:dyDescent="0.25">
      <c r="A910" s="4" t="s">
        <v>1059</v>
      </c>
      <c r="B910" s="5">
        <v>45757</v>
      </c>
      <c r="C910" s="4">
        <f>YEAR(Table1_1[[#This Row],[Order Dates]])</f>
        <v>2025</v>
      </c>
      <c r="D910" s="6">
        <f>MONTH(Table1_1[[#This Row],[Order Dates]])</f>
        <v>4</v>
      </c>
      <c r="E910" s="4" t="s">
        <v>16</v>
      </c>
      <c r="F910" s="4" t="s">
        <v>17</v>
      </c>
      <c r="G910" s="4" t="s">
        <v>18</v>
      </c>
      <c r="H910" s="4" t="str">
        <f>TRIM(CLEAN(SUBSTITUTE(Table1_1[[#This Row],[Salesperson]],"   "," ")))</f>
        <v>Imran Sheikh</v>
      </c>
      <c r="I910" s="4" t="s">
        <v>52</v>
      </c>
      <c r="J910" s="4" t="s">
        <v>83</v>
      </c>
      <c r="K910" s="4" t="s">
        <v>184</v>
      </c>
      <c r="L910" s="4" t="s">
        <v>1679</v>
      </c>
      <c r="M910" s="4" t="s">
        <v>40</v>
      </c>
      <c r="N910" s="4" t="s">
        <v>24</v>
      </c>
      <c r="O910" s="4">
        <v>14</v>
      </c>
      <c r="P910" s="7">
        <v>4380</v>
      </c>
      <c r="Q910" s="8">
        <v>0.08</v>
      </c>
      <c r="R910" s="7">
        <v>2750</v>
      </c>
      <c r="S910" s="7">
        <f>Table1_1[[#This Row],[Units Sold]]*Table1_1[[#This Row],[Unit Price]]*(1-Table1_1[[#This Row],[Discount %]])</f>
        <v>56414.400000000001</v>
      </c>
      <c r="T910" s="7">
        <f>Table1_1[[#This Row],[Units Sold]]*Table1_1[[#This Row],[Unit Cost]]</f>
        <v>38500</v>
      </c>
      <c r="U910" s="7">
        <f>Table1_1[[#This Row],[Calculated sales]]-Table1_1[[#This Row],[Total cost]]</f>
        <v>17914.400000000001</v>
      </c>
      <c r="V910" s="4">
        <f>IFERROR(Table1_1[[#This Row],[Profit/Loss]]/Table1_1[[#This Row],[Calculated sales]],0)</f>
        <v>0.31755012904506652</v>
      </c>
    </row>
    <row r="911" spans="1:22" x14ac:dyDescent="0.25">
      <c r="A911" s="4" t="s">
        <v>1060</v>
      </c>
      <c r="B911" s="5">
        <v>45758</v>
      </c>
      <c r="C911" s="4">
        <f>YEAR(Table1_1[[#This Row],[Order Dates]])</f>
        <v>2025</v>
      </c>
      <c r="D911" s="6">
        <f>MONTH(Table1_1[[#This Row],[Order Dates]])</f>
        <v>4</v>
      </c>
      <c r="E911" s="4" t="s">
        <v>42</v>
      </c>
      <c r="F911" s="4" t="s">
        <v>265</v>
      </c>
      <c r="G911" s="4" t="s">
        <v>97</v>
      </c>
      <c r="H911" s="4" t="str">
        <f>TRIM(CLEAN(SUBSTITUTE(Table1_1[[#This Row],[Salesperson]],"   "," ")))</f>
        <v>Rohit Malhotra</v>
      </c>
      <c r="I911" s="4" t="s">
        <v>45</v>
      </c>
      <c r="J911" s="4" t="s">
        <v>46</v>
      </c>
      <c r="K911" s="4" t="s">
        <v>47</v>
      </c>
      <c r="L911" s="4" t="s">
        <v>1673</v>
      </c>
      <c r="M911" s="4" t="s">
        <v>40</v>
      </c>
      <c r="N911" s="4" t="s">
        <v>94</v>
      </c>
      <c r="O911" s="4">
        <v>58</v>
      </c>
      <c r="P911" s="7">
        <v>1250</v>
      </c>
      <c r="Q911" s="8">
        <v>0.1</v>
      </c>
      <c r="R911" s="7">
        <v>870</v>
      </c>
      <c r="S911" s="7">
        <f>Table1_1[[#This Row],[Units Sold]]*Table1_1[[#This Row],[Unit Price]]*(1-Table1_1[[#This Row],[Discount %]])</f>
        <v>65250</v>
      </c>
      <c r="T911" s="7">
        <f>Table1_1[[#This Row],[Units Sold]]*Table1_1[[#This Row],[Unit Cost]]</f>
        <v>50460</v>
      </c>
      <c r="U911" s="7">
        <f>Table1_1[[#This Row],[Calculated sales]]-Table1_1[[#This Row],[Total cost]]</f>
        <v>14790</v>
      </c>
      <c r="V911" s="4">
        <f>IFERROR(Table1_1[[#This Row],[Profit/Loss]]/Table1_1[[#This Row],[Calculated sales]],0)</f>
        <v>0.22666666666666666</v>
      </c>
    </row>
    <row r="912" spans="1:22" x14ac:dyDescent="0.25">
      <c r="A912" s="4" t="s">
        <v>1061</v>
      </c>
      <c r="B912" s="5">
        <v>45758</v>
      </c>
      <c r="C912" s="4">
        <f>YEAR(Table1_1[[#This Row],[Order Dates]])</f>
        <v>2025</v>
      </c>
      <c r="D912" s="6">
        <f>MONTH(Table1_1[[#This Row],[Order Dates]])</f>
        <v>4</v>
      </c>
      <c r="E912" s="4" t="s">
        <v>16</v>
      </c>
      <c r="F912" s="4" t="s">
        <v>191</v>
      </c>
      <c r="G912" s="4" t="s">
        <v>26</v>
      </c>
      <c r="H912" s="4" t="str">
        <f>TRIM(CLEAN(SUBSTITUTE(Table1_1[[#This Row],[Salesperson]],"   "," ")))</f>
        <v>Prateek Shah</v>
      </c>
      <c r="I912" s="4" t="s">
        <v>19</v>
      </c>
      <c r="J912" s="4" t="s">
        <v>27</v>
      </c>
      <c r="K912" s="4" t="s">
        <v>214</v>
      </c>
      <c r="L912" s="4" t="s">
        <v>1680</v>
      </c>
      <c r="M912" s="4" t="s">
        <v>23</v>
      </c>
      <c r="N912" s="4" t="s">
        <v>35</v>
      </c>
      <c r="O912" s="4">
        <v>1</v>
      </c>
      <c r="P912" s="7">
        <v>35110</v>
      </c>
      <c r="Q912" s="8">
        <v>0.08</v>
      </c>
      <c r="R912" s="7">
        <v>23870</v>
      </c>
      <c r="S912" s="7">
        <f>Table1_1[[#This Row],[Units Sold]]*Table1_1[[#This Row],[Unit Price]]*(1-Table1_1[[#This Row],[Discount %]])</f>
        <v>32301.200000000001</v>
      </c>
      <c r="T912" s="7">
        <f>Table1_1[[#This Row],[Units Sold]]*Table1_1[[#This Row],[Unit Cost]]</f>
        <v>23870</v>
      </c>
      <c r="U912" s="7">
        <f>Table1_1[[#This Row],[Calculated sales]]-Table1_1[[#This Row],[Total cost]]</f>
        <v>8431.2000000000007</v>
      </c>
      <c r="V912" s="4">
        <f>IFERROR(Table1_1[[#This Row],[Profit/Loss]]/Table1_1[[#This Row],[Calculated sales]],0)</f>
        <v>0.26101816650774584</v>
      </c>
    </row>
    <row r="913" spans="1:22" x14ac:dyDescent="0.25">
      <c r="A913" s="4" t="s">
        <v>1062</v>
      </c>
      <c r="B913" s="5">
        <v>45758</v>
      </c>
      <c r="C913" s="4">
        <f>YEAR(Table1_1[[#This Row],[Order Dates]])</f>
        <v>2025</v>
      </c>
      <c r="D913" s="6">
        <f>MONTH(Table1_1[[#This Row],[Order Dates]])</f>
        <v>4</v>
      </c>
      <c r="E913" s="4" t="s">
        <v>37</v>
      </c>
      <c r="F913" s="4" t="s">
        <v>115</v>
      </c>
      <c r="G913" s="4" t="s">
        <v>39</v>
      </c>
      <c r="H913" s="4" t="str">
        <f>TRIM(CLEAN(SUBSTITUTE(Table1_1[[#This Row],[Salesperson]],"   "," ")))</f>
        <v>Sourav Das</v>
      </c>
      <c r="I913" s="4" t="s">
        <v>19</v>
      </c>
      <c r="J913" s="4" t="s">
        <v>46</v>
      </c>
      <c r="K913" s="4" t="s">
        <v>179</v>
      </c>
      <c r="L913" s="4" t="s">
        <v>236</v>
      </c>
      <c r="M913" s="4" t="s">
        <v>40</v>
      </c>
      <c r="N913" s="4" t="s">
        <v>35</v>
      </c>
      <c r="O913" s="4">
        <v>7</v>
      </c>
      <c r="P913" s="7">
        <v>2110</v>
      </c>
      <c r="Q913" s="8">
        <v>0.2</v>
      </c>
      <c r="R913" s="7">
        <v>1210</v>
      </c>
      <c r="S913" s="7">
        <f>Table1_1[[#This Row],[Units Sold]]*Table1_1[[#This Row],[Unit Price]]*(1-Table1_1[[#This Row],[Discount %]])</f>
        <v>11816</v>
      </c>
      <c r="T913" s="7">
        <f>Table1_1[[#This Row],[Units Sold]]*Table1_1[[#This Row],[Unit Cost]]</f>
        <v>8470</v>
      </c>
      <c r="U913" s="7">
        <f>Table1_1[[#This Row],[Calculated sales]]-Table1_1[[#This Row],[Total cost]]</f>
        <v>3346</v>
      </c>
      <c r="V913" s="4">
        <f>IFERROR(Table1_1[[#This Row],[Profit/Loss]]/Table1_1[[#This Row],[Calculated sales]],0)</f>
        <v>0.28317535545023698</v>
      </c>
    </row>
    <row r="914" spans="1:22" x14ac:dyDescent="0.25">
      <c r="A914" s="4" t="s">
        <v>1063</v>
      </c>
      <c r="B914" s="5">
        <v>45758</v>
      </c>
      <c r="C914" s="4">
        <f>YEAR(Table1_1[[#This Row],[Order Dates]])</f>
        <v>2025</v>
      </c>
      <c r="D914" s="6">
        <f>MONTH(Table1_1[[#This Row],[Order Dates]])</f>
        <v>4</v>
      </c>
      <c r="E914" s="4" t="s">
        <v>16</v>
      </c>
      <c r="F914" s="4" t="s">
        <v>17</v>
      </c>
      <c r="G914" s="4" t="s">
        <v>26</v>
      </c>
      <c r="H914" s="4" t="str">
        <f>TRIM(CLEAN(SUBSTITUTE(Table1_1[[#This Row],[Salesperson]],"   "," ")))</f>
        <v>Prateek Shah</v>
      </c>
      <c r="I914" s="4" t="s">
        <v>92</v>
      </c>
      <c r="J914" s="4" t="s">
        <v>83</v>
      </c>
      <c r="K914" s="4" t="s">
        <v>184</v>
      </c>
      <c r="L914" s="4" t="s">
        <v>1679</v>
      </c>
      <c r="M914" s="4" t="s">
        <v>23</v>
      </c>
      <c r="N914" s="4" t="s">
        <v>24</v>
      </c>
      <c r="O914" s="4">
        <v>3</v>
      </c>
      <c r="P914" s="7">
        <v>4670</v>
      </c>
      <c r="Q914" s="8">
        <v>0.12</v>
      </c>
      <c r="R914" s="7">
        <v>2940</v>
      </c>
      <c r="S914" s="7">
        <f>Table1_1[[#This Row],[Units Sold]]*Table1_1[[#This Row],[Unit Price]]*(1-Table1_1[[#This Row],[Discount %]])</f>
        <v>12328.8</v>
      </c>
      <c r="T914" s="7">
        <f>Table1_1[[#This Row],[Units Sold]]*Table1_1[[#This Row],[Unit Cost]]</f>
        <v>8820</v>
      </c>
      <c r="U914" s="7">
        <f>Table1_1[[#This Row],[Calculated sales]]-Table1_1[[#This Row],[Total cost]]</f>
        <v>3508.7999999999993</v>
      </c>
      <c r="V914" s="4">
        <f>IFERROR(Table1_1[[#This Row],[Profit/Loss]]/Table1_1[[#This Row],[Calculated sales]],0)</f>
        <v>0.28460190772824601</v>
      </c>
    </row>
    <row r="915" spans="1:22" x14ac:dyDescent="0.25">
      <c r="A915" s="4" t="s">
        <v>1064</v>
      </c>
      <c r="B915" s="5">
        <v>45759</v>
      </c>
      <c r="C915" s="4">
        <f>YEAR(Table1_1[[#This Row],[Order Dates]])</f>
        <v>2025</v>
      </c>
      <c r="D915" s="6">
        <f>MONTH(Table1_1[[#This Row],[Order Dates]])</f>
        <v>4</v>
      </c>
      <c r="E915" s="4" t="s">
        <v>16</v>
      </c>
      <c r="F915" s="4" t="s">
        <v>82</v>
      </c>
      <c r="G915" s="4" t="s">
        <v>32</v>
      </c>
      <c r="H915" s="4" t="str">
        <f>TRIM(CLEAN(SUBSTITUTE(Table1_1[[#This Row],[Salesperson]],"   "," ")))</f>
        <v>Neha Deshpande</v>
      </c>
      <c r="I915" s="4" t="s">
        <v>19</v>
      </c>
      <c r="J915" s="4" t="s">
        <v>83</v>
      </c>
      <c r="K915" s="4" t="s">
        <v>184</v>
      </c>
      <c r="L915" s="4" t="s">
        <v>1679</v>
      </c>
      <c r="M915" s="4" t="s">
        <v>23</v>
      </c>
      <c r="N915" s="4" t="s">
        <v>24</v>
      </c>
      <c r="O915" s="4">
        <v>9</v>
      </c>
      <c r="P915" s="7">
        <v>4680</v>
      </c>
      <c r="Q915" s="8">
        <v>0.25</v>
      </c>
      <c r="R915" s="7">
        <v>3620</v>
      </c>
      <c r="S915" s="7">
        <f>Table1_1[[#This Row],[Units Sold]]*Table1_1[[#This Row],[Unit Price]]*(1-Table1_1[[#This Row],[Discount %]])</f>
        <v>31590</v>
      </c>
      <c r="T915" s="7">
        <f>Table1_1[[#This Row],[Units Sold]]*Table1_1[[#This Row],[Unit Cost]]</f>
        <v>32580</v>
      </c>
      <c r="U915" s="7">
        <f>Table1_1[[#This Row],[Calculated sales]]-Table1_1[[#This Row],[Total cost]]</f>
        <v>-990</v>
      </c>
      <c r="V915" s="4">
        <f>IFERROR(Table1_1[[#This Row],[Profit/Loss]]/Table1_1[[#This Row],[Calculated sales]],0)</f>
        <v>-3.1339031339031341E-2</v>
      </c>
    </row>
    <row r="916" spans="1:22" x14ac:dyDescent="0.25">
      <c r="A916" s="4" t="s">
        <v>1065</v>
      </c>
      <c r="B916" s="5">
        <v>45759</v>
      </c>
      <c r="C916" s="4">
        <f>YEAR(Table1_1[[#This Row],[Order Dates]])</f>
        <v>2025</v>
      </c>
      <c r="D916" s="6">
        <f>MONTH(Table1_1[[#This Row],[Order Dates]])</f>
        <v>4</v>
      </c>
      <c r="E916" s="4" t="s">
        <v>56</v>
      </c>
      <c r="F916" s="4" t="s">
        <v>72</v>
      </c>
      <c r="G916" s="4" t="s">
        <v>91</v>
      </c>
      <c r="H916" s="4" t="str">
        <f>TRIM(CLEAN(SUBSTITUTE(Table1_1[[#This Row],[Salesperson]],"   "," ")))</f>
        <v>Anjali Menon</v>
      </c>
      <c r="I916" s="4" t="s">
        <v>19</v>
      </c>
      <c r="J916" s="4" t="s">
        <v>46</v>
      </c>
      <c r="K916" s="4" t="s">
        <v>47</v>
      </c>
      <c r="L916" s="4" t="s">
        <v>259</v>
      </c>
      <c r="M916" s="4" t="s">
        <v>40</v>
      </c>
      <c r="N916" s="4" t="s">
        <v>119</v>
      </c>
      <c r="O916" s="4">
        <v>36</v>
      </c>
      <c r="P916" s="7">
        <v>2710</v>
      </c>
      <c r="Q916" s="8">
        <v>0.05</v>
      </c>
      <c r="R916" s="7">
        <v>2140</v>
      </c>
      <c r="S916" s="7">
        <f>Table1_1[[#This Row],[Units Sold]]*Table1_1[[#This Row],[Unit Price]]*(1-Table1_1[[#This Row],[Discount %]])</f>
        <v>92682</v>
      </c>
      <c r="T916" s="7">
        <f>Table1_1[[#This Row],[Units Sold]]*Table1_1[[#This Row],[Unit Cost]]</f>
        <v>77040</v>
      </c>
      <c r="U916" s="7">
        <f>Table1_1[[#This Row],[Calculated sales]]-Table1_1[[#This Row],[Total cost]]</f>
        <v>15642</v>
      </c>
      <c r="V916" s="4">
        <f>IFERROR(Table1_1[[#This Row],[Profit/Loss]]/Table1_1[[#This Row],[Calculated sales]],0)</f>
        <v>0.1687706350747718</v>
      </c>
    </row>
    <row r="917" spans="1:22" x14ac:dyDescent="0.25">
      <c r="A917" s="4" t="s">
        <v>1066</v>
      </c>
      <c r="B917" s="5">
        <v>45760</v>
      </c>
      <c r="C917" s="4">
        <f>YEAR(Table1_1[[#This Row],[Order Dates]])</f>
        <v>2025</v>
      </c>
      <c r="D917" s="6">
        <f>MONTH(Table1_1[[#This Row],[Order Dates]])</f>
        <v>4</v>
      </c>
      <c r="E917" s="4" t="s">
        <v>42</v>
      </c>
      <c r="F917" s="4" t="s">
        <v>265</v>
      </c>
      <c r="G917" s="4" t="s">
        <v>44</v>
      </c>
      <c r="H917" s="4" t="str">
        <f>TRIM(CLEAN(SUBSTITUTE(Table1_1[[#This Row],[Salesperson]],"   "," ")))</f>
        <v>Simran Kaur</v>
      </c>
      <c r="I917" s="4" t="s">
        <v>19</v>
      </c>
      <c r="J917" s="4" t="s">
        <v>20</v>
      </c>
      <c r="K917" s="4" t="s">
        <v>109</v>
      </c>
      <c r="L917" s="4" t="s">
        <v>1675</v>
      </c>
      <c r="M917" s="4" t="s">
        <v>23</v>
      </c>
      <c r="N917" s="4" t="s">
        <v>24</v>
      </c>
      <c r="O917" s="4">
        <v>1</v>
      </c>
      <c r="P917" s="7">
        <v>65330</v>
      </c>
      <c r="Q917" s="8">
        <v>0.1</v>
      </c>
      <c r="R917" s="7">
        <v>42850</v>
      </c>
      <c r="S917" s="7">
        <f>Table1_1[[#This Row],[Units Sold]]*Table1_1[[#This Row],[Unit Price]]*(1-Table1_1[[#This Row],[Discount %]])</f>
        <v>58797</v>
      </c>
      <c r="T917" s="7">
        <f>Table1_1[[#This Row],[Units Sold]]*Table1_1[[#This Row],[Unit Cost]]</f>
        <v>42850</v>
      </c>
      <c r="U917" s="7">
        <f>Table1_1[[#This Row],[Calculated sales]]-Table1_1[[#This Row],[Total cost]]</f>
        <v>15947</v>
      </c>
      <c r="V917" s="4">
        <f>IFERROR(Table1_1[[#This Row],[Profit/Loss]]/Table1_1[[#This Row],[Calculated sales]],0)</f>
        <v>0.27122132081568789</v>
      </c>
    </row>
    <row r="918" spans="1:22" x14ac:dyDescent="0.25">
      <c r="A918" s="4" t="s">
        <v>1067</v>
      </c>
      <c r="B918" s="5">
        <v>45760</v>
      </c>
      <c r="C918" s="4">
        <f>YEAR(Table1_1[[#This Row],[Order Dates]])</f>
        <v>2025</v>
      </c>
      <c r="D918" s="6">
        <f>MONTH(Table1_1[[#This Row],[Order Dates]])</f>
        <v>4</v>
      </c>
      <c r="E918" s="4" t="s">
        <v>16</v>
      </c>
      <c r="F918" s="4" t="s">
        <v>17</v>
      </c>
      <c r="G918" s="4" t="s">
        <v>26</v>
      </c>
      <c r="H918" s="4" t="str">
        <f>TRIM(CLEAN(SUBSTITUTE(Table1_1[[#This Row],[Salesperson]],"   "," ")))</f>
        <v>Prateek Shah</v>
      </c>
      <c r="I918" s="4" t="s">
        <v>19</v>
      </c>
      <c r="J918" s="4" t="s">
        <v>27</v>
      </c>
      <c r="K918" s="4" t="s">
        <v>214</v>
      </c>
      <c r="L918" s="4" t="s">
        <v>1680</v>
      </c>
      <c r="M918" s="4" t="s">
        <v>40</v>
      </c>
      <c r="N918" s="4" t="s">
        <v>24</v>
      </c>
      <c r="O918" s="4">
        <v>4</v>
      </c>
      <c r="P918" s="7">
        <v>32370</v>
      </c>
      <c r="Q918" s="8">
        <v>0</v>
      </c>
      <c r="R918" s="7">
        <v>18480</v>
      </c>
      <c r="S918" s="7">
        <f>Table1_1[[#This Row],[Units Sold]]*Table1_1[[#This Row],[Unit Price]]*(1-Table1_1[[#This Row],[Discount %]])</f>
        <v>129480</v>
      </c>
      <c r="T918" s="7">
        <f>Table1_1[[#This Row],[Units Sold]]*Table1_1[[#This Row],[Unit Cost]]</f>
        <v>73920</v>
      </c>
      <c r="U918" s="7">
        <f>Table1_1[[#This Row],[Calculated sales]]-Table1_1[[#This Row],[Total cost]]</f>
        <v>55560</v>
      </c>
      <c r="V918" s="4">
        <f>IFERROR(Table1_1[[#This Row],[Profit/Loss]]/Table1_1[[#This Row],[Calculated sales]],0)</f>
        <v>0.42910101946246526</v>
      </c>
    </row>
    <row r="919" spans="1:22" x14ac:dyDescent="0.25">
      <c r="A919" s="4" t="s">
        <v>1068</v>
      </c>
      <c r="B919" s="5">
        <v>45761</v>
      </c>
      <c r="C919" s="4">
        <f>YEAR(Table1_1[[#This Row],[Order Dates]])</f>
        <v>2025</v>
      </c>
      <c r="D919" s="6">
        <f>MONTH(Table1_1[[#This Row],[Order Dates]])</f>
        <v>4</v>
      </c>
      <c r="E919" s="4" t="s">
        <v>56</v>
      </c>
      <c r="F919" s="4" t="s">
        <v>127</v>
      </c>
      <c r="G919" s="4" t="s">
        <v>134</v>
      </c>
      <c r="H919" s="4" t="str">
        <f>TRIM(CLEAN(SUBSTITUTE(Table1_1[[#This Row],[Salesperson]],"   "," ")))</f>
        <v>Divya Nair</v>
      </c>
      <c r="I919" s="4" t="s">
        <v>19</v>
      </c>
      <c r="J919" s="4" t="s">
        <v>83</v>
      </c>
      <c r="K919" s="4" t="s">
        <v>84</v>
      </c>
      <c r="L919" s="4" t="s">
        <v>1671</v>
      </c>
      <c r="M919" s="4" t="s">
        <v>40</v>
      </c>
      <c r="N919" s="4" t="s">
        <v>24</v>
      </c>
      <c r="O919" s="4">
        <v>33</v>
      </c>
      <c r="P919" s="7">
        <v>2580</v>
      </c>
      <c r="Q919" s="8">
        <v>0.12</v>
      </c>
      <c r="R919" s="7">
        <v>1690</v>
      </c>
      <c r="S919" s="7">
        <f>Table1_1[[#This Row],[Units Sold]]*Table1_1[[#This Row],[Unit Price]]*(1-Table1_1[[#This Row],[Discount %]])</f>
        <v>74923.199999999997</v>
      </c>
      <c r="T919" s="7">
        <f>Table1_1[[#This Row],[Units Sold]]*Table1_1[[#This Row],[Unit Cost]]</f>
        <v>55770</v>
      </c>
      <c r="U919" s="7">
        <f>Table1_1[[#This Row],[Calculated sales]]-Table1_1[[#This Row],[Total cost]]</f>
        <v>19153.199999999997</v>
      </c>
      <c r="V919" s="4">
        <f>IFERROR(Table1_1[[#This Row],[Profit/Loss]]/Table1_1[[#This Row],[Calculated sales]],0)</f>
        <v>0.25563777307963353</v>
      </c>
    </row>
    <row r="920" spans="1:22" x14ac:dyDescent="0.25">
      <c r="A920" s="4" t="s">
        <v>1069</v>
      </c>
      <c r="B920" s="5">
        <v>45762</v>
      </c>
      <c r="C920" s="4">
        <f>YEAR(Table1_1[[#This Row],[Order Dates]])</f>
        <v>2025</v>
      </c>
      <c r="D920" s="6">
        <f>MONTH(Table1_1[[#This Row],[Order Dates]])</f>
        <v>4</v>
      </c>
      <c r="E920" s="4" t="s">
        <v>42</v>
      </c>
      <c r="F920" s="4" t="s">
        <v>146</v>
      </c>
      <c r="G920" s="4" t="s">
        <v>44</v>
      </c>
      <c r="H920" s="4" t="str">
        <f>TRIM(CLEAN(SUBSTITUTE(Table1_1[[#This Row],[Salesperson]],"   "," ")))</f>
        <v>Simran Kaur</v>
      </c>
      <c r="I920" s="4" t="s">
        <v>45</v>
      </c>
      <c r="J920" s="4" t="s">
        <v>27</v>
      </c>
      <c r="K920" s="4" t="s">
        <v>79</v>
      </c>
      <c r="L920" s="4" t="s">
        <v>80</v>
      </c>
      <c r="M920" s="4" t="s">
        <v>40</v>
      </c>
      <c r="N920" s="4" t="s">
        <v>24</v>
      </c>
      <c r="O920" s="4">
        <v>8</v>
      </c>
      <c r="P920" s="7">
        <v>4680</v>
      </c>
      <c r="Q920" s="8">
        <v>0.08</v>
      </c>
      <c r="R920" s="7">
        <v>2750</v>
      </c>
      <c r="S920" s="7">
        <f>Table1_1[[#This Row],[Units Sold]]*Table1_1[[#This Row],[Unit Price]]*(1-Table1_1[[#This Row],[Discount %]])</f>
        <v>34444.800000000003</v>
      </c>
      <c r="T920" s="7">
        <f>Table1_1[[#This Row],[Units Sold]]*Table1_1[[#This Row],[Unit Cost]]</f>
        <v>22000</v>
      </c>
      <c r="U920" s="7">
        <f>Table1_1[[#This Row],[Calculated sales]]-Table1_1[[#This Row],[Total cost]]</f>
        <v>12444.800000000003</v>
      </c>
      <c r="V920" s="4">
        <f>IFERROR(Table1_1[[#This Row],[Profit/Loss]]/Table1_1[[#This Row],[Calculated sales]],0)</f>
        <v>0.36129691564474181</v>
      </c>
    </row>
    <row r="921" spans="1:22" x14ac:dyDescent="0.25">
      <c r="A921" s="4" t="s">
        <v>1070</v>
      </c>
      <c r="B921" s="5">
        <v>45763</v>
      </c>
      <c r="C921" s="4">
        <f>YEAR(Table1_1[[#This Row],[Order Dates]])</f>
        <v>2025</v>
      </c>
      <c r="D921" s="6">
        <f>MONTH(Table1_1[[#This Row],[Order Dates]])</f>
        <v>4</v>
      </c>
      <c r="E921" s="4" t="s">
        <v>56</v>
      </c>
      <c r="F921" s="4" t="s">
        <v>103</v>
      </c>
      <c r="G921" s="4" t="s">
        <v>134</v>
      </c>
      <c r="H921" s="4" t="str">
        <f>TRIM(CLEAN(SUBSTITUTE(Table1_1[[#This Row],[Salesperson]],"   "," ")))</f>
        <v>Divya Nair</v>
      </c>
      <c r="I921" s="4" t="s">
        <v>19</v>
      </c>
      <c r="J921" s="4" t="s">
        <v>59</v>
      </c>
      <c r="K921" s="4" t="s">
        <v>69</v>
      </c>
      <c r="L921" s="4" t="s">
        <v>121</v>
      </c>
      <c r="M921" s="4" t="s">
        <v>40</v>
      </c>
      <c r="N921" s="4" t="s">
        <v>24</v>
      </c>
      <c r="O921" s="4">
        <v>8</v>
      </c>
      <c r="P921" s="7">
        <v>3650</v>
      </c>
      <c r="Q921" s="8">
        <v>0.08</v>
      </c>
      <c r="R921" s="7">
        <v>2850</v>
      </c>
      <c r="S921" s="7">
        <f>Table1_1[[#This Row],[Units Sold]]*Table1_1[[#This Row],[Unit Price]]*(1-Table1_1[[#This Row],[Discount %]])</f>
        <v>26864</v>
      </c>
      <c r="T921" s="7">
        <f>Table1_1[[#This Row],[Units Sold]]*Table1_1[[#This Row],[Unit Cost]]</f>
        <v>22800</v>
      </c>
      <c r="U921" s="7">
        <f>Table1_1[[#This Row],[Calculated sales]]-Table1_1[[#This Row],[Total cost]]</f>
        <v>4064</v>
      </c>
      <c r="V921" s="4">
        <f>IFERROR(Table1_1[[#This Row],[Profit/Loss]]/Table1_1[[#This Row],[Calculated sales]],0)</f>
        <v>0.15128052412150089</v>
      </c>
    </row>
    <row r="922" spans="1:22" x14ac:dyDescent="0.25">
      <c r="A922" s="4" t="s">
        <v>1071</v>
      </c>
      <c r="B922" s="5">
        <v>45763</v>
      </c>
      <c r="C922" s="4">
        <f>YEAR(Table1_1[[#This Row],[Order Dates]])</f>
        <v>2025</v>
      </c>
      <c r="D922" s="6">
        <f>MONTH(Table1_1[[#This Row],[Order Dates]])</f>
        <v>4</v>
      </c>
      <c r="E922" s="4" t="s">
        <v>42</v>
      </c>
      <c r="F922" s="4" t="s">
        <v>43</v>
      </c>
      <c r="G922" s="4" t="s">
        <v>64</v>
      </c>
      <c r="H922" s="4" t="str">
        <f>TRIM(CLEAN(SUBSTITUTE(Table1_1[[#This Row],[Salesperson]],"   "," ")))</f>
        <v>Aditya Verma</v>
      </c>
      <c r="I922" s="4" t="s">
        <v>45</v>
      </c>
      <c r="J922" s="4" t="s">
        <v>46</v>
      </c>
      <c r="K922" s="4" t="s">
        <v>100</v>
      </c>
      <c r="L922" s="4" t="s">
        <v>101</v>
      </c>
      <c r="M922" s="4" t="s">
        <v>23</v>
      </c>
      <c r="N922" s="4" t="s">
        <v>24</v>
      </c>
      <c r="O922" s="4">
        <v>22</v>
      </c>
      <c r="P922" s="7">
        <v>1880</v>
      </c>
      <c r="Q922" s="8">
        <v>0</v>
      </c>
      <c r="R922" s="7">
        <v>1300</v>
      </c>
      <c r="S922" s="7">
        <f>Table1_1[[#This Row],[Units Sold]]*Table1_1[[#This Row],[Unit Price]]*(1-Table1_1[[#This Row],[Discount %]])</f>
        <v>41360</v>
      </c>
      <c r="T922" s="7">
        <f>Table1_1[[#This Row],[Units Sold]]*Table1_1[[#This Row],[Unit Cost]]</f>
        <v>28600</v>
      </c>
      <c r="U922" s="7">
        <f>Table1_1[[#This Row],[Calculated sales]]-Table1_1[[#This Row],[Total cost]]</f>
        <v>12760</v>
      </c>
      <c r="V922" s="4">
        <f>IFERROR(Table1_1[[#This Row],[Profit/Loss]]/Table1_1[[#This Row],[Calculated sales]],0)</f>
        <v>0.30851063829787234</v>
      </c>
    </row>
    <row r="923" spans="1:22" x14ac:dyDescent="0.25">
      <c r="A923" s="4" t="s">
        <v>1072</v>
      </c>
      <c r="B923" s="5">
        <v>45763</v>
      </c>
      <c r="C923" s="4">
        <f>YEAR(Table1_1[[#This Row],[Order Dates]])</f>
        <v>2025</v>
      </c>
      <c r="D923" s="6">
        <f>MONTH(Table1_1[[#This Row],[Order Dates]])</f>
        <v>4</v>
      </c>
      <c r="E923" s="4" t="s">
        <v>76</v>
      </c>
      <c r="F923" s="4" t="s">
        <v>125</v>
      </c>
      <c r="G923" s="4" t="s">
        <v>78</v>
      </c>
      <c r="H923" s="4" t="str">
        <f>TRIM(CLEAN(SUBSTITUTE(Table1_1[[#This Row],[Salesperson]],"   "," ")))</f>
        <v>Pooja Chouhan</v>
      </c>
      <c r="I923" s="4" t="s">
        <v>92</v>
      </c>
      <c r="J923" s="4" t="s">
        <v>83</v>
      </c>
      <c r="K923" s="4" t="s">
        <v>136</v>
      </c>
      <c r="L923" s="4" t="s">
        <v>137</v>
      </c>
      <c r="M923" s="4" t="s">
        <v>23</v>
      </c>
      <c r="N923" s="4" t="s">
        <v>94</v>
      </c>
      <c r="O923" s="4">
        <v>57</v>
      </c>
      <c r="P923" s="7">
        <v>1640</v>
      </c>
      <c r="Q923" s="8">
        <v>0.05</v>
      </c>
      <c r="R923" s="7">
        <v>980</v>
      </c>
      <c r="S923" s="7">
        <f>Table1_1[[#This Row],[Units Sold]]*Table1_1[[#This Row],[Unit Price]]*(1-Table1_1[[#This Row],[Discount %]])</f>
        <v>88806</v>
      </c>
      <c r="T923" s="7">
        <f>Table1_1[[#This Row],[Units Sold]]*Table1_1[[#This Row],[Unit Cost]]</f>
        <v>55860</v>
      </c>
      <c r="U923" s="7">
        <f>Table1_1[[#This Row],[Calculated sales]]-Table1_1[[#This Row],[Total cost]]</f>
        <v>32946</v>
      </c>
      <c r="V923" s="4">
        <f>IFERROR(Table1_1[[#This Row],[Profit/Loss]]/Table1_1[[#This Row],[Calculated sales]],0)</f>
        <v>0.37098844672657255</v>
      </c>
    </row>
    <row r="924" spans="1:22" x14ac:dyDescent="0.25">
      <c r="A924" s="4" t="s">
        <v>1073</v>
      </c>
      <c r="B924" s="5">
        <v>45764</v>
      </c>
      <c r="C924" s="4">
        <f>YEAR(Table1_1[[#This Row],[Order Dates]])</f>
        <v>2025</v>
      </c>
      <c r="D924" s="6">
        <f>MONTH(Table1_1[[#This Row],[Order Dates]])</f>
        <v>4</v>
      </c>
      <c r="E924" s="4" t="s">
        <v>76</v>
      </c>
      <c r="F924" s="4" t="s">
        <v>99</v>
      </c>
      <c r="G924" s="4" t="s">
        <v>78</v>
      </c>
      <c r="H924" s="4" t="str">
        <f>TRIM(CLEAN(SUBSTITUTE(Table1_1[[#This Row],[Salesperson]],"   "," ")))</f>
        <v>Pooja Chouhan</v>
      </c>
      <c r="I924" s="4" t="s">
        <v>19</v>
      </c>
      <c r="J924" s="4" t="s">
        <v>59</v>
      </c>
      <c r="K924" s="4" t="s">
        <v>73</v>
      </c>
      <c r="L924" s="4" t="s">
        <v>74</v>
      </c>
      <c r="M924" s="4" t="s">
        <v>23</v>
      </c>
      <c r="N924" s="4" t="s">
        <v>24</v>
      </c>
      <c r="O924" s="4">
        <v>1</v>
      </c>
      <c r="P924" s="7">
        <v>45710</v>
      </c>
      <c r="Q924" s="8">
        <v>0.08</v>
      </c>
      <c r="R924" s="7">
        <v>31750</v>
      </c>
      <c r="S924" s="7">
        <f>Table1_1[[#This Row],[Units Sold]]*Table1_1[[#This Row],[Unit Price]]*(1-Table1_1[[#This Row],[Discount %]])</f>
        <v>42053.200000000004</v>
      </c>
      <c r="T924" s="7">
        <f>Table1_1[[#This Row],[Units Sold]]*Table1_1[[#This Row],[Unit Cost]]</f>
        <v>31750</v>
      </c>
      <c r="U924" s="7">
        <f>Table1_1[[#This Row],[Calculated sales]]-Table1_1[[#This Row],[Total cost]]</f>
        <v>10303.200000000004</v>
      </c>
      <c r="V924" s="4">
        <f>IFERROR(Table1_1[[#This Row],[Profit/Loss]]/Table1_1[[#This Row],[Calculated sales]],0)</f>
        <v>0.24500394738093662</v>
      </c>
    </row>
    <row r="925" spans="1:22" x14ac:dyDescent="0.25">
      <c r="A925" s="4" t="s">
        <v>1074</v>
      </c>
      <c r="B925" s="5">
        <v>45765</v>
      </c>
      <c r="C925" s="4">
        <f>YEAR(Table1_1[[#This Row],[Order Dates]])</f>
        <v>2025</v>
      </c>
      <c r="D925" s="6">
        <f>MONTH(Table1_1[[#This Row],[Order Dates]])</f>
        <v>4</v>
      </c>
      <c r="E925" s="4" t="s">
        <v>42</v>
      </c>
      <c r="F925" s="4" t="s">
        <v>123</v>
      </c>
      <c r="G925" s="4" t="s">
        <v>44</v>
      </c>
      <c r="H925" s="4" t="str">
        <f>TRIM(CLEAN(SUBSTITUTE(Table1_1[[#This Row],[Salesperson]],"   "," ")))</f>
        <v>Simran Kaur</v>
      </c>
      <c r="I925" s="4" t="s">
        <v>45</v>
      </c>
      <c r="J925" s="4" t="s">
        <v>20</v>
      </c>
      <c r="K925" s="4" t="s">
        <v>87</v>
      </c>
      <c r="L925" s="4" t="s">
        <v>1672</v>
      </c>
      <c r="M925" s="4" t="s">
        <v>49</v>
      </c>
      <c r="N925" s="4" t="s">
        <v>24</v>
      </c>
      <c r="O925" s="4">
        <v>6</v>
      </c>
      <c r="P925" s="7">
        <v>32620</v>
      </c>
      <c r="Q925" s="8">
        <v>0.18</v>
      </c>
      <c r="R925" s="7">
        <v>23270</v>
      </c>
      <c r="S925" s="7">
        <f>Table1_1[[#This Row],[Units Sold]]*Table1_1[[#This Row],[Unit Price]]*(1-Table1_1[[#This Row],[Discount %]])</f>
        <v>160490.40000000002</v>
      </c>
      <c r="T925" s="7">
        <f>Table1_1[[#This Row],[Units Sold]]*Table1_1[[#This Row],[Unit Cost]]</f>
        <v>139620</v>
      </c>
      <c r="U925" s="7">
        <f>Table1_1[[#This Row],[Calculated sales]]-Table1_1[[#This Row],[Total cost]]</f>
        <v>20870.400000000023</v>
      </c>
      <c r="V925" s="4">
        <f>IFERROR(Table1_1[[#This Row],[Profit/Loss]]/Table1_1[[#This Row],[Calculated sales]],0)</f>
        <v>0.13004142303838748</v>
      </c>
    </row>
    <row r="926" spans="1:22" x14ac:dyDescent="0.25">
      <c r="A926" s="4" t="s">
        <v>1075</v>
      </c>
      <c r="B926" s="5">
        <v>45765</v>
      </c>
      <c r="C926" s="4">
        <f>YEAR(Table1_1[[#This Row],[Order Dates]])</f>
        <v>2025</v>
      </c>
      <c r="D926" s="6">
        <f>MONTH(Table1_1[[#This Row],[Order Dates]])</f>
        <v>4</v>
      </c>
      <c r="E926" s="4" t="s">
        <v>16</v>
      </c>
      <c r="F926" s="4" t="s">
        <v>31</v>
      </c>
      <c r="G926" s="4" t="s">
        <v>18</v>
      </c>
      <c r="H926" s="4" t="str">
        <f>TRIM(CLEAN(SUBSTITUTE(Table1_1[[#This Row],[Salesperson]],"   "," ")))</f>
        <v>Imran Sheikh</v>
      </c>
      <c r="I926" s="4" t="s">
        <v>92</v>
      </c>
      <c r="J926" s="4" t="s">
        <v>59</v>
      </c>
      <c r="K926" s="4" t="s">
        <v>69</v>
      </c>
      <c r="L926" s="4" t="s">
        <v>70</v>
      </c>
      <c r="M926" s="4" t="s">
        <v>23</v>
      </c>
      <c r="N926" s="4" t="s">
        <v>24</v>
      </c>
      <c r="O926" s="4">
        <v>2</v>
      </c>
      <c r="P926" s="7">
        <v>28630</v>
      </c>
      <c r="Q926" s="8">
        <v>0.18</v>
      </c>
      <c r="R926" s="7">
        <v>18710</v>
      </c>
      <c r="S926" s="7">
        <f>Table1_1[[#This Row],[Units Sold]]*Table1_1[[#This Row],[Unit Price]]*(1-Table1_1[[#This Row],[Discount %]])</f>
        <v>46953.200000000004</v>
      </c>
      <c r="T926" s="7">
        <f>Table1_1[[#This Row],[Units Sold]]*Table1_1[[#This Row],[Unit Cost]]</f>
        <v>37420</v>
      </c>
      <c r="U926" s="7">
        <f>Table1_1[[#This Row],[Calculated sales]]-Table1_1[[#This Row],[Total cost]]</f>
        <v>9533.2000000000044</v>
      </c>
      <c r="V926" s="4">
        <f>IFERROR(Table1_1[[#This Row],[Profit/Loss]]/Table1_1[[#This Row],[Calculated sales]],0)</f>
        <v>0.20303621478408296</v>
      </c>
    </row>
    <row r="927" spans="1:22" x14ac:dyDescent="0.25">
      <c r="A927" s="4" t="s">
        <v>1076</v>
      </c>
      <c r="B927" s="5">
        <v>45765</v>
      </c>
      <c r="C927" s="4">
        <f>YEAR(Table1_1[[#This Row],[Order Dates]])</f>
        <v>2025</v>
      </c>
      <c r="D927" s="6">
        <f>MONTH(Table1_1[[#This Row],[Order Dates]])</f>
        <v>4</v>
      </c>
      <c r="E927" s="4" t="s">
        <v>76</v>
      </c>
      <c r="F927" s="4" t="s">
        <v>150</v>
      </c>
      <c r="G927" s="4" t="s">
        <v>78</v>
      </c>
      <c r="H927" s="4" t="str">
        <f>TRIM(CLEAN(SUBSTITUTE(Table1_1[[#This Row],[Salesperson]],"   "," ")))</f>
        <v>Pooja Chouhan</v>
      </c>
      <c r="I927" s="4" t="s">
        <v>45</v>
      </c>
      <c r="J927" s="4" t="s">
        <v>20</v>
      </c>
      <c r="K927" s="4" t="s">
        <v>33</v>
      </c>
      <c r="L927" s="4" t="s">
        <v>34</v>
      </c>
      <c r="M927" s="4" t="s">
        <v>40</v>
      </c>
      <c r="N927" s="4" t="s">
        <v>24</v>
      </c>
      <c r="O927" s="4">
        <v>2</v>
      </c>
      <c r="P927" s="7">
        <v>55950</v>
      </c>
      <c r="Q927" s="8">
        <v>0.12</v>
      </c>
      <c r="R927" s="7">
        <v>34610</v>
      </c>
      <c r="S927" s="7">
        <f>Table1_1[[#This Row],[Units Sold]]*Table1_1[[#This Row],[Unit Price]]*(1-Table1_1[[#This Row],[Discount %]])</f>
        <v>98472</v>
      </c>
      <c r="T927" s="7">
        <f>Table1_1[[#This Row],[Units Sold]]*Table1_1[[#This Row],[Unit Cost]]</f>
        <v>69220</v>
      </c>
      <c r="U927" s="7">
        <f>Table1_1[[#This Row],[Calculated sales]]-Table1_1[[#This Row],[Total cost]]</f>
        <v>29252</v>
      </c>
      <c r="V927" s="4">
        <f>IFERROR(Table1_1[[#This Row],[Profit/Loss]]/Table1_1[[#This Row],[Calculated sales]],0)</f>
        <v>0.29705906247461206</v>
      </c>
    </row>
    <row r="928" spans="1:22" x14ac:dyDescent="0.25">
      <c r="A928" s="4" t="s">
        <v>1077</v>
      </c>
      <c r="B928" s="5">
        <v>45765</v>
      </c>
      <c r="C928" s="4">
        <f>YEAR(Table1_1[[#This Row],[Order Dates]])</f>
        <v>2025</v>
      </c>
      <c r="D928" s="6">
        <f>MONTH(Table1_1[[#This Row],[Order Dates]])</f>
        <v>4</v>
      </c>
      <c r="E928" s="4" t="s">
        <v>37</v>
      </c>
      <c r="F928" s="4" t="s">
        <v>67</v>
      </c>
      <c r="G928" s="4" t="s">
        <v>39</v>
      </c>
      <c r="H928" s="4" t="str">
        <f>TRIM(CLEAN(SUBSTITUTE(Table1_1[[#This Row],[Salesperson]],"   "," ")))</f>
        <v>Sourav Das</v>
      </c>
      <c r="I928" s="4" t="s">
        <v>52</v>
      </c>
      <c r="J928" s="4" t="s">
        <v>83</v>
      </c>
      <c r="K928" s="4" t="s">
        <v>184</v>
      </c>
      <c r="L928" s="4" t="s">
        <v>196</v>
      </c>
      <c r="M928" s="4" t="s">
        <v>49</v>
      </c>
      <c r="N928" s="4" t="s">
        <v>24</v>
      </c>
      <c r="O928" s="4">
        <v>8</v>
      </c>
      <c r="P928" s="7">
        <v>3400</v>
      </c>
      <c r="Q928" s="8">
        <v>0</v>
      </c>
      <c r="R928" s="7">
        <v>2410</v>
      </c>
      <c r="S928" s="7">
        <f>Table1_1[[#This Row],[Units Sold]]*Table1_1[[#This Row],[Unit Price]]*(1-Table1_1[[#This Row],[Discount %]])</f>
        <v>27200</v>
      </c>
      <c r="T928" s="7">
        <f>Table1_1[[#This Row],[Units Sold]]*Table1_1[[#This Row],[Unit Cost]]</f>
        <v>19280</v>
      </c>
      <c r="U928" s="7">
        <f>Table1_1[[#This Row],[Calculated sales]]-Table1_1[[#This Row],[Total cost]]</f>
        <v>7920</v>
      </c>
      <c r="V928" s="4">
        <f>IFERROR(Table1_1[[#This Row],[Profit/Loss]]/Table1_1[[#This Row],[Calculated sales]],0)</f>
        <v>0.29117647058823531</v>
      </c>
    </row>
    <row r="929" spans="1:22" x14ac:dyDescent="0.25">
      <c r="A929" s="4" t="s">
        <v>1078</v>
      </c>
      <c r="B929" s="5">
        <v>45766</v>
      </c>
      <c r="C929" s="4">
        <f>YEAR(Table1_1[[#This Row],[Order Dates]])</f>
        <v>2025</v>
      </c>
      <c r="D929" s="6">
        <f>MONTH(Table1_1[[#This Row],[Order Dates]])</f>
        <v>4</v>
      </c>
      <c r="E929" s="4" t="s">
        <v>16</v>
      </c>
      <c r="F929" s="4" t="s">
        <v>191</v>
      </c>
      <c r="G929" s="4" t="s">
        <v>26</v>
      </c>
      <c r="H929" s="4" t="str">
        <f>TRIM(CLEAN(SUBSTITUTE(Table1_1[[#This Row],[Salesperson]],"   "," ")))</f>
        <v>Prateek Shah</v>
      </c>
      <c r="I929" s="4" t="s">
        <v>19</v>
      </c>
      <c r="J929" s="4" t="s">
        <v>46</v>
      </c>
      <c r="K929" s="4" t="s">
        <v>179</v>
      </c>
      <c r="L929" s="4" t="s">
        <v>180</v>
      </c>
      <c r="M929" s="4" t="s">
        <v>40</v>
      </c>
      <c r="N929" s="4" t="s">
        <v>24</v>
      </c>
      <c r="O929" s="4">
        <v>10</v>
      </c>
      <c r="P929" s="7">
        <v>3900</v>
      </c>
      <c r="Q929" s="8">
        <v>0.2</v>
      </c>
      <c r="R929" s="7">
        <v>2860</v>
      </c>
      <c r="S929" s="7">
        <f>Table1_1[[#This Row],[Units Sold]]*Table1_1[[#This Row],[Unit Price]]*(1-Table1_1[[#This Row],[Discount %]])</f>
        <v>31200</v>
      </c>
      <c r="T929" s="7">
        <f>Table1_1[[#This Row],[Units Sold]]*Table1_1[[#This Row],[Unit Cost]]</f>
        <v>28600</v>
      </c>
      <c r="U929" s="7">
        <f>Table1_1[[#This Row],[Calculated sales]]-Table1_1[[#This Row],[Total cost]]</f>
        <v>2600</v>
      </c>
      <c r="V929" s="4">
        <f>IFERROR(Table1_1[[#This Row],[Profit/Loss]]/Table1_1[[#This Row],[Calculated sales]],0)</f>
        <v>8.3333333333333329E-2</v>
      </c>
    </row>
    <row r="930" spans="1:22" x14ac:dyDescent="0.25">
      <c r="A930" s="4" t="s">
        <v>1079</v>
      </c>
      <c r="B930" s="5">
        <v>45766</v>
      </c>
      <c r="C930" s="4">
        <f>YEAR(Table1_1[[#This Row],[Order Dates]])</f>
        <v>2025</v>
      </c>
      <c r="D930" s="6">
        <f>MONTH(Table1_1[[#This Row],[Order Dates]])</f>
        <v>4</v>
      </c>
      <c r="E930" s="4" t="s">
        <v>56</v>
      </c>
      <c r="F930" s="4" t="s">
        <v>103</v>
      </c>
      <c r="G930" s="4" t="s">
        <v>58</v>
      </c>
      <c r="H930" s="4" t="str">
        <f>TRIM(CLEAN(SUBSTITUTE(Table1_1[[#This Row],[Salesperson]],"   "," ")))</f>
        <v>Karthik Raman</v>
      </c>
      <c r="I930" s="4" t="s">
        <v>19</v>
      </c>
      <c r="J930" s="4" t="s">
        <v>59</v>
      </c>
      <c r="K930" s="4" t="s">
        <v>69</v>
      </c>
      <c r="L930" s="4" t="s">
        <v>121</v>
      </c>
      <c r="M930" s="4" t="s">
        <v>23</v>
      </c>
      <c r="N930" s="4" t="s">
        <v>35</v>
      </c>
      <c r="O930" s="4">
        <v>5</v>
      </c>
      <c r="P930" s="7">
        <v>3730</v>
      </c>
      <c r="Q930" s="8">
        <v>0.25</v>
      </c>
      <c r="R930" s="7">
        <v>2770</v>
      </c>
      <c r="S930" s="7">
        <f>Table1_1[[#This Row],[Units Sold]]*Table1_1[[#This Row],[Unit Price]]*(1-Table1_1[[#This Row],[Discount %]])</f>
        <v>13987.5</v>
      </c>
      <c r="T930" s="7">
        <f>Table1_1[[#This Row],[Units Sold]]*Table1_1[[#This Row],[Unit Cost]]</f>
        <v>13850</v>
      </c>
      <c r="U930" s="7">
        <f>Table1_1[[#This Row],[Calculated sales]]-Table1_1[[#This Row],[Total cost]]</f>
        <v>137.5</v>
      </c>
      <c r="V930" s="4">
        <f>IFERROR(Table1_1[[#This Row],[Profit/Loss]]/Table1_1[[#This Row],[Calculated sales]],0)</f>
        <v>9.8302055406613055E-3</v>
      </c>
    </row>
    <row r="931" spans="1:22" x14ac:dyDescent="0.25">
      <c r="A931" s="4" t="s">
        <v>1080</v>
      </c>
      <c r="B931" s="5">
        <v>45766</v>
      </c>
      <c r="C931" s="4">
        <f>YEAR(Table1_1[[#This Row],[Order Dates]])</f>
        <v>2025</v>
      </c>
      <c r="D931" s="6">
        <f>MONTH(Table1_1[[#This Row],[Order Dates]])</f>
        <v>4</v>
      </c>
      <c r="E931" s="4" t="s">
        <v>76</v>
      </c>
      <c r="F931" s="4" t="s">
        <v>112</v>
      </c>
      <c r="G931" s="4" t="s">
        <v>170</v>
      </c>
      <c r="H931" s="4" t="str">
        <f>TRIM(CLEAN(SUBSTITUTE(Table1_1[[#This Row],[Salesperson]],"   "," ")))</f>
        <v>Manish Tiwari</v>
      </c>
      <c r="I931" s="4" t="s">
        <v>19</v>
      </c>
      <c r="J931" s="4" t="s">
        <v>27</v>
      </c>
      <c r="K931" s="4" t="s">
        <v>53</v>
      </c>
      <c r="L931" s="4" t="s">
        <v>1676</v>
      </c>
      <c r="M931" s="4" t="s">
        <v>49</v>
      </c>
      <c r="N931" s="4" t="s">
        <v>24</v>
      </c>
      <c r="O931" s="4">
        <v>4</v>
      </c>
      <c r="P931" s="7">
        <v>37750</v>
      </c>
      <c r="Q931" s="8">
        <v>0.15</v>
      </c>
      <c r="R931" s="7">
        <v>22730</v>
      </c>
      <c r="S931" s="7">
        <f>Table1_1[[#This Row],[Units Sold]]*Table1_1[[#This Row],[Unit Price]]*(1-Table1_1[[#This Row],[Discount %]])</f>
        <v>128350</v>
      </c>
      <c r="T931" s="7">
        <f>Table1_1[[#This Row],[Units Sold]]*Table1_1[[#This Row],[Unit Cost]]</f>
        <v>90920</v>
      </c>
      <c r="U931" s="7">
        <f>Table1_1[[#This Row],[Calculated sales]]-Table1_1[[#This Row],[Total cost]]</f>
        <v>37430</v>
      </c>
      <c r="V931" s="4">
        <f>IFERROR(Table1_1[[#This Row],[Profit/Loss]]/Table1_1[[#This Row],[Calculated sales]],0)</f>
        <v>0.29162446435527856</v>
      </c>
    </row>
    <row r="932" spans="1:22" x14ac:dyDescent="0.25">
      <c r="A932" s="4" t="s">
        <v>1081</v>
      </c>
      <c r="B932" s="5">
        <v>45766</v>
      </c>
      <c r="C932" s="4">
        <f>YEAR(Table1_1[[#This Row],[Order Dates]])</f>
        <v>2025</v>
      </c>
      <c r="D932" s="6">
        <f>MONTH(Table1_1[[#This Row],[Order Dates]])</f>
        <v>4</v>
      </c>
      <c r="E932" s="4" t="s">
        <v>16</v>
      </c>
      <c r="F932" s="4" t="s">
        <v>153</v>
      </c>
      <c r="G932" s="4" t="s">
        <v>26</v>
      </c>
      <c r="H932" s="4" t="str">
        <f>TRIM(CLEAN(SUBSTITUTE(Table1_1[[#This Row],[Salesperson]],"   "," ")))</f>
        <v>Prateek Shah</v>
      </c>
      <c r="I932" s="4" t="s">
        <v>19</v>
      </c>
      <c r="J932" s="4" t="s">
        <v>20</v>
      </c>
      <c r="K932" s="4" t="s">
        <v>87</v>
      </c>
      <c r="L932" s="4" t="s">
        <v>1674</v>
      </c>
      <c r="M932" s="4" t="s">
        <v>49</v>
      </c>
      <c r="N932" s="4" t="s">
        <v>24</v>
      </c>
      <c r="O932" s="4">
        <v>4</v>
      </c>
      <c r="P932" s="7">
        <v>51840</v>
      </c>
      <c r="Q932" s="8">
        <v>0</v>
      </c>
      <c r="R932" s="7">
        <v>29790</v>
      </c>
      <c r="S932" s="7">
        <f>Table1_1[[#This Row],[Units Sold]]*Table1_1[[#This Row],[Unit Price]]*(1-Table1_1[[#This Row],[Discount %]])</f>
        <v>207360</v>
      </c>
      <c r="T932" s="7">
        <f>Table1_1[[#This Row],[Units Sold]]*Table1_1[[#This Row],[Unit Cost]]</f>
        <v>119160</v>
      </c>
      <c r="U932" s="7">
        <f>Table1_1[[#This Row],[Calculated sales]]-Table1_1[[#This Row],[Total cost]]</f>
        <v>88200</v>
      </c>
      <c r="V932" s="4">
        <f>IFERROR(Table1_1[[#This Row],[Profit/Loss]]/Table1_1[[#This Row],[Calculated sales]],0)</f>
        <v>0.42534722222222221</v>
      </c>
    </row>
    <row r="933" spans="1:22" x14ac:dyDescent="0.25">
      <c r="A933" s="4" t="s">
        <v>1082</v>
      </c>
      <c r="B933" s="5">
        <v>45766</v>
      </c>
      <c r="C933" s="4">
        <f>YEAR(Table1_1[[#This Row],[Order Dates]])</f>
        <v>2025</v>
      </c>
      <c r="D933" s="6">
        <f>MONTH(Table1_1[[#This Row],[Order Dates]])</f>
        <v>4</v>
      </c>
      <c r="E933" s="4" t="s">
        <v>16</v>
      </c>
      <c r="F933" s="4" t="s">
        <v>31</v>
      </c>
      <c r="G933" s="4" t="s">
        <v>26</v>
      </c>
      <c r="H933" s="4" t="str">
        <f>TRIM(CLEAN(SUBSTITUTE(Table1_1[[#This Row],[Salesperson]],"   "," ")))</f>
        <v>Prateek Shah</v>
      </c>
      <c r="I933" s="4" t="s">
        <v>92</v>
      </c>
      <c r="J933" s="4" t="s">
        <v>27</v>
      </c>
      <c r="K933" s="4" t="s">
        <v>214</v>
      </c>
      <c r="L933" s="4" t="s">
        <v>1680</v>
      </c>
      <c r="M933" s="4" t="s">
        <v>40</v>
      </c>
      <c r="N933" s="4" t="s">
        <v>35</v>
      </c>
      <c r="O933" s="4">
        <v>4</v>
      </c>
      <c r="P933" s="7">
        <v>32940</v>
      </c>
      <c r="Q933" s="8">
        <v>0.08</v>
      </c>
      <c r="R933" s="7">
        <v>21270</v>
      </c>
      <c r="S933" s="7">
        <f>Table1_1[[#This Row],[Units Sold]]*Table1_1[[#This Row],[Unit Price]]*(1-Table1_1[[#This Row],[Discount %]])</f>
        <v>121219.20000000001</v>
      </c>
      <c r="T933" s="7">
        <f>Table1_1[[#This Row],[Units Sold]]*Table1_1[[#This Row],[Unit Cost]]</f>
        <v>85080</v>
      </c>
      <c r="U933" s="7">
        <f>Table1_1[[#This Row],[Calculated sales]]-Table1_1[[#This Row],[Total cost]]</f>
        <v>36139.200000000012</v>
      </c>
      <c r="V933" s="4">
        <f>IFERROR(Table1_1[[#This Row],[Profit/Loss]]/Table1_1[[#This Row],[Calculated sales]],0)</f>
        <v>0.29813098915023367</v>
      </c>
    </row>
    <row r="934" spans="1:22" x14ac:dyDescent="0.25">
      <c r="A934" s="4" t="s">
        <v>1083</v>
      </c>
      <c r="B934" s="5">
        <v>45767</v>
      </c>
      <c r="C934" s="4">
        <f>YEAR(Table1_1[[#This Row],[Order Dates]])</f>
        <v>2025</v>
      </c>
      <c r="D934" s="6">
        <f>MONTH(Table1_1[[#This Row],[Order Dates]])</f>
        <v>4</v>
      </c>
      <c r="E934" s="4" t="s">
        <v>37</v>
      </c>
      <c r="F934" s="4" t="s">
        <v>213</v>
      </c>
      <c r="G934" s="4" t="s">
        <v>68</v>
      </c>
      <c r="H934" s="4" t="str">
        <f>TRIM(CLEAN(SUBSTITUTE(Table1_1[[#This Row],[Salesperson]],"   "," ")))</f>
        <v>Ritika Ghosh</v>
      </c>
      <c r="I934" s="4" t="s">
        <v>19</v>
      </c>
      <c r="J934" s="4" t="s">
        <v>20</v>
      </c>
      <c r="K934" s="4" t="s">
        <v>87</v>
      </c>
      <c r="L934" s="4" t="s">
        <v>1672</v>
      </c>
      <c r="M934" s="4" t="s">
        <v>49</v>
      </c>
      <c r="N934" s="4" t="s">
        <v>24</v>
      </c>
      <c r="O934" s="4">
        <v>1</v>
      </c>
      <c r="P934" s="7">
        <v>30520</v>
      </c>
      <c r="Q934" s="8">
        <v>0.1</v>
      </c>
      <c r="R934" s="7">
        <v>17580</v>
      </c>
      <c r="S934" s="7">
        <f>Table1_1[[#This Row],[Units Sold]]*Table1_1[[#This Row],[Unit Price]]*(1-Table1_1[[#This Row],[Discount %]])</f>
        <v>27468</v>
      </c>
      <c r="T934" s="7">
        <f>Table1_1[[#This Row],[Units Sold]]*Table1_1[[#This Row],[Unit Cost]]</f>
        <v>17580</v>
      </c>
      <c r="U934" s="7">
        <f>Table1_1[[#This Row],[Calculated sales]]-Table1_1[[#This Row],[Total cost]]</f>
        <v>9888</v>
      </c>
      <c r="V934" s="4">
        <f>IFERROR(Table1_1[[#This Row],[Profit/Loss]]/Table1_1[[#This Row],[Calculated sales]],0)</f>
        <v>0.35998252512013978</v>
      </c>
    </row>
    <row r="935" spans="1:22" x14ac:dyDescent="0.25">
      <c r="A935" s="4" t="s">
        <v>1084</v>
      </c>
      <c r="B935" s="5">
        <v>45767</v>
      </c>
      <c r="C935" s="4">
        <f>YEAR(Table1_1[[#This Row],[Order Dates]])</f>
        <v>2025</v>
      </c>
      <c r="D935" s="6">
        <f>MONTH(Table1_1[[#This Row],[Order Dates]])</f>
        <v>4</v>
      </c>
      <c r="E935" s="4" t="s">
        <v>16</v>
      </c>
      <c r="F935" s="4" t="s">
        <v>153</v>
      </c>
      <c r="G935" s="4" t="s">
        <v>32</v>
      </c>
      <c r="H935" s="4" t="str">
        <f>TRIM(CLEAN(SUBSTITUTE(Table1_1[[#This Row],[Salesperson]],"   "," ")))</f>
        <v>Neha Deshpande</v>
      </c>
      <c r="I935" s="4" t="s">
        <v>19</v>
      </c>
      <c r="J935" s="4" t="s">
        <v>83</v>
      </c>
      <c r="K935" s="4" t="s">
        <v>184</v>
      </c>
      <c r="L935" s="4" t="s">
        <v>1679</v>
      </c>
      <c r="M935" s="4" t="s">
        <v>40</v>
      </c>
      <c r="N935" s="4" t="s">
        <v>35</v>
      </c>
      <c r="O935" s="4">
        <v>11</v>
      </c>
      <c r="P935" s="7">
        <v>4310</v>
      </c>
      <c r="Q935" s="8">
        <v>0.2</v>
      </c>
      <c r="R935" s="7">
        <v>2600</v>
      </c>
      <c r="S935" s="7">
        <f>Table1_1[[#This Row],[Units Sold]]*Table1_1[[#This Row],[Unit Price]]*(1-Table1_1[[#This Row],[Discount %]])</f>
        <v>37928</v>
      </c>
      <c r="T935" s="7">
        <f>Table1_1[[#This Row],[Units Sold]]*Table1_1[[#This Row],[Unit Cost]]</f>
        <v>28600</v>
      </c>
      <c r="U935" s="7">
        <f>Table1_1[[#This Row],[Calculated sales]]-Table1_1[[#This Row],[Total cost]]</f>
        <v>9328</v>
      </c>
      <c r="V935" s="4">
        <f>IFERROR(Table1_1[[#This Row],[Profit/Loss]]/Table1_1[[#This Row],[Calculated sales]],0)</f>
        <v>0.24593967517401391</v>
      </c>
    </row>
    <row r="936" spans="1:22" x14ac:dyDescent="0.25">
      <c r="A936" s="4" t="s">
        <v>1085</v>
      </c>
      <c r="B936" s="5">
        <v>45769</v>
      </c>
      <c r="C936" s="4">
        <f>YEAR(Table1_1[[#This Row],[Order Dates]])</f>
        <v>2025</v>
      </c>
      <c r="D936" s="6">
        <f>MONTH(Table1_1[[#This Row],[Order Dates]])</f>
        <v>4</v>
      </c>
      <c r="E936" s="4" t="s">
        <v>42</v>
      </c>
      <c r="F936" s="4" t="s">
        <v>146</v>
      </c>
      <c r="G936" s="4" t="s">
        <v>97</v>
      </c>
      <c r="H936" s="4" t="str">
        <f>TRIM(CLEAN(SUBSTITUTE(Table1_1[[#This Row],[Salesperson]],"   "," ")))</f>
        <v>Rohit Malhotra</v>
      </c>
      <c r="I936" s="4" t="s">
        <v>19</v>
      </c>
      <c r="J936" s="4" t="s">
        <v>59</v>
      </c>
      <c r="K936" s="4" t="s">
        <v>69</v>
      </c>
      <c r="L936" s="4" t="s">
        <v>70</v>
      </c>
      <c r="M936" s="4" t="s">
        <v>40</v>
      </c>
      <c r="N936" s="4" t="s">
        <v>24</v>
      </c>
      <c r="O936" s="4">
        <v>8</v>
      </c>
      <c r="P936" s="7">
        <v>28770</v>
      </c>
      <c r="Q936" s="8">
        <v>0.15</v>
      </c>
      <c r="R936" s="7">
        <v>21300</v>
      </c>
      <c r="S936" s="7">
        <f>Table1_1[[#This Row],[Units Sold]]*Table1_1[[#This Row],[Unit Price]]*(1-Table1_1[[#This Row],[Discount %]])</f>
        <v>195636</v>
      </c>
      <c r="T936" s="7">
        <f>Table1_1[[#This Row],[Units Sold]]*Table1_1[[#This Row],[Unit Cost]]</f>
        <v>170400</v>
      </c>
      <c r="U936" s="7">
        <f>Table1_1[[#This Row],[Calculated sales]]-Table1_1[[#This Row],[Total cost]]</f>
        <v>25236</v>
      </c>
      <c r="V936" s="4">
        <f>IFERROR(Table1_1[[#This Row],[Profit/Loss]]/Table1_1[[#This Row],[Calculated sales]],0)</f>
        <v>0.12899466355885419</v>
      </c>
    </row>
    <row r="937" spans="1:22" x14ac:dyDescent="0.25">
      <c r="A937" s="4" t="s">
        <v>1086</v>
      </c>
      <c r="B937" s="5">
        <v>45769</v>
      </c>
      <c r="C937" s="4">
        <f>YEAR(Table1_1[[#This Row],[Order Dates]])</f>
        <v>2025</v>
      </c>
      <c r="D937" s="6">
        <f>MONTH(Table1_1[[#This Row],[Order Dates]])</f>
        <v>4</v>
      </c>
      <c r="E937" s="4" t="s">
        <v>37</v>
      </c>
      <c r="F937" s="4" t="s">
        <v>38</v>
      </c>
      <c r="G937" s="4" t="s">
        <v>39</v>
      </c>
      <c r="H937" s="4" t="str">
        <f>TRIM(CLEAN(SUBSTITUTE(Table1_1[[#This Row],[Salesperson]],"   "," ")))</f>
        <v>Sourav Das</v>
      </c>
      <c r="I937" s="4" t="s">
        <v>19</v>
      </c>
      <c r="J937" s="4" t="s">
        <v>27</v>
      </c>
      <c r="K937" s="4" t="s">
        <v>214</v>
      </c>
      <c r="L937" s="4" t="s">
        <v>1681</v>
      </c>
      <c r="M937" s="4" t="s">
        <v>40</v>
      </c>
      <c r="N937" s="4" t="s">
        <v>24</v>
      </c>
      <c r="O937" s="4">
        <v>7</v>
      </c>
      <c r="P937" s="7">
        <v>13680</v>
      </c>
      <c r="Q937" s="8">
        <v>0.1</v>
      </c>
      <c r="R937" s="7">
        <v>9250</v>
      </c>
      <c r="S937" s="7">
        <f>Table1_1[[#This Row],[Units Sold]]*Table1_1[[#This Row],[Unit Price]]*(1-Table1_1[[#This Row],[Discount %]])</f>
        <v>86184</v>
      </c>
      <c r="T937" s="7">
        <f>Table1_1[[#This Row],[Units Sold]]*Table1_1[[#This Row],[Unit Cost]]</f>
        <v>64750</v>
      </c>
      <c r="U937" s="7">
        <f>Table1_1[[#This Row],[Calculated sales]]-Table1_1[[#This Row],[Total cost]]</f>
        <v>21434</v>
      </c>
      <c r="V937" s="4">
        <f>IFERROR(Table1_1[[#This Row],[Profit/Loss]]/Table1_1[[#This Row],[Calculated sales]],0)</f>
        <v>0.24870045484080572</v>
      </c>
    </row>
    <row r="938" spans="1:22" x14ac:dyDescent="0.25">
      <c r="A938" s="4" t="s">
        <v>1087</v>
      </c>
      <c r="B938" s="5">
        <v>45769</v>
      </c>
      <c r="C938" s="4">
        <f>YEAR(Table1_1[[#This Row],[Order Dates]])</f>
        <v>2025</v>
      </c>
      <c r="D938" s="6">
        <f>MONTH(Table1_1[[#This Row],[Order Dates]])</f>
        <v>4</v>
      </c>
      <c r="E938" s="4" t="s">
        <v>56</v>
      </c>
      <c r="F938" s="4" t="s">
        <v>133</v>
      </c>
      <c r="G938" s="4" t="s">
        <v>91</v>
      </c>
      <c r="H938" s="4" t="str">
        <f>TRIM(CLEAN(SUBSTITUTE(Table1_1[[#This Row],[Salesperson]],"   "," ")))</f>
        <v>Anjali Menon</v>
      </c>
      <c r="I938" s="4" t="s">
        <v>19</v>
      </c>
      <c r="J938" s="4" t="s">
        <v>59</v>
      </c>
      <c r="K938" s="4" t="s">
        <v>69</v>
      </c>
      <c r="L938" s="4" t="s">
        <v>70</v>
      </c>
      <c r="M938" s="4" t="s">
        <v>40</v>
      </c>
      <c r="N938" s="4" t="s">
        <v>24</v>
      </c>
      <c r="O938" s="4">
        <v>4</v>
      </c>
      <c r="P938" s="7">
        <v>27520</v>
      </c>
      <c r="Q938" s="8">
        <v>0.2</v>
      </c>
      <c r="R938" s="7">
        <v>17480</v>
      </c>
      <c r="S938" s="7">
        <f>Table1_1[[#This Row],[Units Sold]]*Table1_1[[#This Row],[Unit Price]]*(1-Table1_1[[#This Row],[Discount %]])</f>
        <v>88064</v>
      </c>
      <c r="T938" s="7">
        <f>Table1_1[[#This Row],[Units Sold]]*Table1_1[[#This Row],[Unit Cost]]</f>
        <v>69920</v>
      </c>
      <c r="U938" s="7">
        <f>Table1_1[[#This Row],[Calculated sales]]-Table1_1[[#This Row],[Total cost]]</f>
        <v>18144</v>
      </c>
      <c r="V938" s="4">
        <f>IFERROR(Table1_1[[#This Row],[Profit/Loss]]/Table1_1[[#This Row],[Calculated sales]],0)</f>
        <v>0.20603197674418605</v>
      </c>
    </row>
    <row r="939" spans="1:22" x14ac:dyDescent="0.25">
      <c r="A939" s="4" t="s">
        <v>1088</v>
      </c>
      <c r="B939" s="5">
        <v>45771</v>
      </c>
      <c r="C939" s="4">
        <f>YEAR(Table1_1[[#This Row],[Order Dates]])</f>
        <v>2025</v>
      </c>
      <c r="D939" s="6">
        <f>MONTH(Table1_1[[#This Row],[Order Dates]])</f>
        <v>4</v>
      </c>
      <c r="E939" s="4" t="s">
        <v>16</v>
      </c>
      <c r="F939" s="4" t="s">
        <v>17</v>
      </c>
      <c r="G939" s="4" t="s">
        <v>18</v>
      </c>
      <c r="H939" s="4" t="str">
        <f>TRIM(CLEAN(SUBSTITUTE(Table1_1[[#This Row],[Salesperson]],"   "," ")))</f>
        <v>Imran Sheikh</v>
      </c>
      <c r="I939" s="4" t="s">
        <v>92</v>
      </c>
      <c r="J939" s="4" t="s">
        <v>20</v>
      </c>
      <c r="K939" s="4" t="s">
        <v>109</v>
      </c>
      <c r="L939" s="4" t="s">
        <v>171</v>
      </c>
      <c r="M939" s="4" t="s">
        <v>40</v>
      </c>
      <c r="N939" s="4" t="s">
        <v>119</v>
      </c>
      <c r="O939" s="4">
        <v>7</v>
      </c>
      <c r="P939" s="7">
        <v>23110</v>
      </c>
      <c r="Q939" s="8">
        <v>0</v>
      </c>
      <c r="R939" s="7">
        <v>15440</v>
      </c>
      <c r="S939" s="7">
        <f>Table1_1[[#This Row],[Units Sold]]*Table1_1[[#This Row],[Unit Price]]*(1-Table1_1[[#This Row],[Discount %]])</f>
        <v>161770</v>
      </c>
      <c r="T939" s="7">
        <f>Table1_1[[#This Row],[Units Sold]]*Table1_1[[#This Row],[Unit Cost]]</f>
        <v>108080</v>
      </c>
      <c r="U939" s="7">
        <f>Table1_1[[#This Row],[Calculated sales]]-Table1_1[[#This Row],[Total cost]]</f>
        <v>53690</v>
      </c>
      <c r="V939" s="4">
        <f>IFERROR(Table1_1[[#This Row],[Profit/Loss]]/Table1_1[[#This Row],[Calculated sales]],0)</f>
        <v>0.33189095629597576</v>
      </c>
    </row>
    <row r="940" spans="1:22" x14ac:dyDescent="0.25">
      <c r="A940" s="4" t="s">
        <v>1089</v>
      </c>
      <c r="B940" s="5">
        <v>45771</v>
      </c>
      <c r="C940" s="4">
        <f>YEAR(Table1_1[[#This Row],[Order Dates]])</f>
        <v>2025</v>
      </c>
      <c r="D940" s="6">
        <f>MONTH(Table1_1[[#This Row],[Order Dates]])</f>
        <v>4</v>
      </c>
      <c r="E940" s="4" t="s">
        <v>37</v>
      </c>
      <c r="F940" s="4" t="s">
        <v>166</v>
      </c>
      <c r="G940" s="4" t="s">
        <v>68</v>
      </c>
      <c r="H940" s="4" t="str">
        <f>TRIM(CLEAN(SUBSTITUTE(Table1_1[[#This Row],[Salesperson]],"   "," ")))</f>
        <v>Ritika Ghosh</v>
      </c>
      <c r="I940" s="4" t="s">
        <v>19</v>
      </c>
      <c r="J940" s="4" t="s">
        <v>20</v>
      </c>
      <c r="K940" s="4" t="s">
        <v>33</v>
      </c>
      <c r="L940" s="4" t="s">
        <v>1677</v>
      </c>
      <c r="M940" s="4" t="s">
        <v>40</v>
      </c>
      <c r="N940" s="4" t="s">
        <v>24</v>
      </c>
      <c r="O940" s="4">
        <v>3</v>
      </c>
      <c r="P940" s="7">
        <v>63700</v>
      </c>
      <c r="Q940" s="8">
        <v>0.1</v>
      </c>
      <c r="R940" s="7">
        <v>43670</v>
      </c>
      <c r="S940" s="7">
        <f>Table1_1[[#This Row],[Units Sold]]*Table1_1[[#This Row],[Unit Price]]*(1-Table1_1[[#This Row],[Discount %]])</f>
        <v>171990</v>
      </c>
      <c r="T940" s="7">
        <f>Table1_1[[#This Row],[Units Sold]]*Table1_1[[#This Row],[Unit Cost]]</f>
        <v>131010</v>
      </c>
      <c r="U940" s="7">
        <f>Table1_1[[#This Row],[Calculated sales]]-Table1_1[[#This Row],[Total cost]]</f>
        <v>40980</v>
      </c>
      <c r="V940" s="4">
        <f>IFERROR(Table1_1[[#This Row],[Profit/Loss]]/Table1_1[[#This Row],[Calculated sales]],0)</f>
        <v>0.23826966684109541</v>
      </c>
    </row>
    <row r="941" spans="1:22" x14ac:dyDescent="0.25">
      <c r="A941" s="4" t="s">
        <v>1090</v>
      </c>
      <c r="B941" s="5">
        <v>45771</v>
      </c>
      <c r="C941" s="4">
        <f>YEAR(Table1_1[[#This Row],[Order Dates]])</f>
        <v>2025</v>
      </c>
      <c r="D941" s="6">
        <f>MONTH(Table1_1[[#This Row],[Order Dates]])</f>
        <v>4</v>
      </c>
      <c r="E941" s="4" t="s">
        <v>16</v>
      </c>
      <c r="F941" s="4" t="s">
        <v>51</v>
      </c>
      <c r="G941" s="4" t="s">
        <v>26</v>
      </c>
      <c r="H941" s="4" t="str">
        <f>TRIM(CLEAN(SUBSTITUTE(Table1_1[[#This Row],[Salesperson]],"   "," ")))</f>
        <v>Prateek Shah</v>
      </c>
      <c r="I941" s="4" t="s">
        <v>52</v>
      </c>
      <c r="J941" s="4" t="s">
        <v>83</v>
      </c>
      <c r="K941" s="4" t="s">
        <v>136</v>
      </c>
      <c r="L941" s="4" t="s">
        <v>307</v>
      </c>
      <c r="M941" s="4" t="s">
        <v>40</v>
      </c>
      <c r="N941" s="4" t="s">
        <v>24</v>
      </c>
      <c r="O941" s="4">
        <v>40</v>
      </c>
      <c r="P941" s="7">
        <v>970</v>
      </c>
      <c r="Q941" s="8">
        <v>0</v>
      </c>
      <c r="R941" s="7">
        <v>650</v>
      </c>
      <c r="S941" s="7">
        <f>Table1_1[[#This Row],[Units Sold]]*Table1_1[[#This Row],[Unit Price]]*(1-Table1_1[[#This Row],[Discount %]])</f>
        <v>38800</v>
      </c>
      <c r="T941" s="7">
        <f>Table1_1[[#This Row],[Units Sold]]*Table1_1[[#This Row],[Unit Cost]]</f>
        <v>26000</v>
      </c>
      <c r="U941" s="7">
        <f>Table1_1[[#This Row],[Calculated sales]]-Table1_1[[#This Row],[Total cost]]</f>
        <v>12800</v>
      </c>
      <c r="V941" s="4">
        <f>IFERROR(Table1_1[[#This Row],[Profit/Loss]]/Table1_1[[#This Row],[Calculated sales]],0)</f>
        <v>0.32989690721649484</v>
      </c>
    </row>
    <row r="942" spans="1:22" x14ac:dyDescent="0.25">
      <c r="A942" s="4" t="s">
        <v>1091</v>
      </c>
      <c r="B942" s="5">
        <v>45771</v>
      </c>
      <c r="C942" s="4">
        <f>YEAR(Table1_1[[#This Row],[Order Dates]])</f>
        <v>2025</v>
      </c>
      <c r="D942" s="6">
        <f>MONTH(Table1_1[[#This Row],[Order Dates]])</f>
        <v>4</v>
      </c>
      <c r="E942" s="4" t="s">
        <v>16</v>
      </c>
      <c r="F942" s="4" t="s">
        <v>17</v>
      </c>
      <c r="G942" s="4" t="s">
        <v>18</v>
      </c>
      <c r="H942" s="4" t="str">
        <f>TRIM(CLEAN(SUBSTITUTE(Table1_1[[#This Row],[Salesperson]],"   "," ")))</f>
        <v>Imran Sheikh</v>
      </c>
      <c r="I942" s="4" t="s">
        <v>92</v>
      </c>
      <c r="J942" s="4" t="s">
        <v>20</v>
      </c>
      <c r="K942" s="4" t="s">
        <v>21</v>
      </c>
      <c r="L942" s="4" t="s">
        <v>1670</v>
      </c>
      <c r="M942" s="4" t="s">
        <v>49</v>
      </c>
      <c r="N942" s="4" t="s">
        <v>94</v>
      </c>
      <c r="O942" s="4">
        <v>19</v>
      </c>
      <c r="P942" s="7">
        <v>8950</v>
      </c>
      <c r="Q942" s="8">
        <v>0.2</v>
      </c>
      <c r="R942" s="7">
        <v>5450</v>
      </c>
      <c r="S942" s="7">
        <f>Table1_1[[#This Row],[Units Sold]]*Table1_1[[#This Row],[Unit Price]]*(1-Table1_1[[#This Row],[Discount %]])</f>
        <v>136040</v>
      </c>
      <c r="T942" s="7">
        <f>Table1_1[[#This Row],[Units Sold]]*Table1_1[[#This Row],[Unit Cost]]</f>
        <v>103550</v>
      </c>
      <c r="U942" s="7">
        <f>Table1_1[[#This Row],[Calculated sales]]-Table1_1[[#This Row],[Total cost]]</f>
        <v>32490</v>
      </c>
      <c r="V942" s="4">
        <f>IFERROR(Table1_1[[#This Row],[Profit/Loss]]/Table1_1[[#This Row],[Calculated sales]],0)</f>
        <v>0.23882681564245811</v>
      </c>
    </row>
    <row r="943" spans="1:22" x14ac:dyDescent="0.25">
      <c r="A943" s="4" t="s">
        <v>1092</v>
      </c>
      <c r="B943" s="5">
        <v>45772</v>
      </c>
      <c r="C943" s="4">
        <f>YEAR(Table1_1[[#This Row],[Order Dates]])</f>
        <v>2025</v>
      </c>
      <c r="D943" s="6">
        <f>MONTH(Table1_1[[#This Row],[Order Dates]])</f>
        <v>4</v>
      </c>
      <c r="E943" s="4" t="s">
        <v>37</v>
      </c>
      <c r="F943" s="4" t="s">
        <v>115</v>
      </c>
      <c r="G943" s="4" t="s">
        <v>68</v>
      </c>
      <c r="H943" s="4" t="str">
        <f>TRIM(CLEAN(SUBSTITUTE(Table1_1[[#This Row],[Salesperson]],"   "," ")))</f>
        <v>Ritika Ghosh</v>
      </c>
      <c r="I943" s="4" t="s">
        <v>19</v>
      </c>
      <c r="J943" s="4" t="s">
        <v>20</v>
      </c>
      <c r="K943" s="4" t="s">
        <v>33</v>
      </c>
      <c r="L943" s="4" t="s">
        <v>1677</v>
      </c>
      <c r="M943" s="4" t="s">
        <v>40</v>
      </c>
      <c r="N943" s="4" t="s">
        <v>24</v>
      </c>
      <c r="O943" s="4">
        <v>3</v>
      </c>
      <c r="P943" s="7">
        <v>59830</v>
      </c>
      <c r="Q943" s="8">
        <v>0.15</v>
      </c>
      <c r="R943" s="7">
        <v>43800</v>
      </c>
      <c r="S943" s="7">
        <f>Table1_1[[#This Row],[Units Sold]]*Table1_1[[#This Row],[Unit Price]]*(1-Table1_1[[#This Row],[Discount %]])</f>
        <v>152566.5</v>
      </c>
      <c r="T943" s="7">
        <f>Table1_1[[#This Row],[Units Sold]]*Table1_1[[#This Row],[Unit Cost]]</f>
        <v>131400</v>
      </c>
      <c r="U943" s="7">
        <f>Table1_1[[#This Row],[Calculated sales]]-Table1_1[[#This Row],[Total cost]]</f>
        <v>21166.5</v>
      </c>
      <c r="V943" s="4">
        <f>IFERROR(Table1_1[[#This Row],[Profit/Loss]]/Table1_1[[#This Row],[Calculated sales]],0)</f>
        <v>0.13873622322069393</v>
      </c>
    </row>
    <row r="944" spans="1:22" x14ac:dyDescent="0.25">
      <c r="A944" s="4" t="s">
        <v>1093</v>
      </c>
      <c r="B944" s="5">
        <v>45772</v>
      </c>
      <c r="C944" s="4">
        <f>YEAR(Table1_1[[#This Row],[Order Dates]])</f>
        <v>2025</v>
      </c>
      <c r="D944" s="6">
        <f>MONTH(Table1_1[[#This Row],[Order Dates]])</f>
        <v>4</v>
      </c>
      <c r="E944" s="4" t="s">
        <v>16</v>
      </c>
      <c r="F944" s="4" t="s">
        <v>82</v>
      </c>
      <c r="G944" s="4" t="s">
        <v>32</v>
      </c>
      <c r="H944" s="4" t="str">
        <f>TRIM(CLEAN(SUBSTITUTE(Table1_1[[#This Row],[Salesperson]],"   "," ")))</f>
        <v>Neha Deshpande</v>
      </c>
      <c r="I944" s="4" t="s">
        <v>92</v>
      </c>
      <c r="J944" s="4" t="s">
        <v>83</v>
      </c>
      <c r="K944" s="4" t="s">
        <v>184</v>
      </c>
      <c r="L944" s="4" t="s">
        <v>1679</v>
      </c>
      <c r="M944" s="4" t="s">
        <v>40</v>
      </c>
      <c r="N944" s="4" t="s">
        <v>24</v>
      </c>
      <c r="O944" s="4">
        <v>17</v>
      </c>
      <c r="P944" s="7">
        <v>4650</v>
      </c>
      <c r="Q944" s="8">
        <v>0</v>
      </c>
      <c r="R944" s="7">
        <v>3140</v>
      </c>
      <c r="S944" s="7">
        <f>Table1_1[[#This Row],[Units Sold]]*Table1_1[[#This Row],[Unit Price]]*(1-Table1_1[[#This Row],[Discount %]])</f>
        <v>79050</v>
      </c>
      <c r="T944" s="7">
        <f>Table1_1[[#This Row],[Units Sold]]*Table1_1[[#This Row],[Unit Cost]]</f>
        <v>53380</v>
      </c>
      <c r="U944" s="7">
        <f>Table1_1[[#This Row],[Calculated sales]]-Table1_1[[#This Row],[Total cost]]</f>
        <v>25670</v>
      </c>
      <c r="V944" s="4">
        <f>IFERROR(Table1_1[[#This Row],[Profit/Loss]]/Table1_1[[#This Row],[Calculated sales]],0)</f>
        <v>0.3247311827956989</v>
      </c>
    </row>
    <row r="945" spans="1:22" x14ac:dyDescent="0.25">
      <c r="A945" s="4" t="s">
        <v>1094</v>
      </c>
      <c r="B945" s="5">
        <v>45772</v>
      </c>
      <c r="C945" s="4">
        <f>YEAR(Table1_1[[#This Row],[Order Dates]])</f>
        <v>2025</v>
      </c>
      <c r="D945" s="6">
        <f>MONTH(Table1_1[[#This Row],[Order Dates]])</f>
        <v>4</v>
      </c>
      <c r="E945" s="4" t="s">
        <v>42</v>
      </c>
      <c r="F945" s="4" t="s">
        <v>43</v>
      </c>
      <c r="G945" s="4" t="s">
        <v>44</v>
      </c>
      <c r="H945" s="4" t="str">
        <f>TRIM(CLEAN(SUBSTITUTE(Table1_1[[#This Row],[Salesperson]],"   "," ")))</f>
        <v>Simran Kaur</v>
      </c>
      <c r="I945" s="4" t="s">
        <v>19</v>
      </c>
      <c r="J945" s="4" t="s">
        <v>27</v>
      </c>
      <c r="K945" s="4" t="s">
        <v>79</v>
      </c>
      <c r="L945" s="4" t="s">
        <v>262</v>
      </c>
      <c r="M945" s="4" t="s">
        <v>49</v>
      </c>
      <c r="N945" s="4" t="s">
        <v>24</v>
      </c>
      <c r="O945" s="4">
        <v>4</v>
      </c>
      <c r="P945" s="7">
        <v>2710</v>
      </c>
      <c r="Q945" s="8">
        <v>0</v>
      </c>
      <c r="R945" s="7">
        <v>1950</v>
      </c>
      <c r="S945" s="7">
        <f>Table1_1[[#This Row],[Units Sold]]*Table1_1[[#This Row],[Unit Price]]*(1-Table1_1[[#This Row],[Discount %]])</f>
        <v>10840</v>
      </c>
      <c r="T945" s="7">
        <f>Table1_1[[#This Row],[Units Sold]]*Table1_1[[#This Row],[Unit Cost]]</f>
        <v>7800</v>
      </c>
      <c r="U945" s="7">
        <f>Table1_1[[#This Row],[Calculated sales]]-Table1_1[[#This Row],[Total cost]]</f>
        <v>3040</v>
      </c>
      <c r="V945" s="4">
        <f>IFERROR(Table1_1[[#This Row],[Profit/Loss]]/Table1_1[[#This Row],[Calculated sales]],0)</f>
        <v>0.28044280442804426</v>
      </c>
    </row>
    <row r="946" spans="1:22" x14ac:dyDescent="0.25">
      <c r="A946" s="4" t="s">
        <v>1095</v>
      </c>
      <c r="B946" s="5">
        <v>45773</v>
      </c>
      <c r="C946" s="4">
        <f>YEAR(Table1_1[[#This Row],[Order Dates]])</f>
        <v>2025</v>
      </c>
      <c r="D946" s="6">
        <f>MONTH(Table1_1[[#This Row],[Order Dates]])</f>
        <v>4</v>
      </c>
      <c r="E946" s="4" t="s">
        <v>56</v>
      </c>
      <c r="F946" s="4" t="s">
        <v>57</v>
      </c>
      <c r="G946" s="4" t="s">
        <v>91</v>
      </c>
      <c r="H946" s="4" t="str">
        <f>TRIM(CLEAN(SUBSTITUTE(Table1_1[[#This Row],[Salesperson]],"   "," ")))</f>
        <v>Anjali Menon</v>
      </c>
      <c r="I946" s="4" t="s">
        <v>19</v>
      </c>
      <c r="J946" s="4" t="s">
        <v>46</v>
      </c>
      <c r="K946" s="4" t="s">
        <v>179</v>
      </c>
      <c r="L946" s="4" t="s">
        <v>221</v>
      </c>
      <c r="M946" s="4" t="s">
        <v>40</v>
      </c>
      <c r="N946" s="4" t="s">
        <v>24</v>
      </c>
      <c r="O946" s="4">
        <v>4</v>
      </c>
      <c r="P946" s="7">
        <v>1640</v>
      </c>
      <c r="Q946" s="8">
        <v>0.08</v>
      </c>
      <c r="R946" s="7">
        <v>920</v>
      </c>
      <c r="S946" s="7">
        <f>Table1_1[[#This Row],[Units Sold]]*Table1_1[[#This Row],[Unit Price]]*(1-Table1_1[[#This Row],[Discount %]])</f>
        <v>6035.2</v>
      </c>
      <c r="T946" s="7">
        <f>Table1_1[[#This Row],[Units Sold]]*Table1_1[[#This Row],[Unit Cost]]</f>
        <v>3680</v>
      </c>
      <c r="U946" s="7">
        <f>Table1_1[[#This Row],[Calculated sales]]-Table1_1[[#This Row],[Total cost]]</f>
        <v>2355.1999999999998</v>
      </c>
      <c r="V946" s="4">
        <f>IFERROR(Table1_1[[#This Row],[Profit/Loss]]/Table1_1[[#This Row],[Calculated sales]],0)</f>
        <v>0.39024390243902435</v>
      </c>
    </row>
    <row r="947" spans="1:22" x14ac:dyDescent="0.25">
      <c r="A947" s="4" t="s">
        <v>1096</v>
      </c>
      <c r="B947" s="5">
        <v>45774</v>
      </c>
      <c r="C947" s="4">
        <f>YEAR(Table1_1[[#This Row],[Order Dates]])</f>
        <v>2025</v>
      </c>
      <c r="D947" s="6">
        <f>MONTH(Table1_1[[#This Row],[Order Dates]])</f>
        <v>4</v>
      </c>
      <c r="E947" s="4" t="s">
        <v>37</v>
      </c>
      <c r="F947" s="4" t="s">
        <v>166</v>
      </c>
      <c r="G947" s="4" t="s">
        <v>39</v>
      </c>
      <c r="H947" s="4" t="str">
        <f>TRIM(CLEAN(SUBSTITUTE(Table1_1[[#This Row],[Salesperson]],"   "," ")))</f>
        <v>Sourav Das</v>
      </c>
      <c r="I947" s="4" t="s">
        <v>19</v>
      </c>
      <c r="J947" s="4" t="s">
        <v>59</v>
      </c>
      <c r="K947" s="4" t="s">
        <v>73</v>
      </c>
      <c r="L947" s="4" t="s">
        <v>74</v>
      </c>
      <c r="M947" s="4" t="s">
        <v>23</v>
      </c>
      <c r="N947" s="4" t="s">
        <v>24</v>
      </c>
      <c r="O947" s="4">
        <v>2</v>
      </c>
      <c r="P947" s="7">
        <v>46920</v>
      </c>
      <c r="Q947" s="8">
        <v>0.08</v>
      </c>
      <c r="R947" s="7">
        <v>30410</v>
      </c>
      <c r="S947" s="7">
        <f>Table1_1[[#This Row],[Units Sold]]*Table1_1[[#This Row],[Unit Price]]*(1-Table1_1[[#This Row],[Discount %]])</f>
        <v>86332.800000000003</v>
      </c>
      <c r="T947" s="7">
        <f>Table1_1[[#This Row],[Units Sold]]*Table1_1[[#This Row],[Unit Cost]]</f>
        <v>60820</v>
      </c>
      <c r="U947" s="7">
        <f>Table1_1[[#This Row],[Calculated sales]]-Table1_1[[#This Row],[Total cost]]</f>
        <v>25512.800000000003</v>
      </c>
      <c r="V947" s="4">
        <f>IFERROR(Table1_1[[#This Row],[Profit/Loss]]/Table1_1[[#This Row],[Calculated sales]],0)</f>
        <v>0.29551688350198307</v>
      </c>
    </row>
    <row r="948" spans="1:22" x14ac:dyDescent="0.25">
      <c r="A948" s="4" t="s">
        <v>1097</v>
      </c>
      <c r="B948" s="5">
        <v>45774</v>
      </c>
      <c r="C948" s="4">
        <f>YEAR(Table1_1[[#This Row],[Order Dates]])</f>
        <v>2025</v>
      </c>
      <c r="D948" s="6">
        <f>MONTH(Table1_1[[#This Row],[Order Dates]])</f>
        <v>4</v>
      </c>
      <c r="E948" s="4" t="s">
        <v>16</v>
      </c>
      <c r="F948" s="4" t="s">
        <v>17</v>
      </c>
      <c r="G948" s="4" t="s">
        <v>18</v>
      </c>
      <c r="H948" s="4" t="str">
        <f>TRIM(CLEAN(SUBSTITUTE(Table1_1[[#This Row],[Salesperson]],"   "," ")))</f>
        <v>Imran Sheikh</v>
      </c>
      <c r="I948" s="4" t="s">
        <v>19</v>
      </c>
      <c r="J948" s="4" t="s">
        <v>20</v>
      </c>
      <c r="K948" s="4" t="s">
        <v>21</v>
      </c>
      <c r="L948" s="4" t="s">
        <v>1682</v>
      </c>
      <c r="M948" s="4" t="s">
        <v>23</v>
      </c>
      <c r="N948" s="4" t="s">
        <v>24</v>
      </c>
      <c r="O948" s="4">
        <v>11</v>
      </c>
      <c r="P948" s="7">
        <v>8760</v>
      </c>
      <c r="Q948" s="8">
        <v>0.1</v>
      </c>
      <c r="R948" s="7">
        <v>6470</v>
      </c>
      <c r="S948" s="7">
        <f>Table1_1[[#This Row],[Units Sold]]*Table1_1[[#This Row],[Unit Price]]*(1-Table1_1[[#This Row],[Discount %]])</f>
        <v>86724</v>
      </c>
      <c r="T948" s="7">
        <f>Table1_1[[#This Row],[Units Sold]]*Table1_1[[#This Row],[Unit Cost]]</f>
        <v>71170</v>
      </c>
      <c r="U948" s="7">
        <f>Table1_1[[#This Row],[Calculated sales]]-Table1_1[[#This Row],[Total cost]]</f>
        <v>15554</v>
      </c>
      <c r="V948" s="4">
        <f>IFERROR(Table1_1[[#This Row],[Profit/Loss]]/Table1_1[[#This Row],[Calculated sales]],0)</f>
        <v>0.17935058346017249</v>
      </c>
    </row>
    <row r="949" spans="1:22" x14ac:dyDescent="0.25">
      <c r="A949" s="4" t="s">
        <v>1098</v>
      </c>
      <c r="B949" s="5">
        <v>45775</v>
      </c>
      <c r="C949" s="4">
        <f>YEAR(Table1_1[[#This Row],[Order Dates]])</f>
        <v>2025</v>
      </c>
      <c r="D949" s="6">
        <f>MONTH(Table1_1[[#This Row],[Order Dates]])</f>
        <v>4</v>
      </c>
      <c r="E949" s="4" t="s">
        <v>56</v>
      </c>
      <c r="F949" s="4" t="s">
        <v>72</v>
      </c>
      <c r="G949" s="4" t="s">
        <v>58</v>
      </c>
      <c r="H949" s="4" t="str">
        <f>TRIM(CLEAN(SUBSTITUTE(Table1_1[[#This Row],[Salesperson]],"   "," ")))</f>
        <v>Karthik Raman</v>
      </c>
      <c r="I949" s="4" t="s">
        <v>92</v>
      </c>
      <c r="J949" s="4" t="s">
        <v>83</v>
      </c>
      <c r="K949" s="4" t="s">
        <v>184</v>
      </c>
      <c r="L949" s="4" t="s">
        <v>1679</v>
      </c>
      <c r="M949" s="4" t="s">
        <v>49</v>
      </c>
      <c r="N949" s="4" t="s">
        <v>24</v>
      </c>
      <c r="O949" s="4">
        <v>3</v>
      </c>
      <c r="P949" s="7">
        <v>4400</v>
      </c>
      <c r="Q949" s="8">
        <v>0.05</v>
      </c>
      <c r="R949" s="7">
        <v>2540</v>
      </c>
      <c r="S949" s="7">
        <f>Table1_1[[#This Row],[Units Sold]]*Table1_1[[#This Row],[Unit Price]]*(1-Table1_1[[#This Row],[Discount %]])</f>
        <v>12540</v>
      </c>
      <c r="T949" s="7">
        <f>Table1_1[[#This Row],[Units Sold]]*Table1_1[[#This Row],[Unit Cost]]</f>
        <v>7620</v>
      </c>
      <c r="U949" s="7">
        <f>Table1_1[[#This Row],[Calculated sales]]-Table1_1[[#This Row],[Total cost]]</f>
        <v>4920</v>
      </c>
      <c r="V949" s="4">
        <f>IFERROR(Table1_1[[#This Row],[Profit/Loss]]/Table1_1[[#This Row],[Calculated sales]],0)</f>
        <v>0.3923444976076555</v>
      </c>
    </row>
    <row r="950" spans="1:22" x14ac:dyDescent="0.25">
      <c r="A950" s="4" t="s">
        <v>1099</v>
      </c>
      <c r="B950" s="5">
        <v>45775</v>
      </c>
      <c r="C950" s="4">
        <f>YEAR(Table1_1[[#This Row],[Order Dates]])</f>
        <v>2025</v>
      </c>
      <c r="D950" s="6">
        <f>MONTH(Table1_1[[#This Row],[Order Dates]])</f>
        <v>4</v>
      </c>
      <c r="E950" s="4" t="s">
        <v>76</v>
      </c>
      <c r="F950" s="4" t="s">
        <v>99</v>
      </c>
      <c r="G950" s="4" t="s">
        <v>78</v>
      </c>
      <c r="H950" s="4" t="str">
        <f>TRIM(CLEAN(SUBSTITUTE(Table1_1[[#This Row],[Salesperson]],"   "," ")))</f>
        <v>Pooja Chouhan</v>
      </c>
      <c r="I950" s="4" t="s">
        <v>45</v>
      </c>
      <c r="J950" s="4" t="s">
        <v>83</v>
      </c>
      <c r="K950" s="4" t="s">
        <v>84</v>
      </c>
      <c r="L950" s="4" t="s">
        <v>1671</v>
      </c>
      <c r="M950" s="4" t="s">
        <v>40</v>
      </c>
      <c r="N950" s="4" t="s">
        <v>119</v>
      </c>
      <c r="O950" s="4">
        <v>61</v>
      </c>
      <c r="P950" s="7">
        <v>2420</v>
      </c>
      <c r="Q950" s="8">
        <v>0.1</v>
      </c>
      <c r="R950" s="7">
        <v>1880</v>
      </c>
      <c r="S950" s="7">
        <f>Table1_1[[#This Row],[Units Sold]]*Table1_1[[#This Row],[Unit Price]]*(1-Table1_1[[#This Row],[Discount %]])</f>
        <v>132858</v>
      </c>
      <c r="T950" s="7">
        <f>Table1_1[[#This Row],[Units Sold]]*Table1_1[[#This Row],[Unit Cost]]</f>
        <v>114680</v>
      </c>
      <c r="U950" s="7">
        <f>Table1_1[[#This Row],[Calculated sales]]-Table1_1[[#This Row],[Total cost]]</f>
        <v>18178</v>
      </c>
      <c r="V950" s="4">
        <f>IFERROR(Table1_1[[#This Row],[Profit/Loss]]/Table1_1[[#This Row],[Calculated sales]],0)</f>
        <v>0.13682277318640956</v>
      </c>
    </row>
    <row r="951" spans="1:22" x14ac:dyDescent="0.25">
      <c r="A951" s="4" t="s">
        <v>1100</v>
      </c>
      <c r="B951" s="5">
        <v>45776</v>
      </c>
      <c r="C951" s="4">
        <f>YEAR(Table1_1[[#This Row],[Order Dates]])</f>
        <v>2025</v>
      </c>
      <c r="D951" s="6">
        <f>MONTH(Table1_1[[#This Row],[Order Dates]])</f>
        <v>4</v>
      </c>
      <c r="E951" s="4" t="s">
        <v>16</v>
      </c>
      <c r="F951" s="4" t="s">
        <v>31</v>
      </c>
      <c r="G951" s="4" t="s">
        <v>26</v>
      </c>
      <c r="H951" s="4" t="str">
        <f>TRIM(CLEAN(SUBSTITUTE(Table1_1[[#This Row],[Salesperson]],"   "," ")))</f>
        <v>Prateek Shah</v>
      </c>
      <c r="I951" s="4" t="s">
        <v>19</v>
      </c>
      <c r="J951" s="4" t="s">
        <v>46</v>
      </c>
      <c r="K951" s="4" t="s">
        <v>179</v>
      </c>
      <c r="L951" s="4" t="s">
        <v>236</v>
      </c>
      <c r="M951" s="4" t="s">
        <v>49</v>
      </c>
      <c r="N951" s="4" t="s">
        <v>24</v>
      </c>
      <c r="O951" s="4">
        <v>10</v>
      </c>
      <c r="P951" s="7">
        <v>2140</v>
      </c>
      <c r="Q951" s="8">
        <v>0.15</v>
      </c>
      <c r="R951" s="7">
        <v>1580</v>
      </c>
      <c r="S951" s="7">
        <f>Table1_1[[#This Row],[Units Sold]]*Table1_1[[#This Row],[Unit Price]]*(1-Table1_1[[#This Row],[Discount %]])</f>
        <v>18190</v>
      </c>
      <c r="T951" s="7">
        <f>Table1_1[[#This Row],[Units Sold]]*Table1_1[[#This Row],[Unit Cost]]</f>
        <v>15800</v>
      </c>
      <c r="U951" s="7">
        <f>Table1_1[[#This Row],[Calculated sales]]-Table1_1[[#This Row],[Total cost]]</f>
        <v>2390</v>
      </c>
      <c r="V951" s="4">
        <f>IFERROR(Table1_1[[#This Row],[Profit/Loss]]/Table1_1[[#This Row],[Calculated sales]],0)</f>
        <v>0.13139087410665201</v>
      </c>
    </row>
    <row r="952" spans="1:22" x14ac:dyDescent="0.25">
      <c r="A952" s="4" t="s">
        <v>1101</v>
      </c>
      <c r="B952" s="5">
        <v>45776</v>
      </c>
      <c r="C952" s="4">
        <f>YEAR(Table1_1[[#This Row],[Order Dates]])</f>
        <v>2025</v>
      </c>
      <c r="D952" s="6">
        <f>MONTH(Table1_1[[#This Row],[Order Dates]])</f>
        <v>4</v>
      </c>
      <c r="E952" s="4" t="s">
        <v>37</v>
      </c>
      <c r="F952" s="4" t="s">
        <v>213</v>
      </c>
      <c r="G952" s="4" t="s">
        <v>68</v>
      </c>
      <c r="H952" s="4" t="str">
        <f>TRIM(CLEAN(SUBSTITUTE(Table1_1[[#This Row],[Salesperson]],"   "," ")))</f>
        <v>Ritika Ghosh</v>
      </c>
      <c r="I952" s="4" t="s">
        <v>52</v>
      </c>
      <c r="J952" s="4" t="s">
        <v>20</v>
      </c>
      <c r="K952" s="4" t="s">
        <v>33</v>
      </c>
      <c r="L952" s="4" t="s">
        <v>34</v>
      </c>
      <c r="M952" s="4" t="s">
        <v>40</v>
      </c>
      <c r="N952" s="4" t="s">
        <v>24</v>
      </c>
      <c r="O952" s="4">
        <v>4</v>
      </c>
      <c r="P952" s="7">
        <v>55770</v>
      </c>
      <c r="Q952" s="8">
        <v>0.08</v>
      </c>
      <c r="R952" s="7">
        <v>31860</v>
      </c>
      <c r="S952" s="7">
        <f>Table1_1[[#This Row],[Units Sold]]*Table1_1[[#This Row],[Unit Price]]*(1-Table1_1[[#This Row],[Discount %]])</f>
        <v>205233.6</v>
      </c>
      <c r="T952" s="7">
        <f>Table1_1[[#This Row],[Units Sold]]*Table1_1[[#This Row],[Unit Cost]]</f>
        <v>127440</v>
      </c>
      <c r="U952" s="7">
        <f>Table1_1[[#This Row],[Calculated sales]]-Table1_1[[#This Row],[Total cost]]</f>
        <v>77793.600000000006</v>
      </c>
      <c r="V952" s="4">
        <f>IFERROR(Table1_1[[#This Row],[Profit/Loss]]/Table1_1[[#This Row],[Calculated sales]],0)</f>
        <v>0.37904904460088407</v>
      </c>
    </row>
    <row r="953" spans="1:22" x14ac:dyDescent="0.25">
      <c r="A953" s="4" t="s">
        <v>1102</v>
      </c>
      <c r="B953" s="5">
        <v>45776</v>
      </c>
      <c r="C953" s="4">
        <f>YEAR(Table1_1[[#This Row],[Order Dates]])</f>
        <v>2025</v>
      </c>
      <c r="D953" s="6">
        <f>MONTH(Table1_1[[#This Row],[Order Dates]])</f>
        <v>4</v>
      </c>
      <c r="E953" s="4" t="s">
        <v>76</v>
      </c>
      <c r="F953" s="4" t="s">
        <v>125</v>
      </c>
      <c r="G953" s="4" t="s">
        <v>170</v>
      </c>
      <c r="H953" s="4" t="str">
        <f>TRIM(CLEAN(SUBSTITUTE(Table1_1[[#This Row],[Salesperson]],"   "," ")))</f>
        <v>Manish Tiwari</v>
      </c>
      <c r="I953" s="4" t="s">
        <v>52</v>
      </c>
      <c r="J953" s="4" t="s">
        <v>20</v>
      </c>
      <c r="K953" s="4" t="s">
        <v>33</v>
      </c>
      <c r="L953" s="4" t="s">
        <v>1677</v>
      </c>
      <c r="M953" s="4" t="s">
        <v>23</v>
      </c>
      <c r="N953" s="4" t="s">
        <v>94</v>
      </c>
      <c r="O953" s="4">
        <v>4</v>
      </c>
      <c r="P953" s="7">
        <v>63370</v>
      </c>
      <c r="Q953" s="8">
        <v>0.15</v>
      </c>
      <c r="R953" s="7">
        <v>49030</v>
      </c>
      <c r="S953" s="7">
        <f>Table1_1[[#This Row],[Units Sold]]*Table1_1[[#This Row],[Unit Price]]*(1-Table1_1[[#This Row],[Discount %]])</f>
        <v>215458</v>
      </c>
      <c r="T953" s="7">
        <f>Table1_1[[#This Row],[Units Sold]]*Table1_1[[#This Row],[Unit Cost]]</f>
        <v>196120</v>
      </c>
      <c r="U953" s="7">
        <f>Table1_1[[#This Row],[Calculated sales]]-Table1_1[[#This Row],[Total cost]]</f>
        <v>19338</v>
      </c>
      <c r="V953" s="4">
        <f>IFERROR(Table1_1[[#This Row],[Profit/Loss]]/Table1_1[[#This Row],[Calculated sales]],0)</f>
        <v>8.975299130224916E-2</v>
      </c>
    </row>
    <row r="954" spans="1:22" x14ac:dyDescent="0.25">
      <c r="A954" s="4" t="s">
        <v>1103</v>
      </c>
      <c r="B954" s="5">
        <v>45779</v>
      </c>
      <c r="C954" s="4">
        <f>YEAR(Table1_1[[#This Row],[Order Dates]])</f>
        <v>2025</v>
      </c>
      <c r="D954" s="6">
        <f>MONTH(Table1_1[[#This Row],[Order Dates]])</f>
        <v>5</v>
      </c>
      <c r="E954" s="4" t="s">
        <v>16</v>
      </c>
      <c r="F954" s="4" t="s">
        <v>51</v>
      </c>
      <c r="G954" s="4" t="s">
        <v>18</v>
      </c>
      <c r="H954" s="4" t="str">
        <f>TRIM(CLEAN(SUBSTITUTE(Table1_1[[#This Row],[Salesperson]],"   "," ")))</f>
        <v>Imran Sheikh</v>
      </c>
      <c r="I954" s="4" t="s">
        <v>52</v>
      </c>
      <c r="J954" s="4" t="s">
        <v>46</v>
      </c>
      <c r="K954" s="4" t="s">
        <v>100</v>
      </c>
      <c r="L954" s="4" t="s">
        <v>177</v>
      </c>
      <c r="M954" s="4" t="s">
        <v>49</v>
      </c>
      <c r="N954" s="4" t="s">
        <v>24</v>
      </c>
      <c r="O954" s="4">
        <v>4</v>
      </c>
      <c r="P954" s="7">
        <v>2520</v>
      </c>
      <c r="Q954" s="8">
        <v>0</v>
      </c>
      <c r="R954" s="7">
        <v>1840</v>
      </c>
      <c r="S954" s="7">
        <f>Table1_1[[#This Row],[Units Sold]]*Table1_1[[#This Row],[Unit Price]]*(1-Table1_1[[#This Row],[Discount %]])</f>
        <v>10080</v>
      </c>
      <c r="T954" s="7">
        <f>Table1_1[[#This Row],[Units Sold]]*Table1_1[[#This Row],[Unit Cost]]</f>
        <v>7360</v>
      </c>
      <c r="U954" s="7">
        <f>Table1_1[[#This Row],[Calculated sales]]-Table1_1[[#This Row],[Total cost]]</f>
        <v>2720</v>
      </c>
      <c r="V954" s="4">
        <f>IFERROR(Table1_1[[#This Row],[Profit/Loss]]/Table1_1[[#This Row],[Calculated sales]],0)</f>
        <v>0.26984126984126983</v>
      </c>
    </row>
    <row r="955" spans="1:22" x14ac:dyDescent="0.25">
      <c r="A955" s="4" t="s">
        <v>1104</v>
      </c>
      <c r="B955" s="5">
        <v>45779</v>
      </c>
      <c r="C955" s="4">
        <f>YEAR(Table1_1[[#This Row],[Order Dates]])</f>
        <v>2025</v>
      </c>
      <c r="D955" s="6">
        <f>MONTH(Table1_1[[#This Row],[Order Dates]])</f>
        <v>5</v>
      </c>
      <c r="E955" s="4" t="s">
        <v>56</v>
      </c>
      <c r="F955" s="4" t="s">
        <v>143</v>
      </c>
      <c r="G955" s="4" t="s">
        <v>91</v>
      </c>
      <c r="H955" s="4" t="str">
        <f>TRIM(CLEAN(SUBSTITUTE(Table1_1[[#This Row],[Salesperson]],"   "," ")))</f>
        <v>Anjali Menon</v>
      </c>
      <c r="I955" s="4" t="s">
        <v>52</v>
      </c>
      <c r="J955" s="4" t="s">
        <v>83</v>
      </c>
      <c r="K955" s="4" t="s">
        <v>84</v>
      </c>
      <c r="L955" s="4" t="s">
        <v>1671</v>
      </c>
      <c r="M955" s="4" t="s">
        <v>23</v>
      </c>
      <c r="N955" s="4" t="s">
        <v>24</v>
      </c>
      <c r="O955" s="4">
        <v>9</v>
      </c>
      <c r="P955" s="7">
        <v>2420</v>
      </c>
      <c r="Q955" s="8">
        <v>0.08</v>
      </c>
      <c r="R955" s="7">
        <v>1470</v>
      </c>
      <c r="S955" s="7">
        <f>Table1_1[[#This Row],[Units Sold]]*Table1_1[[#This Row],[Unit Price]]*(1-Table1_1[[#This Row],[Discount %]])</f>
        <v>20037.600000000002</v>
      </c>
      <c r="T955" s="7">
        <f>Table1_1[[#This Row],[Units Sold]]*Table1_1[[#This Row],[Unit Cost]]</f>
        <v>13230</v>
      </c>
      <c r="U955" s="7">
        <f>Table1_1[[#This Row],[Calculated sales]]-Table1_1[[#This Row],[Total cost]]</f>
        <v>6807.6000000000022</v>
      </c>
      <c r="V955" s="4">
        <f>IFERROR(Table1_1[[#This Row],[Profit/Loss]]/Table1_1[[#This Row],[Calculated sales]],0)</f>
        <v>0.33974128638160267</v>
      </c>
    </row>
    <row r="956" spans="1:22" x14ac:dyDescent="0.25">
      <c r="A956" s="4" t="s">
        <v>1105</v>
      </c>
      <c r="B956" s="5">
        <v>45779</v>
      </c>
      <c r="C956" s="4">
        <f>YEAR(Table1_1[[#This Row],[Order Dates]])</f>
        <v>2025</v>
      </c>
      <c r="D956" s="6">
        <f>MONTH(Table1_1[[#This Row],[Order Dates]])</f>
        <v>5</v>
      </c>
      <c r="E956" s="4" t="s">
        <v>76</v>
      </c>
      <c r="F956" s="4" t="s">
        <v>150</v>
      </c>
      <c r="G956" s="4" t="s">
        <v>78</v>
      </c>
      <c r="H956" s="4" t="str">
        <f>TRIM(CLEAN(SUBSTITUTE(Table1_1[[#This Row],[Salesperson]],"   "," ")))</f>
        <v>Pooja Chouhan</v>
      </c>
      <c r="I956" s="4" t="s">
        <v>92</v>
      </c>
      <c r="J956" s="4" t="s">
        <v>46</v>
      </c>
      <c r="K956" s="4" t="s">
        <v>179</v>
      </c>
      <c r="L956" s="4" t="s">
        <v>221</v>
      </c>
      <c r="M956" s="4" t="s">
        <v>40</v>
      </c>
      <c r="N956" s="4" t="s">
        <v>35</v>
      </c>
      <c r="O956" s="4">
        <v>20</v>
      </c>
      <c r="P956" s="7">
        <v>1710</v>
      </c>
      <c r="Q956" s="8">
        <v>0.12</v>
      </c>
      <c r="R956" s="7">
        <v>1310</v>
      </c>
      <c r="S956" s="7">
        <f>Table1_1[[#This Row],[Units Sold]]*Table1_1[[#This Row],[Unit Price]]*(1-Table1_1[[#This Row],[Discount %]])</f>
        <v>30096</v>
      </c>
      <c r="T956" s="7">
        <f>Table1_1[[#This Row],[Units Sold]]*Table1_1[[#This Row],[Unit Cost]]</f>
        <v>26200</v>
      </c>
      <c r="U956" s="7">
        <f>Table1_1[[#This Row],[Calculated sales]]-Table1_1[[#This Row],[Total cost]]</f>
        <v>3896</v>
      </c>
      <c r="V956" s="4">
        <f>IFERROR(Table1_1[[#This Row],[Profit/Loss]]/Table1_1[[#This Row],[Calculated sales]],0)</f>
        <v>0.12945241892610312</v>
      </c>
    </row>
    <row r="957" spans="1:22" x14ac:dyDescent="0.25">
      <c r="A957" s="4" t="s">
        <v>1106</v>
      </c>
      <c r="B957" s="5">
        <v>45781</v>
      </c>
      <c r="C957" s="4">
        <f>YEAR(Table1_1[[#This Row],[Order Dates]])</f>
        <v>2025</v>
      </c>
      <c r="D957" s="6">
        <f>MONTH(Table1_1[[#This Row],[Order Dates]])</f>
        <v>5</v>
      </c>
      <c r="E957" s="4" t="s">
        <v>42</v>
      </c>
      <c r="F957" s="4" t="s">
        <v>123</v>
      </c>
      <c r="G957" s="4" t="s">
        <v>97</v>
      </c>
      <c r="H957" s="4" t="str">
        <f>TRIM(CLEAN(SUBSTITUTE(Table1_1[[#This Row],[Salesperson]],"   "," ")))</f>
        <v>Rohit Malhotra</v>
      </c>
      <c r="I957" s="4" t="s">
        <v>19</v>
      </c>
      <c r="J957" s="4" t="s">
        <v>27</v>
      </c>
      <c r="K957" s="4" t="s">
        <v>79</v>
      </c>
      <c r="L957" s="4" t="s">
        <v>262</v>
      </c>
      <c r="M957" s="4" t="s">
        <v>40</v>
      </c>
      <c r="N957" s="4" t="s">
        <v>24</v>
      </c>
      <c r="O957" s="4">
        <v>13</v>
      </c>
      <c r="P957" s="7">
        <v>2510</v>
      </c>
      <c r="Q957" s="8">
        <v>0.08</v>
      </c>
      <c r="R957" s="7">
        <v>1660</v>
      </c>
      <c r="S957" s="7">
        <f>Table1_1[[#This Row],[Units Sold]]*Table1_1[[#This Row],[Unit Price]]*(1-Table1_1[[#This Row],[Discount %]])</f>
        <v>30019.600000000002</v>
      </c>
      <c r="T957" s="7">
        <f>Table1_1[[#This Row],[Units Sold]]*Table1_1[[#This Row],[Unit Cost]]</f>
        <v>21580</v>
      </c>
      <c r="U957" s="7">
        <f>Table1_1[[#This Row],[Calculated sales]]-Table1_1[[#This Row],[Total cost]]</f>
        <v>8439.6000000000022</v>
      </c>
      <c r="V957" s="4">
        <f>IFERROR(Table1_1[[#This Row],[Profit/Loss]]/Table1_1[[#This Row],[Calculated sales]],0)</f>
        <v>0.28113632426814489</v>
      </c>
    </row>
    <row r="958" spans="1:22" x14ac:dyDescent="0.25">
      <c r="A958" s="4" t="s">
        <v>1107</v>
      </c>
      <c r="B958" s="5">
        <v>45781</v>
      </c>
      <c r="C958" s="4">
        <f>YEAR(Table1_1[[#This Row],[Order Dates]])</f>
        <v>2025</v>
      </c>
      <c r="D958" s="6">
        <f>MONTH(Table1_1[[#This Row],[Order Dates]])</f>
        <v>5</v>
      </c>
      <c r="E958" s="4" t="s">
        <v>56</v>
      </c>
      <c r="F958" s="4" t="s">
        <v>133</v>
      </c>
      <c r="G958" s="4" t="s">
        <v>58</v>
      </c>
      <c r="H958" s="4" t="str">
        <f>TRIM(CLEAN(SUBSTITUTE(Table1_1[[#This Row],[Salesperson]],"   "," ")))</f>
        <v>Karthik Raman</v>
      </c>
      <c r="I958" s="4" t="s">
        <v>19</v>
      </c>
      <c r="J958" s="4" t="s">
        <v>20</v>
      </c>
      <c r="K958" s="4" t="s">
        <v>109</v>
      </c>
      <c r="L958" s="4" t="s">
        <v>1675</v>
      </c>
      <c r="M958" s="4" t="s">
        <v>23</v>
      </c>
      <c r="N958" s="4" t="s">
        <v>24</v>
      </c>
      <c r="O958" s="4">
        <v>1</v>
      </c>
      <c r="P958" s="7">
        <v>70500</v>
      </c>
      <c r="Q958" s="8">
        <v>0.25</v>
      </c>
      <c r="R958" s="7">
        <v>50260</v>
      </c>
      <c r="S958" s="7">
        <f>Table1_1[[#This Row],[Units Sold]]*Table1_1[[#This Row],[Unit Price]]*(1-Table1_1[[#This Row],[Discount %]])</f>
        <v>52875</v>
      </c>
      <c r="T958" s="7">
        <f>Table1_1[[#This Row],[Units Sold]]*Table1_1[[#This Row],[Unit Cost]]</f>
        <v>50260</v>
      </c>
      <c r="U958" s="7">
        <f>Table1_1[[#This Row],[Calculated sales]]-Table1_1[[#This Row],[Total cost]]</f>
        <v>2615</v>
      </c>
      <c r="V958" s="4">
        <f>IFERROR(Table1_1[[#This Row],[Profit/Loss]]/Table1_1[[#This Row],[Calculated sales]],0)</f>
        <v>4.9456264775413712E-2</v>
      </c>
    </row>
    <row r="959" spans="1:22" x14ac:dyDescent="0.25">
      <c r="A959" s="4" t="s">
        <v>1108</v>
      </c>
      <c r="B959" s="5">
        <v>45781</v>
      </c>
      <c r="C959" s="4">
        <f>YEAR(Table1_1[[#This Row],[Order Dates]])</f>
        <v>2025</v>
      </c>
      <c r="D959" s="6">
        <f>MONTH(Table1_1[[#This Row],[Order Dates]])</f>
        <v>5</v>
      </c>
      <c r="E959" s="4" t="s">
        <v>16</v>
      </c>
      <c r="F959" s="4" t="s">
        <v>31</v>
      </c>
      <c r="G959" s="4" t="s">
        <v>32</v>
      </c>
      <c r="H959" s="4" t="str">
        <f>TRIM(CLEAN(SUBSTITUTE(Table1_1[[#This Row],[Salesperson]],"   "," ")))</f>
        <v>Neha Deshpande</v>
      </c>
      <c r="I959" s="4" t="s">
        <v>45</v>
      </c>
      <c r="J959" s="4" t="s">
        <v>46</v>
      </c>
      <c r="K959" s="4" t="s">
        <v>47</v>
      </c>
      <c r="L959" s="4" t="s">
        <v>48</v>
      </c>
      <c r="M959" s="4" t="s">
        <v>23</v>
      </c>
      <c r="N959" s="4" t="s">
        <v>24</v>
      </c>
      <c r="O959" s="4">
        <v>6</v>
      </c>
      <c r="P959" s="7">
        <v>1850</v>
      </c>
      <c r="Q959" s="8">
        <v>0</v>
      </c>
      <c r="R959" s="7">
        <v>1300</v>
      </c>
      <c r="S959" s="7">
        <f>Table1_1[[#This Row],[Units Sold]]*Table1_1[[#This Row],[Unit Price]]*(1-Table1_1[[#This Row],[Discount %]])</f>
        <v>11100</v>
      </c>
      <c r="T959" s="7">
        <f>Table1_1[[#This Row],[Units Sold]]*Table1_1[[#This Row],[Unit Cost]]</f>
        <v>7800</v>
      </c>
      <c r="U959" s="7">
        <f>Table1_1[[#This Row],[Calculated sales]]-Table1_1[[#This Row],[Total cost]]</f>
        <v>3300</v>
      </c>
      <c r="V959" s="4">
        <f>IFERROR(Table1_1[[#This Row],[Profit/Loss]]/Table1_1[[#This Row],[Calculated sales]],0)</f>
        <v>0.29729729729729731</v>
      </c>
    </row>
    <row r="960" spans="1:22" x14ac:dyDescent="0.25">
      <c r="A960" s="4" t="s">
        <v>1109</v>
      </c>
      <c r="B960" s="5">
        <v>45782</v>
      </c>
      <c r="C960" s="4">
        <f>YEAR(Table1_1[[#This Row],[Order Dates]])</f>
        <v>2025</v>
      </c>
      <c r="D960" s="6">
        <f>MONTH(Table1_1[[#This Row],[Order Dates]])</f>
        <v>5</v>
      </c>
      <c r="E960" s="4" t="s">
        <v>16</v>
      </c>
      <c r="F960" s="4" t="s">
        <v>17</v>
      </c>
      <c r="G960" s="4" t="s">
        <v>32</v>
      </c>
      <c r="H960" s="4" t="str">
        <f>TRIM(CLEAN(SUBSTITUTE(Table1_1[[#This Row],[Salesperson]],"   "," ")))</f>
        <v>Neha Deshpande</v>
      </c>
      <c r="I960" s="4" t="s">
        <v>19</v>
      </c>
      <c r="J960" s="4" t="s">
        <v>20</v>
      </c>
      <c r="K960" s="4" t="s">
        <v>109</v>
      </c>
      <c r="L960" s="4" t="s">
        <v>1675</v>
      </c>
      <c r="M960" s="4" t="s">
        <v>23</v>
      </c>
      <c r="N960" s="4" t="s">
        <v>119</v>
      </c>
      <c r="O960" s="4">
        <v>1</v>
      </c>
      <c r="P960" s="7">
        <v>68600</v>
      </c>
      <c r="Q960" s="8">
        <v>0.05</v>
      </c>
      <c r="R960" s="7">
        <v>51910</v>
      </c>
      <c r="S960" s="7">
        <f>Table1_1[[#This Row],[Units Sold]]*Table1_1[[#This Row],[Unit Price]]*(1-Table1_1[[#This Row],[Discount %]])</f>
        <v>65170</v>
      </c>
      <c r="T960" s="7">
        <f>Table1_1[[#This Row],[Units Sold]]*Table1_1[[#This Row],[Unit Cost]]</f>
        <v>51910</v>
      </c>
      <c r="U960" s="7">
        <f>Table1_1[[#This Row],[Calculated sales]]-Table1_1[[#This Row],[Total cost]]</f>
        <v>13260</v>
      </c>
      <c r="V960" s="4">
        <f>IFERROR(Table1_1[[#This Row],[Profit/Loss]]/Table1_1[[#This Row],[Calculated sales]],0)</f>
        <v>0.20346785330673622</v>
      </c>
    </row>
    <row r="961" spans="1:22" x14ac:dyDescent="0.25">
      <c r="A961" s="4" t="s">
        <v>1110</v>
      </c>
      <c r="B961" s="5">
        <v>45782</v>
      </c>
      <c r="C961" s="4">
        <f>YEAR(Table1_1[[#This Row],[Order Dates]])</f>
        <v>2025</v>
      </c>
      <c r="D961" s="6">
        <f>MONTH(Table1_1[[#This Row],[Order Dates]])</f>
        <v>5</v>
      </c>
      <c r="E961" s="4" t="s">
        <v>37</v>
      </c>
      <c r="F961" s="4" t="s">
        <v>115</v>
      </c>
      <c r="G961" s="4" t="s">
        <v>39</v>
      </c>
      <c r="H961" s="4" t="str">
        <f>TRIM(CLEAN(SUBSTITUTE(Table1_1[[#This Row],[Salesperson]],"   "," ")))</f>
        <v>Sourav Das</v>
      </c>
      <c r="I961" s="4" t="s">
        <v>92</v>
      </c>
      <c r="J961" s="4" t="s">
        <v>20</v>
      </c>
      <c r="K961" s="4" t="s">
        <v>109</v>
      </c>
      <c r="L961" s="4" t="s">
        <v>159</v>
      </c>
      <c r="M961" s="4" t="s">
        <v>23</v>
      </c>
      <c r="N961" s="4" t="s">
        <v>24</v>
      </c>
      <c r="O961" s="4">
        <v>16</v>
      </c>
      <c r="P961" s="7">
        <v>19010</v>
      </c>
      <c r="Q961" s="8">
        <v>0.15</v>
      </c>
      <c r="R961" s="7">
        <v>14630</v>
      </c>
      <c r="S961" s="7">
        <f>Table1_1[[#This Row],[Units Sold]]*Table1_1[[#This Row],[Unit Price]]*(1-Table1_1[[#This Row],[Discount %]])</f>
        <v>258536</v>
      </c>
      <c r="T961" s="7">
        <f>Table1_1[[#This Row],[Units Sold]]*Table1_1[[#This Row],[Unit Cost]]</f>
        <v>234080</v>
      </c>
      <c r="U961" s="7">
        <f>Table1_1[[#This Row],[Calculated sales]]-Table1_1[[#This Row],[Total cost]]</f>
        <v>24456</v>
      </c>
      <c r="V961" s="4">
        <f>IFERROR(Table1_1[[#This Row],[Profit/Loss]]/Table1_1[[#This Row],[Calculated sales]],0)</f>
        <v>9.4594176439644767E-2</v>
      </c>
    </row>
    <row r="962" spans="1:22" x14ac:dyDescent="0.25">
      <c r="A962" s="4" t="s">
        <v>1111</v>
      </c>
      <c r="B962" s="5">
        <v>45783</v>
      </c>
      <c r="C962" s="4">
        <f>YEAR(Table1_1[[#This Row],[Order Dates]])</f>
        <v>2025</v>
      </c>
      <c r="D962" s="6">
        <f>MONTH(Table1_1[[#This Row],[Order Dates]])</f>
        <v>5</v>
      </c>
      <c r="E962" s="4" t="s">
        <v>16</v>
      </c>
      <c r="F962" s="4" t="s">
        <v>51</v>
      </c>
      <c r="G962" s="4" t="s">
        <v>26</v>
      </c>
      <c r="H962" s="4" t="str">
        <f>TRIM(CLEAN(SUBSTITUTE(Table1_1[[#This Row],[Salesperson]],"   "," ")))</f>
        <v>Prateek Shah</v>
      </c>
      <c r="I962" s="4" t="s">
        <v>45</v>
      </c>
      <c r="J962" s="4" t="s">
        <v>83</v>
      </c>
      <c r="K962" s="4" t="s">
        <v>136</v>
      </c>
      <c r="L962" s="4" t="s">
        <v>307</v>
      </c>
      <c r="M962" s="4" t="s">
        <v>40</v>
      </c>
      <c r="N962" s="4" t="s">
        <v>24</v>
      </c>
      <c r="O962" s="4">
        <v>43</v>
      </c>
      <c r="P962" s="7">
        <v>970</v>
      </c>
      <c r="Q962" s="8">
        <v>0</v>
      </c>
      <c r="R962" s="7">
        <v>660</v>
      </c>
      <c r="S962" s="7">
        <f>Table1_1[[#This Row],[Units Sold]]*Table1_1[[#This Row],[Unit Price]]*(1-Table1_1[[#This Row],[Discount %]])</f>
        <v>41710</v>
      </c>
      <c r="T962" s="7">
        <f>Table1_1[[#This Row],[Units Sold]]*Table1_1[[#This Row],[Unit Cost]]</f>
        <v>28380</v>
      </c>
      <c r="U962" s="7">
        <f>Table1_1[[#This Row],[Calculated sales]]-Table1_1[[#This Row],[Total cost]]</f>
        <v>13330</v>
      </c>
      <c r="V962" s="4">
        <f>IFERROR(Table1_1[[#This Row],[Profit/Loss]]/Table1_1[[#This Row],[Calculated sales]],0)</f>
        <v>0.31958762886597936</v>
      </c>
    </row>
    <row r="963" spans="1:22" x14ac:dyDescent="0.25">
      <c r="A963" s="4" t="s">
        <v>1112</v>
      </c>
      <c r="B963" s="5">
        <v>45784</v>
      </c>
      <c r="C963" s="4">
        <f>YEAR(Table1_1[[#This Row],[Order Dates]])</f>
        <v>2025</v>
      </c>
      <c r="D963" s="6">
        <f>MONTH(Table1_1[[#This Row],[Order Dates]])</f>
        <v>5</v>
      </c>
      <c r="E963" s="4" t="s">
        <v>42</v>
      </c>
      <c r="F963" s="4" t="s">
        <v>146</v>
      </c>
      <c r="G963" s="4" t="s">
        <v>44</v>
      </c>
      <c r="H963" s="4" t="str">
        <f>TRIM(CLEAN(SUBSTITUTE(Table1_1[[#This Row],[Salesperson]],"   "," ")))</f>
        <v>Simran Kaur</v>
      </c>
      <c r="I963" s="4" t="s">
        <v>92</v>
      </c>
      <c r="J963" s="4" t="s">
        <v>46</v>
      </c>
      <c r="K963" s="4" t="s">
        <v>47</v>
      </c>
      <c r="L963" s="4" t="s">
        <v>259</v>
      </c>
      <c r="M963" s="4" t="s">
        <v>40</v>
      </c>
      <c r="N963" s="4" t="s">
        <v>24</v>
      </c>
      <c r="O963" s="4">
        <v>34</v>
      </c>
      <c r="P963" s="7">
        <v>2960</v>
      </c>
      <c r="Q963" s="8">
        <v>0.05</v>
      </c>
      <c r="R963" s="7">
        <v>2310</v>
      </c>
      <c r="S963" s="7">
        <f>Table1_1[[#This Row],[Units Sold]]*Table1_1[[#This Row],[Unit Price]]*(1-Table1_1[[#This Row],[Discount %]])</f>
        <v>95608</v>
      </c>
      <c r="T963" s="7">
        <f>Table1_1[[#This Row],[Units Sold]]*Table1_1[[#This Row],[Unit Cost]]</f>
        <v>78540</v>
      </c>
      <c r="U963" s="7">
        <f>Table1_1[[#This Row],[Calculated sales]]-Table1_1[[#This Row],[Total cost]]</f>
        <v>17068</v>
      </c>
      <c r="V963" s="4">
        <f>IFERROR(Table1_1[[#This Row],[Profit/Loss]]/Table1_1[[#This Row],[Calculated sales]],0)</f>
        <v>0.17852062588904694</v>
      </c>
    </row>
    <row r="964" spans="1:22" x14ac:dyDescent="0.25">
      <c r="A964" s="4" t="s">
        <v>1113</v>
      </c>
      <c r="B964" s="5">
        <v>45784</v>
      </c>
      <c r="C964" s="4">
        <f>YEAR(Table1_1[[#This Row],[Order Dates]])</f>
        <v>2025</v>
      </c>
      <c r="D964" s="6">
        <f>MONTH(Table1_1[[#This Row],[Order Dates]])</f>
        <v>5</v>
      </c>
      <c r="E964" s="4" t="s">
        <v>56</v>
      </c>
      <c r="F964" s="4" t="s">
        <v>143</v>
      </c>
      <c r="G964" s="4" t="s">
        <v>134</v>
      </c>
      <c r="H964" s="4" t="str">
        <f>TRIM(CLEAN(SUBSTITUTE(Table1_1[[#This Row],[Salesperson]],"   "," ")))</f>
        <v>Divya Nair</v>
      </c>
      <c r="I964" s="4" t="s">
        <v>92</v>
      </c>
      <c r="J964" s="4" t="s">
        <v>20</v>
      </c>
      <c r="K964" s="4" t="s">
        <v>109</v>
      </c>
      <c r="L964" s="4" t="s">
        <v>171</v>
      </c>
      <c r="M964" s="4" t="s">
        <v>40</v>
      </c>
      <c r="N964" s="4" t="s">
        <v>119</v>
      </c>
      <c r="O964" s="4">
        <v>3</v>
      </c>
      <c r="P964" s="7">
        <v>21730</v>
      </c>
      <c r="Q964" s="8">
        <v>0.2</v>
      </c>
      <c r="R964" s="7">
        <v>14410</v>
      </c>
      <c r="S964" s="7">
        <f>Table1_1[[#This Row],[Units Sold]]*Table1_1[[#This Row],[Unit Price]]*(1-Table1_1[[#This Row],[Discount %]])</f>
        <v>52152</v>
      </c>
      <c r="T964" s="7">
        <f>Table1_1[[#This Row],[Units Sold]]*Table1_1[[#This Row],[Unit Cost]]</f>
        <v>43230</v>
      </c>
      <c r="U964" s="7">
        <f>Table1_1[[#This Row],[Calculated sales]]-Table1_1[[#This Row],[Total cost]]</f>
        <v>8922</v>
      </c>
      <c r="V964" s="4">
        <f>IFERROR(Table1_1[[#This Row],[Profit/Loss]]/Table1_1[[#This Row],[Calculated sales]],0)</f>
        <v>0.17107685227795674</v>
      </c>
    </row>
    <row r="965" spans="1:22" x14ac:dyDescent="0.25">
      <c r="A965" s="4" t="s">
        <v>1114</v>
      </c>
      <c r="B965" s="5">
        <v>45784</v>
      </c>
      <c r="C965" s="4">
        <f>YEAR(Table1_1[[#This Row],[Order Dates]])</f>
        <v>2025</v>
      </c>
      <c r="D965" s="6">
        <f>MONTH(Table1_1[[#This Row],[Order Dates]])</f>
        <v>5</v>
      </c>
      <c r="E965" s="4" t="s">
        <v>76</v>
      </c>
      <c r="F965" s="4" t="s">
        <v>217</v>
      </c>
      <c r="G965" s="4" t="s">
        <v>78</v>
      </c>
      <c r="H965" s="4" t="str">
        <f>TRIM(CLEAN(SUBSTITUTE(Table1_1[[#This Row],[Salesperson]],"   "," ")))</f>
        <v>Pooja Chouhan</v>
      </c>
      <c r="I965" s="4" t="s">
        <v>19</v>
      </c>
      <c r="J965" s="4" t="s">
        <v>27</v>
      </c>
      <c r="K965" s="4" t="s">
        <v>79</v>
      </c>
      <c r="L965" s="4" t="s">
        <v>168</v>
      </c>
      <c r="M965" s="4" t="s">
        <v>40</v>
      </c>
      <c r="N965" s="4" t="s">
        <v>24</v>
      </c>
      <c r="O965" s="4">
        <v>5</v>
      </c>
      <c r="P965" s="7">
        <v>10160</v>
      </c>
      <c r="Q965" s="8">
        <v>0.2</v>
      </c>
      <c r="R965" s="7">
        <v>7400</v>
      </c>
      <c r="S965" s="7">
        <f>Table1_1[[#This Row],[Units Sold]]*Table1_1[[#This Row],[Unit Price]]*(1-Table1_1[[#This Row],[Discount %]])</f>
        <v>40640</v>
      </c>
      <c r="T965" s="7">
        <f>Table1_1[[#This Row],[Units Sold]]*Table1_1[[#This Row],[Unit Cost]]</f>
        <v>37000</v>
      </c>
      <c r="U965" s="7">
        <f>Table1_1[[#This Row],[Calculated sales]]-Table1_1[[#This Row],[Total cost]]</f>
        <v>3640</v>
      </c>
      <c r="V965" s="4">
        <f>IFERROR(Table1_1[[#This Row],[Profit/Loss]]/Table1_1[[#This Row],[Calculated sales]],0)</f>
        <v>8.9566929133858261E-2</v>
      </c>
    </row>
    <row r="966" spans="1:22" x14ac:dyDescent="0.25">
      <c r="A966" s="4" t="s">
        <v>1115</v>
      </c>
      <c r="B966" s="5">
        <v>45784</v>
      </c>
      <c r="C966" s="4">
        <f>YEAR(Table1_1[[#This Row],[Order Dates]])</f>
        <v>2025</v>
      </c>
      <c r="D966" s="6">
        <f>MONTH(Table1_1[[#This Row],[Order Dates]])</f>
        <v>5</v>
      </c>
      <c r="E966" s="4" t="s">
        <v>56</v>
      </c>
      <c r="F966" s="4" t="s">
        <v>57</v>
      </c>
      <c r="G966" s="4" t="s">
        <v>91</v>
      </c>
      <c r="H966" s="4" t="str">
        <f>TRIM(CLEAN(SUBSTITUTE(Table1_1[[#This Row],[Salesperson]],"   "," ")))</f>
        <v>Anjali Menon</v>
      </c>
      <c r="I966" s="4" t="s">
        <v>19</v>
      </c>
      <c r="J966" s="4" t="s">
        <v>46</v>
      </c>
      <c r="K966" s="4" t="s">
        <v>47</v>
      </c>
      <c r="L966" s="4" t="s">
        <v>259</v>
      </c>
      <c r="M966" s="4" t="s">
        <v>23</v>
      </c>
      <c r="N966" s="4" t="s">
        <v>119</v>
      </c>
      <c r="O966" s="4">
        <v>6</v>
      </c>
      <c r="P966" s="7">
        <v>3020</v>
      </c>
      <c r="Q966" s="8">
        <v>0.08</v>
      </c>
      <c r="R966" s="7">
        <v>1740</v>
      </c>
      <c r="S966" s="7">
        <f>Table1_1[[#This Row],[Units Sold]]*Table1_1[[#This Row],[Unit Price]]*(1-Table1_1[[#This Row],[Discount %]])</f>
        <v>16670.400000000001</v>
      </c>
      <c r="T966" s="7">
        <f>Table1_1[[#This Row],[Units Sold]]*Table1_1[[#This Row],[Unit Cost]]</f>
        <v>10440</v>
      </c>
      <c r="U966" s="7">
        <f>Table1_1[[#This Row],[Calculated sales]]-Table1_1[[#This Row],[Total cost]]</f>
        <v>6230.4000000000015</v>
      </c>
      <c r="V966" s="4">
        <f>IFERROR(Table1_1[[#This Row],[Profit/Loss]]/Table1_1[[#This Row],[Calculated sales]],0)</f>
        <v>0.37374028217679245</v>
      </c>
    </row>
    <row r="967" spans="1:22" x14ac:dyDescent="0.25">
      <c r="A967" s="4" t="s">
        <v>1116</v>
      </c>
      <c r="B967" s="5">
        <v>45784</v>
      </c>
      <c r="C967" s="4">
        <f>YEAR(Table1_1[[#This Row],[Order Dates]])</f>
        <v>2025</v>
      </c>
      <c r="D967" s="6">
        <f>MONTH(Table1_1[[#This Row],[Order Dates]])</f>
        <v>5</v>
      </c>
      <c r="E967" s="4" t="s">
        <v>56</v>
      </c>
      <c r="F967" s="4" t="s">
        <v>127</v>
      </c>
      <c r="G967" s="4" t="s">
        <v>58</v>
      </c>
      <c r="H967" s="4" t="str">
        <f>TRIM(CLEAN(SUBSTITUTE(Table1_1[[#This Row],[Salesperson]],"   "," ")))</f>
        <v>Karthik Raman</v>
      </c>
      <c r="I967" s="4" t="s">
        <v>19</v>
      </c>
      <c r="J967" s="4" t="s">
        <v>20</v>
      </c>
      <c r="K967" s="4" t="s">
        <v>109</v>
      </c>
      <c r="L967" s="4" t="s">
        <v>1675</v>
      </c>
      <c r="M967" s="4" t="s">
        <v>23</v>
      </c>
      <c r="N967" s="4" t="s">
        <v>24</v>
      </c>
      <c r="O967" s="4">
        <v>4</v>
      </c>
      <c r="P967" s="7">
        <v>73220</v>
      </c>
      <c r="Q967" s="8">
        <v>0.12</v>
      </c>
      <c r="R967" s="7">
        <v>55430</v>
      </c>
      <c r="S967" s="7">
        <f>Table1_1[[#This Row],[Units Sold]]*Table1_1[[#This Row],[Unit Price]]*(1-Table1_1[[#This Row],[Discount %]])</f>
        <v>257734.39999999999</v>
      </c>
      <c r="T967" s="7">
        <f>Table1_1[[#This Row],[Units Sold]]*Table1_1[[#This Row],[Unit Cost]]</f>
        <v>221720</v>
      </c>
      <c r="U967" s="7">
        <f>Table1_1[[#This Row],[Calculated sales]]-Table1_1[[#This Row],[Total cost]]</f>
        <v>36014.399999999994</v>
      </c>
      <c r="V967" s="4">
        <f>IFERROR(Table1_1[[#This Row],[Profit/Loss]]/Table1_1[[#This Row],[Calculated sales]],0)</f>
        <v>0.1397345484343572</v>
      </c>
    </row>
    <row r="968" spans="1:22" x14ac:dyDescent="0.25">
      <c r="A968" s="4" t="s">
        <v>1117</v>
      </c>
      <c r="B968" s="5">
        <v>45786</v>
      </c>
      <c r="C968" s="4">
        <f>YEAR(Table1_1[[#This Row],[Order Dates]])</f>
        <v>2025</v>
      </c>
      <c r="D968" s="6">
        <f>MONTH(Table1_1[[#This Row],[Order Dates]])</f>
        <v>5</v>
      </c>
      <c r="E968" s="4" t="s">
        <v>42</v>
      </c>
      <c r="F968" s="4" t="s">
        <v>96</v>
      </c>
      <c r="G968" s="4" t="s">
        <v>44</v>
      </c>
      <c r="H968" s="4" t="str">
        <f>TRIM(CLEAN(SUBSTITUTE(Table1_1[[#This Row],[Salesperson]],"   "," ")))</f>
        <v>Simran Kaur</v>
      </c>
      <c r="I968" s="4" t="s">
        <v>92</v>
      </c>
      <c r="J968" s="4" t="s">
        <v>20</v>
      </c>
      <c r="K968" s="4" t="s">
        <v>21</v>
      </c>
      <c r="L968" s="4" t="s">
        <v>1667</v>
      </c>
      <c r="M968" s="4" t="s">
        <v>40</v>
      </c>
      <c r="N968" s="4" t="s">
        <v>24</v>
      </c>
      <c r="O968" s="4">
        <v>16</v>
      </c>
      <c r="P968" s="7">
        <v>1910</v>
      </c>
      <c r="Q968" s="8">
        <v>0.18</v>
      </c>
      <c r="R968" s="7">
        <v>1340</v>
      </c>
      <c r="S968" s="7">
        <f>Table1_1[[#This Row],[Units Sold]]*Table1_1[[#This Row],[Unit Price]]*(1-Table1_1[[#This Row],[Discount %]])</f>
        <v>25059.200000000001</v>
      </c>
      <c r="T968" s="7">
        <f>Table1_1[[#This Row],[Units Sold]]*Table1_1[[#This Row],[Unit Cost]]</f>
        <v>21440</v>
      </c>
      <c r="U968" s="7">
        <f>Table1_1[[#This Row],[Calculated sales]]-Table1_1[[#This Row],[Total cost]]</f>
        <v>3619.2000000000007</v>
      </c>
      <c r="V968" s="4">
        <f>IFERROR(Table1_1[[#This Row],[Profit/Loss]]/Table1_1[[#This Row],[Calculated sales]],0)</f>
        <v>0.14442599923381436</v>
      </c>
    </row>
    <row r="969" spans="1:22" x14ac:dyDescent="0.25">
      <c r="A969" s="4" t="s">
        <v>1118</v>
      </c>
      <c r="B969" s="5">
        <v>45786</v>
      </c>
      <c r="C969" s="4">
        <f>YEAR(Table1_1[[#This Row],[Order Dates]])</f>
        <v>2025</v>
      </c>
      <c r="D969" s="6">
        <f>MONTH(Table1_1[[#This Row],[Order Dates]])</f>
        <v>5</v>
      </c>
      <c r="E969" s="4" t="s">
        <v>56</v>
      </c>
      <c r="F969" s="4" t="s">
        <v>72</v>
      </c>
      <c r="G969" s="4" t="s">
        <v>58</v>
      </c>
      <c r="H969" s="4" t="str">
        <f>TRIM(CLEAN(SUBSTITUTE(Table1_1[[#This Row],[Salesperson]],"   "," ")))</f>
        <v>Karthik Raman</v>
      </c>
      <c r="I969" s="4" t="s">
        <v>19</v>
      </c>
      <c r="J969" s="4" t="s">
        <v>46</v>
      </c>
      <c r="K969" s="4" t="s">
        <v>47</v>
      </c>
      <c r="L969" s="4" t="s">
        <v>1673</v>
      </c>
      <c r="M969" s="4" t="s">
        <v>40</v>
      </c>
      <c r="N969" s="4" t="s">
        <v>24</v>
      </c>
      <c r="O969" s="4">
        <v>3</v>
      </c>
      <c r="P969" s="7">
        <v>1230</v>
      </c>
      <c r="Q969" s="8">
        <v>0.05</v>
      </c>
      <c r="R969" s="7">
        <v>760</v>
      </c>
      <c r="S969" s="7">
        <f>Table1_1[[#This Row],[Units Sold]]*Table1_1[[#This Row],[Unit Price]]*(1-Table1_1[[#This Row],[Discount %]])</f>
        <v>3505.5</v>
      </c>
      <c r="T969" s="7">
        <f>Table1_1[[#This Row],[Units Sold]]*Table1_1[[#This Row],[Unit Cost]]</f>
        <v>2280</v>
      </c>
      <c r="U969" s="7">
        <f>Table1_1[[#This Row],[Calculated sales]]-Table1_1[[#This Row],[Total cost]]</f>
        <v>1225.5</v>
      </c>
      <c r="V969" s="4">
        <f>IFERROR(Table1_1[[#This Row],[Profit/Loss]]/Table1_1[[#This Row],[Calculated sales]],0)</f>
        <v>0.34959349593495936</v>
      </c>
    </row>
    <row r="970" spans="1:22" x14ac:dyDescent="0.25">
      <c r="A970" s="4" t="s">
        <v>1119</v>
      </c>
      <c r="B970" s="5">
        <v>45786</v>
      </c>
      <c r="C970" s="4">
        <f>YEAR(Table1_1[[#This Row],[Order Dates]])</f>
        <v>2025</v>
      </c>
      <c r="D970" s="6">
        <f>MONTH(Table1_1[[#This Row],[Order Dates]])</f>
        <v>5</v>
      </c>
      <c r="E970" s="4" t="s">
        <v>56</v>
      </c>
      <c r="F970" s="4" t="s">
        <v>127</v>
      </c>
      <c r="G970" s="4" t="s">
        <v>91</v>
      </c>
      <c r="H970" s="4" t="str">
        <f>TRIM(CLEAN(SUBSTITUTE(Table1_1[[#This Row],[Salesperson]],"   "," ")))</f>
        <v>Anjali Menon</v>
      </c>
      <c r="I970" s="4" t="s">
        <v>92</v>
      </c>
      <c r="J970" s="4" t="s">
        <v>27</v>
      </c>
      <c r="K970" s="4" t="s">
        <v>28</v>
      </c>
      <c r="L970" s="4" t="s">
        <v>141</v>
      </c>
      <c r="M970" s="4" t="s">
        <v>23</v>
      </c>
      <c r="N970" s="4" t="s">
        <v>24</v>
      </c>
      <c r="O970" s="4">
        <v>7</v>
      </c>
      <c r="P970" s="7">
        <v>16620</v>
      </c>
      <c r="Q970" s="8">
        <v>0.05</v>
      </c>
      <c r="R970" s="7">
        <v>10180</v>
      </c>
      <c r="S970" s="7">
        <f>Table1_1[[#This Row],[Units Sold]]*Table1_1[[#This Row],[Unit Price]]*(1-Table1_1[[#This Row],[Discount %]])</f>
        <v>110523</v>
      </c>
      <c r="T970" s="7">
        <f>Table1_1[[#This Row],[Units Sold]]*Table1_1[[#This Row],[Unit Cost]]</f>
        <v>71260</v>
      </c>
      <c r="U970" s="7">
        <f>Table1_1[[#This Row],[Calculated sales]]-Table1_1[[#This Row],[Total cost]]</f>
        <v>39263</v>
      </c>
      <c r="V970" s="4">
        <f>IFERROR(Table1_1[[#This Row],[Profit/Loss]]/Table1_1[[#This Row],[Calculated sales]],0)</f>
        <v>0.35524732408638926</v>
      </c>
    </row>
    <row r="971" spans="1:22" x14ac:dyDescent="0.25">
      <c r="A971" s="4" t="s">
        <v>1120</v>
      </c>
      <c r="B971" s="5">
        <v>45787</v>
      </c>
      <c r="C971" s="4">
        <f>YEAR(Table1_1[[#This Row],[Order Dates]])</f>
        <v>2025</v>
      </c>
      <c r="D971" s="6">
        <f>MONTH(Table1_1[[#This Row],[Order Dates]])</f>
        <v>5</v>
      </c>
      <c r="E971" s="4" t="s">
        <v>56</v>
      </c>
      <c r="F971" s="4" t="s">
        <v>133</v>
      </c>
      <c r="G971" s="4" t="s">
        <v>58</v>
      </c>
      <c r="H971" s="4" t="str">
        <f>TRIM(CLEAN(SUBSTITUTE(Table1_1[[#This Row],[Salesperson]],"   "," ")))</f>
        <v>Karthik Raman</v>
      </c>
      <c r="I971" s="4" t="s">
        <v>45</v>
      </c>
      <c r="J971" s="4" t="s">
        <v>20</v>
      </c>
      <c r="K971" s="4" t="s">
        <v>109</v>
      </c>
      <c r="L971" s="4" t="s">
        <v>171</v>
      </c>
      <c r="M971" s="4" t="s">
        <v>40</v>
      </c>
      <c r="N971" s="4" t="s">
        <v>24</v>
      </c>
      <c r="O971" s="4">
        <v>2</v>
      </c>
      <c r="P971" s="7">
        <v>22000</v>
      </c>
      <c r="Q971" s="8">
        <v>0.05</v>
      </c>
      <c r="R971" s="7">
        <v>12950</v>
      </c>
      <c r="S971" s="7">
        <f>Table1_1[[#This Row],[Units Sold]]*Table1_1[[#This Row],[Unit Price]]*(1-Table1_1[[#This Row],[Discount %]])</f>
        <v>41800</v>
      </c>
      <c r="T971" s="7">
        <f>Table1_1[[#This Row],[Units Sold]]*Table1_1[[#This Row],[Unit Cost]]</f>
        <v>25900</v>
      </c>
      <c r="U971" s="7">
        <f>Table1_1[[#This Row],[Calculated sales]]-Table1_1[[#This Row],[Total cost]]</f>
        <v>15900</v>
      </c>
      <c r="V971" s="4">
        <f>IFERROR(Table1_1[[#This Row],[Profit/Loss]]/Table1_1[[#This Row],[Calculated sales]],0)</f>
        <v>0.38038277511961721</v>
      </c>
    </row>
    <row r="972" spans="1:22" x14ac:dyDescent="0.25">
      <c r="A972" s="4" t="s">
        <v>1121</v>
      </c>
      <c r="B972" s="5">
        <v>45787</v>
      </c>
      <c r="C972" s="4">
        <f>YEAR(Table1_1[[#This Row],[Order Dates]])</f>
        <v>2025</v>
      </c>
      <c r="D972" s="6">
        <f>MONTH(Table1_1[[#This Row],[Order Dates]])</f>
        <v>5</v>
      </c>
      <c r="E972" s="4" t="s">
        <v>16</v>
      </c>
      <c r="F972" s="4" t="s">
        <v>82</v>
      </c>
      <c r="G972" s="4" t="s">
        <v>26</v>
      </c>
      <c r="H972" s="4" t="str">
        <f>TRIM(CLEAN(SUBSTITUTE(Table1_1[[#This Row],[Salesperson]],"   "," ")))</f>
        <v>Prateek Shah</v>
      </c>
      <c r="I972" s="4" t="s">
        <v>19</v>
      </c>
      <c r="J972" s="4" t="s">
        <v>83</v>
      </c>
      <c r="K972" s="4" t="s">
        <v>84</v>
      </c>
      <c r="L972" s="4" t="s">
        <v>292</v>
      </c>
      <c r="M972" s="4" t="s">
        <v>23</v>
      </c>
      <c r="N972" s="4" t="s">
        <v>24</v>
      </c>
      <c r="O972" s="4">
        <v>2</v>
      </c>
      <c r="P972" s="7">
        <v>43110</v>
      </c>
      <c r="Q972" s="8">
        <v>0.18</v>
      </c>
      <c r="R972" s="7">
        <v>25010</v>
      </c>
      <c r="S972" s="7">
        <f>Table1_1[[#This Row],[Units Sold]]*Table1_1[[#This Row],[Unit Price]]*(1-Table1_1[[#This Row],[Discount %]])</f>
        <v>70700.400000000009</v>
      </c>
      <c r="T972" s="7">
        <f>Table1_1[[#This Row],[Units Sold]]*Table1_1[[#This Row],[Unit Cost]]</f>
        <v>50020</v>
      </c>
      <c r="U972" s="7">
        <f>Table1_1[[#This Row],[Calculated sales]]-Table1_1[[#This Row],[Total cost]]</f>
        <v>20680.400000000009</v>
      </c>
      <c r="V972" s="4">
        <f>IFERROR(Table1_1[[#This Row],[Profit/Loss]]/Table1_1[[#This Row],[Calculated sales]],0)</f>
        <v>0.29250753885409425</v>
      </c>
    </row>
    <row r="973" spans="1:22" x14ac:dyDescent="0.25">
      <c r="A973" s="4" t="s">
        <v>1122</v>
      </c>
      <c r="B973" s="5">
        <v>45787</v>
      </c>
      <c r="C973" s="4">
        <f>YEAR(Table1_1[[#This Row],[Order Dates]])</f>
        <v>2025</v>
      </c>
      <c r="D973" s="6">
        <f>MONTH(Table1_1[[#This Row],[Order Dates]])</f>
        <v>5</v>
      </c>
      <c r="E973" s="4" t="s">
        <v>42</v>
      </c>
      <c r="F973" s="4" t="s">
        <v>123</v>
      </c>
      <c r="G973" s="4" t="s">
        <v>44</v>
      </c>
      <c r="H973" s="4" t="str">
        <f>TRIM(CLEAN(SUBSTITUTE(Table1_1[[#This Row],[Salesperson]],"   "," ")))</f>
        <v>Simran Kaur</v>
      </c>
      <c r="I973" s="4" t="s">
        <v>52</v>
      </c>
      <c r="J973" s="4" t="s">
        <v>59</v>
      </c>
      <c r="K973" s="4" t="s">
        <v>60</v>
      </c>
      <c r="L973" s="4" t="s">
        <v>200</v>
      </c>
      <c r="M973" s="4" t="s">
        <v>40</v>
      </c>
      <c r="N973" s="4" t="s">
        <v>24</v>
      </c>
      <c r="O973" s="4">
        <v>10</v>
      </c>
      <c r="P973" s="7">
        <v>9020</v>
      </c>
      <c r="Q973" s="8">
        <v>0.12</v>
      </c>
      <c r="R973" s="7">
        <v>5550</v>
      </c>
      <c r="S973" s="7">
        <f>Table1_1[[#This Row],[Units Sold]]*Table1_1[[#This Row],[Unit Price]]*(1-Table1_1[[#This Row],[Discount %]])</f>
        <v>79376</v>
      </c>
      <c r="T973" s="7">
        <f>Table1_1[[#This Row],[Units Sold]]*Table1_1[[#This Row],[Unit Cost]]</f>
        <v>55500</v>
      </c>
      <c r="U973" s="7">
        <f>Table1_1[[#This Row],[Calculated sales]]-Table1_1[[#This Row],[Total cost]]</f>
        <v>23876</v>
      </c>
      <c r="V973" s="4">
        <f>IFERROR(Table1_1[[#This Row],[Profit/Loss]]/Table1_1[[#This Row],[Calculated sales]],0)</f>
        <v>0.30079621044144328</v>
      </c>
    </row>
    <row r="974" spans="1:22" x14ac:dyDescent="0.25">
      <c r="A974" s="4" t="s">
        <v>1123</v>
      </c>
      <c r="B974" s="5">
        <v>45787</v>
      </c>
      <c r="C974" s="4">
        <f>YEAR(Table1_1[[#This Row],[Order Dates]])</f>
        <v>2025</v>
      </c>
      <c r="D974" s="6">
        <f>MONTH(Table1_1[[#This Row],[Order Dates]])</f>
        <v>5</v>
      </c>
      <c r="E974" s="4" t="s">
        <v>56</v>
      </c>
      <c r="F974" s="4" t="s">
        <v>57</v>
      </c>
      <c r="G974" s="4" t="s">
        <v>91</v>
      </c>
      <c r="H974" s="4" t="str">
        <f>TRIM(CLEAN(SUBSTITUTE(Table1_1[[#This Row],[Salesperson]],"   "," ")))</f>
        <v>Anjali Menon</v>
      </c>
      <c r="I974" s="4" t="s">
        <v>92</v>
      </c>
      <c r="J974" s="4" t="s">
        <v>83</v>
      </c>
      <c r="K974" s="4" t="s">
        <v>184</v>
      </c>
      <c r="L974" s="4" t="s">
        <v>1679</v>
      </c>
      <c r="M974" s="4" t="s">
        <v>49</v>
      </c>
      <c r="N974" s="4" t="s">
        <v>24</v>
      </c>
      <c r="O974" s="4">
        <v>25</v>
      </c>
      <c r="P974" s="7">
        <v>4600</v>
      </c>
      <c r="Q974" s="8">
        <v>0.18</v>
      </c>
      <c r="R974" s="7">
        <v>3580</v>
      </c>
      <c r="S974" s="7">
        <f>Table1_1[[#This Row],[Units Sold]]*Table1_1[[#This Row],[Unit Price]]*(1-Table1_1[[#This Row],[Discount %]])</f>
        <v>94300</v>
      </c>
      <c r="T974" s="7">
        <f>Table1_1[[#This Row],[Units Sold]]*Table1_1[[#This Row],[Unit Cost]]</f>
        <v>89500</v>
      </c>
      <c r="U974" s="7">
        <f>Table1_1[[#This Row],[Calculated sales]]-Table1_1[[#This Row],[Total cost]]</f>
        <v>4800</v>
      </c>
      <c r="V974" s="4">
        <f>IFERROR(Table1_1[[#This Row],[Profit/Loss]]/Table1_1[[#This Row],[Calculated sales]],0)</f>
        <v>5.0901378579003183E-2</v>
      </c>
    </row>
    <row r="975" spans="1:22" x14ac:dyDescent="0.25">
      <c r="A975" s="4" t="s">
        <v>1124</v>
      </c>
      <c r="B975" s="5">
        <v>45788</v>
      </c>
      <c r="C975" s="4">
        <f>YEAR(Table1_1[[#This Row],[Order Dates]])</f>
        <v>2025</v>
      </c>
      <c r="D975" s="6">
        <f>MONTH(Table1_1[[#This Row],[Order Dates]])</f>
        <v>5</v>
      </c>
      <c r="E975" s="4" t="s">
        <v>42</v>
      </c>
      <c r="F975" s="4" t="s">
        <v>96</v>
      </c>
      <c r="G975" s="4" t="s">
        <v>44</v>
      </c>
      <c r="H975" s="4" t="str">
        <f>TRIM(CLEAN(SUBSTITUTE(Table1_1[[#This Row],[Salesperson]],"   "," ")))</f>
        <v>Simran Kaur</v>
      </c>
      <c r="I975" s="4" t="s">
        <v>92</v>
      </c>
      <c r="J975" s="4" t="s">
        <v>27</v>
      </c>
      <c r="K975" s="4" t="s">
        <v>53</v>
      </c>
      <c r="L975" s="4" t="s">
        <v>1669</v>
      </c>
      <c r="M975" s="4" t="s">
        <v>23</v>
      </c>
      <c r="N975" s="4" t="s">
        <v>24</v>
      </c>
      <c r="O975" s="4">
        <v>4</v>
      </c>
      <c r="P975" s="7">
        <v>41560</v>
      </c>
      <c r="Q975" s="8">
        <v>0.1</v>
      </c>
      <c r="R975" s="7">
        <v>23850</v>
      </c>
      <c r="S975" s="7">
        <f>Table1_1[[#This Row],[Units Sold]]*Table1_1[[#This Row],[Unit Price]]*(1-Table1_1[[#This Row],[Discount %]])</f>
        <v>149616</v>
      </c>
      <c r="T975" s="7">
        <f>Table1_1[[#This Row],[Units Sold]]*Table1_1[[#This Row],[Unit Cost]]</f>
        <v>95400</v>
      </c>
      <c r="U975" s="7">
        <f>Table1_1[[#This Row],[Calculated sales]]-Table1_1[[#This Row],[Total cost]]</f>
        <v>54216</v>
      </c>
      <c r="V975" s="4">
        <f>IFERROR(Table1_1[[#This Row],[Profit/Loss]]/Table1_1[[#This Row],[Calculated sales]],0)</f>
        <v>0.36236766121270453</v>
      </c>
    </row>
    <row r="976" spans="1:22" x14ac:dyDescent="0.25">
      <c r="A976" s="4" t="s">
        <v>1125</v>
      </c>
      <c r="B976" s="5">
        <v>45788</v>
      </c>
      <c r="C976" s="4">
        <f>YEAR(Table1_1[[#This Row],[Order Dates]])</f>
        <v>2025</v>
      </c>
      <c r="D976" s="6">
        <f>MONTH(Table1_1[[#This Row],[Order Dates]])</f>
        <v>5</v>
      </c>
      <c r="E976" s="4" t="s">
        <v>37</v>
      </c>
      <c r="F976" s="4" t="s">
        <v>161</v>
      </c>
      <c r="G976" s="4" t="s">
        <v>39</v>
      </c>
      <c r="H976" s="4" t="str">
        <f>TRIM(CLEAN(SUBSTITUTE(Table1_1[[#This Row],[Salesperson]],"   "," ")))</f>
        <v>Sourav Das</v>
      </c>
      <c r="I976" s="4" t="s">
        <v>45</v>
      </c>
      <c r="J976" s="4" t="s">
        <v>59</v>
      </c>
      <c r="K976" s="4" t="s">
        <v>154</v>
      </c>
      <c r="L976" s="4" t="s">
        <v>155</v>
      </c>
      <c r="M976" s="4" t="s">
        <v>40</v>
      </c>
      <c r="N976" s="4" t="s">
        <v>24</v>
      </c>
      <c r="O976" s="4">
        <v>6</v>
      </c>
      <c r="P976" s="7">
        <v>12080</v>
      </c>
      <c r="Q976" s="8">
        <v>0.12</v>
      </c>
      <c r="R976" s="7">
        <v>8790</v>
      </c>
      <c r="S976" s="7">
        <f>Table1_1[[#This Row],[Units Sold]]*Table1_1[[#This Row],[Unit Price]]*(1-Table1_1[[#This Row],[Discount %]])</f>
        <v>63782.400000000001</v>
      </c>
      <c r="T976" s="7">
        <f>Table1_1[[#This Row],[Units Sold]]*Table1_1[[#This Row],[Unit Cost]]</f>
        <v>52740</v>
      </c>
      <c r="U976" s="7">
        <f>Table1_1[[#This Row],[Calculated sales]]-Table1_1[[#This Row],[Total cost]]</f>
        <v>11042.400000000001</v>
      </c>
      <c r="V976" s="4">
        <f>IFERROR(Table1_1[[#This Row],[Profit/Loss]]/Table1_1[[#This Row],[Calculated sales]],0)</f>
        <v>0.1731261288380494</v>
      </c>
    </row>
    <row r="977" spans="1:22" x14ac:dyDescent="0.25">
      <c r="A977" s="4" t="s">
        <v>1126</v>
      </c>
      <c r="B977" s="5">
        <v>45788</v>
      </c>
      <c r="C977" s="4">
        <f>YEAR(Table1_1[[#This Row],[Order Dates]])</f>
        <v>2025</v>
      </c>
      <c r="D977" s="6">
        <f>MONTH(Table1_1[[#This Row],[Order Dates]])</f>
        <v>5</v>
      </c>
      <c r="E977" s="4" t="s">
        <v>56</v>
      </c>
      <c r="F977" s="4" t="s">
        <v>127</v>
      </c>
      <c r="G977" s="4" t="s">
        <v>58</v>
      </c>
      <c r="H977" s="4" t="str">
        <f>TRIM(CLEAN(SUBSTITUTE(Table1_1[[#This Row],[Salesperson]],"   "," ")))</f>
        <v>Karthik Raman</v>
      </c>
      <c r="I977" s="4" t="s">
        <v>19</v>
      </c>
      <c r="J977" s="4" t="s">
        <v>46</v>
      </c>
      <c r="K977" s="4" t="s">
        <v>100</v>
      </c>
      <c r="L977" s="4" t="s">
        <v>177</v>
      </c>
      <c r="M977" s="4" t="s">
        <v>23</v>
      </c>
      <c r="N977" s="4" t="s">
        <v>24</v>
      </c>
      <c r="O977" s="4">
        <v>39</v>
      </c>
      <c r="P977" s="7">
        <v>2690</v>
      </c>
      <c r="Q977" s="8">
        <v>0.05</v>
      </c>
      <c r="R977" s="7">
        <v>1970</v>
      </c>
      <c r="S977" s="7">
        <f>Table1_1[[#This Row],[Units Sold]]*Table1_1[[#This Row],[Unit Price]]*(1-Table1_1[[#This Row],[Discount %]])</f>
        <v>99664.5</v>
      </c>
      <c r="T977" s="7">
        <f>Table1_1[[#This Row],[Units Sold]]*Table1_1[[#This Row],[Unit Cost]]</f>
        <v>76830</v>
      </c>
      <c r="U977" s="7">
        <f>Table1_1[[#This Row],[Calculated sales]]-Table1_1[[#This Row],[Total cost]]</f>
        <v>22834.5</v>
      </c>
      <c r="V977" s="4">
        <f>IFERROR(Table1_1[[#This Row],[Profit/Loss]]/Table1_1[[#This Row],[Calculated sales]],0)</f>
        <v>0.22911367638426922</v>
      </c>
    </row>
    <row r="978" spans="1:22" x14ac:dyDescent="0.25">
      <c r="A978" s="4" t="s">
        <v>1127</v>
      </c>
      <c r="B978" s="5">
        <v>45789</v>
      </c>
      <c r="C978" s="4">
        <f>YEAR(Table1_1[[#This Row],[Order Dates]])</f>
        <v>2025</v>
      </c>
      <c r="D978" s="6">
        <f>MONTH(Table1_1[[#This Row],[Order Dates]])</f>
        <v>5</v>
      </c>
      <c r="E978" s="4" t="s">
        <v>42</v>
      </c>
      <c r="F978" s="4" t="s">
        <v>146</v>
      </c>
      <c r="G978" s="4" t="s">
        <v>64</v>
      </c>
      <c r="H978" s="4" t="str">
        <f>TRIM(CLEAN(SUBSTITUTE(Table1_1[[#This Row],[Salesperson]],"   "," ")))</f>
        <v>Aditya Verma</v>
      </c>
      <c r="I978" s="4" t="s">
        <v>92</v>
      </c>
      <c r="J978" s="4" t="s">
        <v>20</v>
      </c>
      <c r="K978" s="4" t="s">
        <v>109</v>
      </c>
      <c r="L978" s="4" t="s">
        <v>1675</v>
      </c>
      <c r="M978" s="4" t="s">
        <v>23</v>
      </c>
      <c r="N978" s="4" t="s">
        <v>24</v>
      </c>
      <c r="O978" s="4">
        <v>2</v>
      </c>
      <c r="P978" s="7">
        <v>73140</v>
      </c>
      <c r="Q978" s="8">
        <v>0.05</v>
      </c>
      <c r="R978" s="7">
        <v>51100</v>
      </c>
      <c r="S978" s="7">
        <f>Table1_1[[#This Row],[Units Sold]]*Table1_1[[#This Row],[Unit Price]]*(1-Table1_1[[#This Row],[Discount %]])</f>
        <v>138966</v>
      </c>
      <c r="T978" s="7">
        <f>Table1_1[[#This Row],[Units Sold]]*Table1_1[[#This Row],[Unit Cost]]</f>
        <v>102200</v>
      </c>
      <c r="U978" s="7">
        <f>Table1_1[[#This Row],[Calculated sales]]-Table1_1[[#This Row],[Total cost]]</f>
        <v>36766</v>
      </c>
      <c r="V978" s="4">
        <f>IFERROR(Table1_1[[#This Row],[Profit/Loss]]/Table1_1[[#This Row],[Calculated sales]],0)</f>
        <v>0.26456831167335892</v>
      </c>
    </row>
    <row r="979" spans="1:22" x14ac:dyDescent="0.25">
      <c r="A979" s="4" t="s">
        <v>1128</v>
      </c>
      <c r="B979" s="5">
        <v>45789</v>
      </c>
      <c r="C979" s="4">
        <f>YEAR(Table1_1[[#This Row],[Order Dates]])</f>
        <v>2025</v>
      </c>
      <c r="D979" s="6">
        <f>MONTH(Table1_1[[#This Row],[Order Dates]])</f>
        <v>5</v>
      </c>
      <c r="E979" s="4" t="s">
        <v>16</v>
      </c>
      <c r="F979" s="4" t="s">
        <v>82</v>
      </c>
      <c r="G979" s="4" t="s">
        <v>32</v>
      </c>
      <c r="H979" s="4" t="str">
        <f>TRIM(CLEAN(SUBSTITUTE(Table1_1[[#This Row],[Salesperson]],"   "," ")))</f>
        <v>Neha Deshpande</v>
      </c>
      <c r="I979" s="4" t="s">
        <v>19</v>
      </c>
      <c r="J979" s="4" t="s">
        <v>83</v>
      </c>
      <c r="K979" s="4" t="s">
        <v>136</v>
      </c>
      <c r="L979" s="4" t="s">
        <v>137</v>
      </c>
      <c r="M979" s="4" t="s">
        <v>49</v>
      </c>
      <c r="N979" s="4" t="s">
        <v>24</v>
      </c>
      <c r="O979" s="4">
        <v>33</v>
      </c>
      <c r="P979" s="7">
        <v>1700</v>
      </c>
      <c r="Q979" s="8">
        <v>0.25</v>
      </c>
      <c r="R979" s="7">
        <v>1310</v>
      </c>
      <c r="S979" s="7">
        <f>Table1_1[[#This Row],[Units Sold]]*Table1_1[[#This Row],[Unit Price]]*(1-Table1_1[[#This Row],[Discount %]])</f>
        <v>42075</v>
      </c>
      <c r="T979" s="7">
        <f>Table1_1[[#This Row],[Units Sold]]*Table1_1[[#This Row],[Unit Cost]]</f>
        <v>43230</v>
      </c>
      <c r="U979" s="7">
        <f>Table1_1[[#This Row],[Calculated sales]]-Table1_1[[#This Row],[Total cost]]</f>
        <v>-1155</v>
      </c>
      <c r="V979" s="4">
        <f>IFERROR(Table1_1[[#This Row],[Profit/Loss]]/Table1_1[[#This Row],[Calculated sales]],0)</f>
        <v>-2.7450980392156862E-2</v>
      </c>
    </row>
    <row r="980" spans="1:22" x14ac:dyDescent="0.25">
      <c r="A980" s="4" t="s">
        <v>1129</v>
      </c>
      <c r="B980" s="5">
        <v>45790</v>
      </c>
      <c r="C980" s="4">
        <f>YEAR(Table1_1[[#This Row],[Order Dates]])</f>
        <v>2025</v>
      </c>
      <c r="D980" s="6">
        <f>MONTH(Table1_1[[#This Row],[Order Dates]])</f>
        <v>5</v>
      </c>
      <c r="E980" s="4" t="s">
        <v>42</v>
      </c>
      <c r="F980" s="4" t="s">
        <v>146</v>
      </c>
      <c r="G980" s="4" t="s">
        <v>97</v>
      </c>
      <c r="H980" s="4" t="str">
        <f>TRIM(CLEAN(SUBSTITUTE(Table1_1[[#This Row],[Salesperson]],"   "," ")))</f>
        <v>Rohit Malhotra</v>
      </c>
      <c r="I980" s="4" t="s">
        <v>92</v>
      </c>
      <c r="J980" s="4" t="s">
        <v>20</v>
      </c>
      <c r="K980" s="4" t="s">
        <v>33</v>
      </c>
      <c r="L980" s="4" t="s">
        <v>1678</v>
      </c>
      <c r="M980" s="4" t="s">
        <v>49</v>
      </c>
      <c r="N980" s="4" t="s">
        <v>24</v>
      </c>
      <c r="O980" s="4">
        <v>5</v>
      </c>
      <c r="P980" s="7">
        <v>100680</v>
      </c>
      <c r="Q980" s="8">
        <v>0.25</v>
      </c>
      <c r="R980" s="7">
        <v>70680</v>
      </c>
      <c r="S980" s="7">
        <f>Table1_1[[#This Row],[Units Sold]]*Table1_1[[#This Row],[Unit Price]]*(1-Table1_1[[#This Row],[Discount %]])</f>
        <v>377550</v>
      </c>
      <c r="T980" s="7">
        <f>Table1_1[[#This Row],[Units Sold]]*Table1_1[[#This Row],[Unit Cost]]</f>
        <v>353400</v>
      </c>
      <c r="U980" s="7">
        <f>Table1_1[[#This Row],[Calculated sales]]-Table1_1[[#This Row],[Total cost]]</f>
        <v>24150</v>
      </c>
      <c r="V980" s="4">
        <f>IFERROR(Table1_1[[#This Row],[Profit/Loss]]/Table1_1[[#This Row],[Calculated sales]],0)</f>
        <v>6.3965037743345249E-2</v>
      </c>
    </row>
    <row r="981" spans="1:22" x14ac:dyDescent="0.25">
      <c r="A981" s="4" t="s">
        <v>1130</v>
      </c>
      <c r="B981" s="5">
        <v>45790</v>
      </c>
      <c r="C981" s="4">
        <f>YEAR(Table1_1[[#This Row],[Order Dates]])</f>
        <v>2025</v>
      </c>
      <c r="D981" s="6">
        <f>MONTH(Table1_1[[#This Row],[Order Dates]])</f>
        <v>5</v>
      </c>
      <c r="E981" s="4" t="s">
        <v>37</v>
      </c>
      <c r="F981" s="4" t="s">
        <v>38</v>
      </c>
      <c r="G981" s="4" t="s">
        <v>39</v>
      </c>
      <c r="H981" s="4" t="str">
        <f>TRIM(CLEAN(SUBSTITUTE(Table1_1[[#This Row],[Salesperson]],"   "," ")))</f>
        <v>Sourav Das</v>
      </c>
      <c r="I981" s="4" t="s">
        <v>19</v>
      </c>
      <c r="J981" s="4" t="s">
        <v>59</v>
      </c>
      <c r="K981" s="4" t="s">
        <v>154</v>
      </c>
      <c r="L981" s="4" t="s">
        <v>249</v>
      </c>
      <c r="M981" s="4" t="s">
        <v>23</v>
      </c>
      <c r="N981" s="4" t="s">
        <v>24</v>
      </c>
      <c r="O981" s="4">
        <v>10</v>
      </c>
      <c r="P981" s="7">
        <v>6940</v>
      </c>
      <c r="Q981" s="8">
        <v>0.08</v>
      </c>
      <c r="R981" s="7">
        <v>5390</v>
      </c>
      <c r="S981" s="7">
        <f>Table1_1[[#This Row],[Units Sold]]*Table1_1[[#This Row],[Unit Price]]*(1-Table1_1[[#This Row],[Discount %]])</f>
        <v>63848</v>
      </c>
      <c r="T981" s="7">
        <f>Table1_1[[#This Row],[Units Sold]]*Table1_1[[#This Row],[Unit Cost]]</f>
        <v>53900</v>
      </c>
      <c r="U981" s="7">
        <f>Table1_1[[#This Row],[Calculated sales]]-Table1_1[[#This Row],[Total cost]]</f>
        <v>9948</v>
      </c>
      <c r="V981" s="4">
        <f>IFERROR(Table1_1[[#This Row],[Profit/Loss]]/Table1_1[[#This Row],[Calculated sales]],0)</f>
        <v>0.15580754291442175</v>
      </c>
    </row>
    <row r="982" spans="1:22" x14ac:dyDescent="0.25">
      <c r="A982" s="4" t="s">
        <v>1131</v>
      </c>
      <c r="B982" s="5">
        <v>45790</v>
      </c>
      <c r="C982" s="4">
        <f>YEAR(Table1_1[[#This Row],[Order Dates]])</f>
        <v>2025</v>
      </c>
      <c r="D982" s="6">
        <f>MONTH(Table1_1[[#This Row],[Order Dates]])</f>
        <v>5</v>
      </c>
      <c r="E982" s="4" t="s">
        <v>76</v>
      </c>
      <c r="F982" s="4" t="s">
        <v>112</v>
      </c>
      <c r="G982" s="4" t="s">
        <v>170</v>
      </c>
      <c r="H982" s="4" t="str">
        <f>TRIM(CLEAN(SUBSTITUTE(Table1_1[[#This Row],[Salesperson]],"   "," ")))</f>
        <v>Manish Tiwari</v>
      </c>
      <c r="I982" s="4" t="s">
        <v>19</v>
      </c>
      <c r="J982" s="4" t="s">
        <v>59</v>
      </c>
      <c r="K982" s="4" t="s">
        <v>73</v>
      </c>
      <c r="L982" s="4" t="s">
        <v>74</v>
      </c>
      <c r="M982" s="4" t="s">
        <v>49</v>
      </c>
      <c r="N982" s="4" t="s">
        <v>24</v>
      </c>
      <c r="O982" s="4">
        <v>2</v>
      </c>
      <c r="P982" s="7">
        <v>43910</v>
      </c>
      <c r="Q982" s="8">
        <v>0.12</v>
      </c>
      <c r="R982" s="7">
        <v>27080</v>
      </c>
      <c r="S982" s="7">
        <f>Table1_1[[#This Row],[Units Sold]]*Table1_1[[#This Row],[Unit Price]]*(1-Table1_1[[#This Row],[Discount %]])</f>
        <v>77281.600000000006</v>
      </c>
      <c r="T982" s="7">
        <f>Table1_1[[#This Row],[Units Sold]]*Table1_1[[#This Row],[Unit Cost]]</f>
        <v>54160</v>
      </c>
      <c r="U982" s="7">
        <f>Table1_1[[#This Row],[Calculated sales]]-Table1_1[[#This Row],[Total cost]]</f>
        <v>23121.600000000006</v>
      </c>
      <c r="V982" s="4">
        <f>IFERROR(Table1_1[[#This Row],[Profit/Loss]]/Table1_1[[#This Row],[Calculated sales]],0)</f>
        <v>0.29918635224943591</v>
      </c>
    </row>
    <row r="983" spans="1:22" x14ac:dyDescent="0.25">
      <c r="A983" s="4" t="s">
        <v>1132</v>
      </c>
      <c r="B983" s="5">
        <v>45791</v>
      </c>
      <c r="C983" s="4">
        <f>YEAR(Table1_1[[#This Row],[Order Dates]])</f>
        <v>2025</v>
      </c>
      <c r="D983" s="6">
        <f>MONTH(Table1_1[[#This Row],[Order Dates]])</f>
        <v>5</v>
      </c>
      <c r="E983" s="4" t="s">
        <v>56</v>
      </c>
      <c r="F983" s="4" t="s">
        <v>127</v>
      </c>
      <c r="G983" s="4" t="s">
        <v>91</v>
      </c>
      <c r="H983" s="4" t="str">
        <f>TRIM(CLEAN(SUBSTITUTE(Table1_1[[#This Row],[Salesperson]],"   "," ")))</f>
        <v>Anjali Menon</v>
      </c>
      <c r="I983" s="4" t="s">
        <v>52</v>
      </c>
      <c r="J983" s="4" t="s">
        <v>59</v>
      </c>
      <c r="K983" s="4" t="s">
        <v>69</v>
      </c>
      <c r="L983" s="4" t="s">
        <v>121</v>
      </c>
      <c r="M983" s="4" t="s">
        <v>23</v>
      </c>
      <c r="N983" s="4" t="s">
        <v>24</v>
      </c>
      <c r="O983" s="4">
        <v>3</v>
      </c>
      <c r="P983" s="7">
        <v>3710</v>
      </c>
      <c r="Q983" s="8">
        <v>0.15</v>
      </c>
      <c r="R983" s="7">
        <v>2210</v>
      </c>
      <c r="S983" s="7">
        <f>Table1_1[[#This Row],[Units Sold]]*Table1_1[[#This Row],[Unit Price]]*(1-Table1_1[[#This Row],[Discount %]])</f>
        <v>9460.5</v>
      </c>
      <c r="T983" s="7">
        <f>Table1_1[[#This Row],[Units Sold]]*Table1_1[[#This Row],[Unit Cost]]</f>
        <v>6630</v>
      </c>
      <c r="U983" s="7">
        <f>Table1_1[[#This Row],[Calculated sales]]-Table1_1[[#This Row],[Total cost]]</f>
        <v>2830.5</v>
      </c>
      <c r="V983" s="4">
        <f>IFERROR(Table1_1[[#This Row],[Profit/Loss]]/Table1_1[[#This Row],[Calculated sales]],0)</f>
        <v>0.29919137466307277</v>
      </c>
    </row>
    <row r="984" spans="1:22" x14ac:dyDescent="0.25">
      <c r="A984" s="4" t="s">
        <v>1133</v>
      </c>
      <c r="B984" s="5">
        <v>45792</v>
      </c>
      <c r="C984" s="4">
        <f>YEAR(Table1_1[[#This Row],[Order Dates]])</f>
        <v>2025</v>
      </c>
      <c r="D984" s="6">
        <f>MONTH(Table1_1[[#This Row],[Order Dates]])</f>
        <v>5</v>
      </c>
      <c r="E984" s="4" t="s">
        <v>56</v>
      </c>
      <c r="F984" s="4" t="s">
        <v>72</v>
      </c>
      <c r="G984" s="4" t="s">
        <v>91</v>
      </c>
      <c r="H984" s="4" t="str">
        <f>TRIM(CLEAN(SUBSTITUTE(Table1_1[[#This Row],[Salesperson]],"   "," ")))</f>
        <v>Anjali Menon</v>
      </c>
      <c r="I984" s="4" t="s">
        <v>45</v>
      </c>
      <c r="J984" s="4" t="s">
        <v>59</v>
      </c>
      <c r="K984" s="4" t="s">
        <v>60</v>
      </c>
      <c r="L984" s="4" t="s">
        <v>200</v>
      </c>
      <c r="M984" s="4" t="s">
        <v>40</v>
      </c>
      <c r="N984" s="4" t="s">
        <v>24</v>
      </c>
      <c r="O984" s="4">
        <v>20</v>
      </c>
      <c r="P984" s="7">
        <v>8270</v>
      </c>
      <c r="Q984" s="8">
        <v>0.1</v>
      </c>
      <c r="R984" s="7">
        <v>5460</v>
      </c>
      <c r="S984" s="7">
        <f>Table1_1[[#This Row],[Units Sold]]*Table1_1[[#This Row],[Unit Price]]*(1-Table1_1[[#This Row],[Discount %]])</f>
        <v>148860</v>
      </c>
      <c r="T984" s="7">
        <f>Table1_1[[#This Row],[Units Sold]]*Table1_1[[#This Row],[Unit Cost]]</f>
        <v>109200</v>
      </c>
      <c r="U984" s="7">
        <f>Table1_1[[#This Row],[Calculated sales]]-Table1_1[[#This Row],[Total cost]]</f>
        <v>39660</v>
      </c>
      <c r="V984" s="4">
        <f>IFERROR(Table1_1[[#This Row],[Profit/Loss]]/Table1_1[[#This Row],[Calculated sales]],0)</f>
        <v>0.26642482869810558</v>
      </c>
    </row>
    <row r="985" spans="1:22" x14ac:dyDescent="0.25">
      <c r="A985" s="4" t="s">
        <v>1134</v>
      </c>
      <c r="B985" s="5">
        <v>45794</v>
      </c>
      <c r="C985" s="4">
        <f>YEAR(Table1_1[[#This Row],[Order Dates]])</f>
        <v>2025</v>
      </c>
      <c r="D985" s="6">
        <f>MONTH(Table1_1[[#This Row],[Order Dates]])</f>
        <v>5</v>
      </c>
      <c r="E985" s="4" t="s">
        <v>37</v>
      </c>
      <c r="F985" s="4" t="s">
        <v>115</v>
      </c>
      <c r="G985" s="4" t="s">
        <v>39</v>
      </c>
      <c r="H985" s="4" t="str">
        <f>TRIM(CLEAN(SUBSTITUTE(Table1_1[[#This Row],[Salesperson]],"   "," ")))</f>
        <v>Sourav Das</v>
      </c>
      <c r="I985" s="4" t="s">
        <v>92</v>
      </c>
      <c r="J985" s="4" t="s">
        <v>20</v>
      </c>
      <c r="K985" s="4" t="s">
        <v>21</v>
      </c>
      <c r="L985" s="4" t="s">
        <v>1667</v>
      </c>
      <c r="M985" s="4" t="s">
        <v>40</v>
      </c>
      <c r="N985" s="4" t="s">
        <v>24</v>
      </c>
      <c r="O985" s="4">
        <v>56</v>
      </c>
      <c r="P985" s="7">
        <v>1890</v>
      </c>
      <c r="Q985" s="8">
        <v>0.12</v>
      </c>
      <c r="R985" s="7">
        <v>1220</v>
      </c>
      <c r="S985" s="7">
        <f>Table1_1[[#This Row],[Units Sold]]*Table1_1[[#This Row],[Unit Price]]*(1-Table1_1[[#This Row],[Discount %]])</f>
        <v>93139.199999999997</v>
      </c>
      <c r="T985" s="7">
        <f>Table1_1[[#This Row],[Units Sold]]*Table1_1[[#This Row],[Unit Cost]]</f>
        <v>68320</v>
      </c>
      <c r="U985" s="7">
        <f>Table1_1[[#This Row],[Calculated sales]]-Table1_1[[#This Row],[Total cost]]</f>
        <v>24819.199999999997</v>
      </c>
      <c r="V985" s="4">
        <f>IFERROR(Table1_1[[#This Row],[Profit/Loss]]/Table1_1[[#This Row],[Calculated sales]],0)</f>
        <v>0.26647426647426647</v>
      </c>
    </row>
    <row r="986" spans="1:22" x14ac:dyDescent="0.25">
      <c r="A986" s="4" t="s">
        <v>1135</v>
      </c>
      <c r="B986" s="5">
        <v>45794</v>
      </c>
      <c r="C986" s="4">
        <f>YEAR(Table1_1[[#This Row],[Order Dates]])</f>
        <v>2025</v>
      </c>
      <c r="D986" s="6">
        <f>MONTH(Table1_1[[#This Row],[Order Dates]])</f>
        <v>5</v>
      </c>
      <c r="E986" s="4" t="s">
        <v>76</v>
      </c>
      <c r="F986" s="4" t="s">
        <v>150</v>
      </c>
      <c r="G986" s="4" t="s">
        <v>170</v>
      </c>
      <c r="H986" s="4" t="str">
        <f>TRIM(CLEAN(SUBSTITUTE(Table1_1[[#This Row],[Salesperson]],"   "," ")))</f>
        <v>Manish Tiwari</v>
      </c>
      <c r="I986" s="4" t="s">
        <v>52</v>
      </c>
      <c r="J986" s="4" t="s">
        <v>46</v>
      </c>
      <c r="K986" s="4" t="s">
        <v>179</v>
      </c>
      <c r="L986" s="4" t="s">
        <v>221</v>
      </c>
      <c r="M986" s="4" t="s">
        <v>23</v>
      </c>
      <c r="N986" s="4" t="s">
        <v>24</v>
      </c>
      <c r="O986" s="4">
        <v>38</v>
      </c>
      <c r="P986" s="7">
        <v>1600</v>
      </c>
      <c r="Q986" s="8">
        <v>0.08</v>
      </c>
      <c r="R986" s="7">
        <v>1130</v>
      </c>
      <c r="S986" s="7">
        <f>Table1_1[[#This Row],[Units Sold]]*Table1_1[[#This Row],[Unit Price]]*(1-Table1_1[[#This Row],[Discount %]])</f>
        <v>55936</v>
      </c>
      <c r="T986" s="7">
        <f>Table1_1[[#This Row],[Units Sold]]*Table1_1[[#This Row],[Unit Cost]]</f>
        <v>42940</v>
      </c>
      <c r="U986" s="7">
        <f>Table1_1[[#This Row],[Calculated sales]]-Table1_1[[#This Row],[Total cost]]</f>
        <v>12996</v>
      </c>
      <c r="V986" s="4">
        <f>IFERROR(Table1_1[[#This Row],[Profit/Loss]]/Table1_1[[#This Row],[Calculated sales]],0)</f>
        <v>0.23233695652173914</v>
      </c>
    </row>
    <row r="987" spans="1:22" x14ac:dyDescent="0.25">
      <c r="A987" s="4" t="s">
        <v>1136</v>
      </c>
      <c r="B987" s="5">
        <v>45795</v>
      </c>
      <c r="C987" s="4">
        <f>YEAR(Table1_1[[#This Row],[Order Dates]])</f>
        <v>2025</v>
      </c>
      <c r="D987" s="6">
        <f>MONTH(Table1_1[[#This Row],[Order Dates]])</f>
        <v>5</v>
      </c>
      <c r="E987" s="4" t="s">
        <v>76</v>
      </c>
      <c r="F987" s="4" t="s">
        <v>99</v>
      </c>
      <c r="G987" s="4" t="s">
        <v>170</v>
      </c>
      <c r="H987" s="4" t="str">
        <f>TRIM(CLEAN(SUBSTITUTE(Table1_1[[#This Row],[Salesperson]],"   "," ")))</f>
        <v>Manish Tiwari</v>
      </c>
      <c r="I987" s="4" t="s">
        <v>92</v>
      </c>
      <c r="J987" s="4" t="s">
        <v>27</v>
      </c>
      <c r="K987" s="4" t="s">
        <v>214</v>
      </c>
      <c r="L987" s="4" t="s">
        <v>1680</v>
      </c>
      <c r="M987" s="4" t="s">
        <v>23</v>
      </c>
      <c r="N987" s="4" t="s">
        <v>35</v>
      </c>
      <c r="O987" s="4">
        <v>2</v>
      </c>
      <c r="P987" s="7">
        <v>34160</v>
      </c>
      <c r="Q987" s="8">
        <v>0.2</v>
      </c>
      <c r="R987" s="7">
        <v>21540</v>
      </c>
      <c r="S987" s="7">
        <f>Table1_1[[#This Row],[Units Sold]]*Table1_1[[#This Row],[Unit Price]]*(1-Table1_1[[#This Row],[Discount %]])</f>
        <v>54656</v>
      </c>
      <c r="T987" s="7">
        <f>Table1_1[[#This Row],[Units Sold]]*Table1_1[[#This Row],[Unit Cost]]</f>
        <v>43080</v>
      </c>
      <c r="U987" s="7">
        <f>Table1_1[[#This Row],[Calculated sales]]-Table1_1[[#This Row],[Total cost]]</f>
        <v>11576</v>
      </c>
      <c r="V987" s="4">
        <f>IFERROR(Table1_1[[#This Row],[Profit/Loss]]/Table1_1[[#This Row],[Calculated sales]],0)</f>
        <v>0.21179742388758782</v>
      </c>
    </row>
    <row r="988" spans="1:22" x14ac:dyDescent="0.25">
      <c r="A988" s="4" t="s">
        <v>1137</v>
      </c>
      <c r="B988" s="5">
        <v>45795</v>
      </c>
      <c r="C988" s="4">
        <f>YEAR(Table1_1[[#This Row],[Order Dates]])</f>
        <v>2025</v>
      </c>
      <c r="D988" s="6">
        <f>MONTH(Table1_1[[#This Row],[Order Dates]])</f>
        <v>5</v>
      </c>
      <c r="E988" s="4" t="s">
        <v>56</v>
      </c>
      <c r="F988" s="4" t="s">
        <v>133</v>
      </c>
      <c r="G988" s="4" t="s">
        <v>58</v>
      </c>
      <c r="H988" s="4" t="str">
        <f>TRIM(CLEAN(SUBSTITUTE(Table1_1[[#This Row],[Salesperson]],"   "," ")))</f>
        <v>Karthik Raman</v>
      </c>
      <c r="I988" s="4" t="s">
        <v>52</v>
      </c>
      <c r="J988" s="4" t="s">
        <v>27</v>
      </c>
      <c r="K988" s="4" t="s">
        <v>28</v>
      </c>
      <c r="L988" s="4" t="s">
        <v>1668</v>
      </c>
      <c r="M988" s="4" t="s">
        <v>40</v>
      </c>
      <c r="N988" s="4" t="s">
        <v>24</v>
      </c>
      <c r="O988" s="4">
        <v>3</v>
      </c>
      <c r="P988" s="7">
        <v>27790</v>
      </c>
      <c r="Q988" s="8">
        <v>0.08</v>
      </c>
      <c r="R988" s="7">
        <v>15990</v>
      </c>
      <c r="S988" s="7">
        <f>Table1_1[[#This Row],[Units Sold]]*Table1_1[[#This Row],[Unit Price]]*(1-Table1_1[[#This Row],[Discount %]])</f>
        <v>76700.400000000009</v>
      </c>
      <c r="T988" s="7">
        <f>Table1_1[[#This Row],[Units Sold]]*Table1_1[[#This Row],[Unit Cost]]</f>
        <v>47970</v>
      </c>
      <c r="U988" s="7">
        <f>Table1_1[[#This Row],[Calculated sales]]-Table1_1[[#This Row],[Total cost]]</f>
        <v>28730.400000000009</v>
      </c>
      <c r="V988" s="4">
        <f>IFERROR(Table1_1[[#This Row],[Profit/Loss]]/Table1_1[[#This Row],[Calculated sales]],0)</f>
        <v>0.37457953283164108</v>
      </c>
    </row>
    <row r="989" spans="1:22" x14ac:dyDescent="0.25">
      <c r="A989" s="4" t="s">
        <v>1138</v>
      </c>
      <c r="B989" s="5">
        <v>45795</v>
      </c>
      <c r="C989" s="4">
        <f>YEAR(Table1_1[[#This Row],[Order Dates]])</f>
        <v>2025</v>
      </c>
      <c r="D989" s="6">
        <f>MONTH(Table1_1[[#This Row],[Order Dates]])</f>
        <v>5</v>
      </c>
      <c r="E989" s="4" t="s">
        <v>16</v>
      </c>
      <c r="F989" s="4" t="s">
        <v>31</v>
      </c>
      <c r="G989" s="4" t="s">
        <v>18</v>
      </c>
      <c r="H989" s="4" t="str">
        <f>TRIM(CLEAN(SUBSTITUTE(Table1_1[[#This Row],[Salesperson]],"   "," ")))</f>
        <v>Imran Sheikh</v>
      </c>
      <c r="I989" s="4" t="s">
        <v>52</v>
      </c>
      <c r="J989" s="4" t="s">
        <v>20</v>
      </c>
      <c r="K989" s="4" t="s">
        <v>87</v>
      </c>
      <c r="L989" s="4" t="s">
        <v>1672</v>
      </c>
      <c r="M989" s="4" t="s">
        <v>23</v>
      </c>
      <c r="N989" s="4" t="s">
        <v>24</v>
      </c>
      <c r="O989" s="4">
        <v>1</v>
      </c>
      <c r="P989" s="7">
        <v>31290</v>
      </c>
      <c r="Q989" s="8">
        <v>0</v>
      </c>
      <c r="R989" s="7">
        <v>23060</v>
      </c>
      <c r="S989" s="7">
        <f>Table1_1[[#This Row],[Units Sold]]*Table1_1[[#This Row],[Unit Price]]*(1-Table1_1[[#This Row],[Discount %]])</f>
        <v>31290</v>
      </c>
      <c r="T989" s="7">
        <f>Table1_1[[#This Row],[Units Sold]]*Table1_1[[#This Row],[Unit Cost]]</f>
        <v>23060</v>
      </c>
      <c r="U989" s="7">
        <f>Table1_1[[#This Row],[Calculated sales]]-Table1_1[[#This Row],[Total cost]]</f>
        <v>8230</v>
      </c>
      <c r="V989" s="4">
        <f>IFERROR(Table1_1[[#This Row],[Profit/Loss]]/Table1_1[[#This Row],[Calculated sales]],0)</f>
        <v>0.26302333013742407</v>
      </c>
    </row>
    <row r="990" spans="1:22" x14ac:dyDescent="0.25">
      <c r="A990" s="4" t="s">
        <v>1139</v>
      </c>
      <c r="B990" s="5">
        <v>45797</v>
      </c>
      <c r="C990" s="4">
        <f>YEAR(Table1_1[[#This Row],[Order Dates]])</f>
        <v>2025</v>
      </c>
      <c r="D990" s="6">
        <f>MONTH(Table1_1[[#This Row],[Order Dates]])</f>
        <v>5</v>
      </c>
      <c r="E990" s="4" t="s">
        <v>56</v>
      </c>
      <c r="F990" s="4" t="s">
        <v>103</v>
      </c>
      <c r="G990" s="4" t="s">
        <v>134</v>
      </c>
      <c r="H990" s="4" t="str">
        <f>TRIM(CLEAN(SUBSTITUTE(Table1_1[[#This Row],[Salesperson]],"   "," ")))</f>
        <v>Divya Nair</v>
      </c>
      <c r="I990" s="4" t="s">
        <v>19</v>
      </c>
      <c r="J990" s="4" t="s">
        <v>27</v>
      </c>
      <c r="K990" s="4" t="s">
        <v>28</v>
      </c>
      <c r="L990" s="4" t="s">
        <v>1668</v>
      </c>
      <c r="M990" s="4" t="s">
        <v>23</v>
      </c>
      <c r="N990" s="4" t="s">
        <v>24</v>
      </c>
      <c r="O990" s="4">
        <v>8</v>
      </c>
      <c r="P990" s="7">
        <v>28190</v>
      </c>
      <c r="Q990" s="8">
        <v>0.05</v>
      </c>
      <c r="R990" s="7">
        <v>18540</v>
      </c>
      <c r="S990" s="7">
        <f>Table1_1[[#This Row],[Units Sold]]*Table1_1[[#This Row],[Unit Price]]*(1-Table1_1[[#This Row],[Discount %]])</f>
        <v>214244</v>
      </c>
      <c r="T990" s="7">
        <f>Table1_1[[#This Row],[Units Sold]]*Table1_1[[#This Row],[Unit Cost]]</f>
        <v>148320</v>
      </c>
      <c r="U990" s="7">
        <f>Table1_1[[#This Row],[Calculated sales]]-Table1_1[[#This Row],[Total cost]]</f>
        <v>65924</v>
      </c>
      <c r="V990" s="4">
        <f>IFERROR(Table1_1[[#This Row],[Profit/Loss]]/Table1_1[[#This Row],[Calculated sales]],0)</f>
        <v>0.30770523328541288</v>
      </c>
    </row>
    <row r="991" spans="1:22" x14ac:dyDescent="0.25">
      <c r="A991" s="4" t="s">
        <v>1140</v>
      </c>
      <c r="B991" s="5">
        <v>45797</v>
      </c>
      <c r="C991" s="4">
        <f>YEAR(Table1_1[[#This Row],[Order Dates]])</f>
        <v>2025</v>
      </c>
      <c r="D991" s="6">
        <f>MONTH(Table1_1[[#This Row],[Order Dates]])</f>
        <v>5</v>
      </c>
      <c r="E991" s="4" t="s">
        <v>76</v>
      </c>
      <c r="F991" s="4" t="s">
        <v>77</v>
      </c>
      <c r="G991" s="4" t="s">
        <v>170</v>
      </c>
      <c r="H991" s="4" t="str">
        <f>TRIM(CLEAN(SUBSTITUTE(Table1_1[[#This Row],[Salesperson]],"   "," ")))</f>
        <v>Manish Tiwari</v>
      </c>
      <c r="I991" s="4" t="s">
        <v>19</v>
      </c>
      <c r="J991" s="4" t="s">
        <v>83</v>
      </c>
      <c r="K991" s="4" t="s">
        <v>184</v>
      </c>
      <c r="L991" s="4" t="s">
        <v>1679</v>
      </c>
      <c r="M991" s="4" t="s">
        <v>23</v>
      </c>
      <c r="N991" s="4" t="s">
        <v>24</v>
      </c>
      <c r="O991" s="4">
        <v>15</v>
      </c>
      <c r="P991" s="7">
        <v>4360</v>
      </c>
      <c r="Q991" s="8">
        <v>0.05</v>
      </c>
      <c r="R991" s="7">
        <v>3160</v>
      </c>
      <c r="S991" s="7">
        <f>Table1_1[[#This Row],[Units Sold]]*Table1_1[[#This Row],[Unit Price]]*(1-Table1_1[[#This Row],[Discount %]])</f>
        <v>62130</v>
      </c>
      <c r="T991" s="7">
        <f>Table1_1[[#This Row],[Units Sold]]*Table1_1[[#This Row],[Unit Cost]]</f>
        <v>47400</v>
      </c>
      <c r="U991" s="7">
        <f>Table1_1[[#This Row],[Calculated sales]]-Table1_1[[#This Row],[Total cost]]</f>
        <v>14730</v>
      </c>
      <c r="V991" s="4">
        <f>IFERROR(Table1_1[[#This Row],[Profit/Loss]]/Table1_1[[#This Row],[Calculated sales]],0)</f>
        <v>0.23708353452438435</v>
      </c>
    </row>
    <row r="992" spans="1:22" x14ac:dyDescent="0.25">
      <c r="A992" s="4" t="s">
        <v>1141</v>
      </c>
      <c r="B992" s="5">
        <v>45797</v>
      </c>
      <c r="C992" s="4">
        <f>YEAR(Table1_1[[#This Row],[Order Dates]])</f>
        <v>2025</v>
      </c>
      <c r="D992" s="6">
        <f>MONTH(Table1_1[[#This Row],[Order Dates]])</f>
        <v>5</v>
      </c>
      <c r="E992" s="4" t="s">
        <v>56</v>
      </c>
      <c r="F992" s="4" t="s">
        <v>133</v>
      </c>
      <c r="G992" s="4" t="s">
        <v>58</v>
      </c>
      <c r="H992" s="4" t="str">
        <f>TRIM(CLEAN(SUBSTITUTE(Table1_1[[#This Row],[Salesperson]],"   "," ")))</f>
        <v>Karthik Raman</v>
      </c>
      <c r="I992" s="4" t="s">
        <v>52</v>
      </c>
      <c r="J992" s="4" t="s">
        <v>20</v>
      </c>
      <c r="K992" s="4" t="s">
        <v>87</v>
      </c>
      <c r="L992" s="4" t="s">
        <v>1672</v>
      </c>
      <c r="M992" s="4" t="s">
        <v>40</v>
      </c>
      <c r="N992" s="4" t="s">
        <v>24</v>
      </c>
      <c r="O992" s="4">
        <v>2</v>
      </c>
      <c r="P992" s="7">
        <v>32510</v>
      </c>
      <c r="Q992" s="8">
        <v>0.05</v>
      </c>
      <c r="R992" s="7">
        <v>19280</v>
      </c>
      <c r="S992" s="7">
        <f>Table1_1[[#This Row],[Units Sold]]*Table1_1[[#This Row],[Unit Price]]*(1-Table1_1[[#This Row],[Discount %]])</f>
        <v>61769</v>
      </c>
      <c r="T992" s="7">
        <f>Table1_1[[#This Row],[Units Sold]]*Table1_1[[#This Row],[Unit Cost]]</f>
        <v>38560</v>
      </c>
      <c r="U992" s="7">
        <f>Table1_1[[#This Row],[Calculated sales]]-Table1_1[[#This Row],[Total cost]]</f>
        <v>23209</v>
      </c>
      <c r="V992" s="4">
        <f>IFERROR(Table1_1[[#This Row],[Profit/Loss]]/Table1_1[[#This Row],[Calculated sales]],0)</f>
        <v>0.37573863912318478</v>
      </c>
    </row>
    <row r="993" spans="1:22" x14ac:dyDescent="0.25">
      <c r="A993" s="4" t="s">
        <v>1142</v>
      </c>
      <c r="B993" s="5">
        <v>45798</v>
      </c>
      <c r="C993" s="4">
        <f>YEAR(Table1_1[[#This Row],[Order Dates]])</f>
        <v>2025</v>
      </c>
      <c r="D993" s="6">
        <f>MONTH(Table1_1[[#This Row],[Order Dates]])</f>
        <v>5</v>
      </c>
      <c r="E993" s="4" t="s">
        <v>76</v>
      </c>
      <c r="F993" s="4" t="s">
        <v>77</v>
      </c>
      <c r="G993" s="4" t="s">
        <v>78</v>
      </c>
      <c r="H993" s="4" t="str">
        <f>TRIM(CLEAN(SUBSTITUTE(Table1_1[[#This Row],[Salesperson]],"   "," ")))</f>
        <v>Pooja Chouhan</v>
      </c>
      <c r="I993" s="4" t="s">
        <v>92</v>
      </c>
      <c r="J993" s="4" t="s">
        <v>27</v>
      </c>
      <c r="K993" s="4" t="s">
        <v>28</v>
      </c>
      <c r="L993" s="4" t="s">
        <v>141</v>
      </c>
      <c r="M993" s="4" t="s">
        <v>23</v>
      </c>
      <c r="N993" s="4" t="s">
        <v>24</v>
      </c>
      <c r="O993" s="4">
        <v>6</v>
      </c>
      <c r="P993" s="7">
        <v>16760</v>
      </c>
      <c r="Q993" s="8">
        <v>0.2</v>
      </c>
      <c r="R993" s="7">
        <v>9770</v>
      </c>
      <c r="S993" s="7">
        <f>Table1_1[[#This Row],[Units Sold]]*Table1_1[[#This Row],[Unit Price]]*(1-Table1_1[[#This Row],[Discount %]])</f>
        <v>80448</v>
      </c>
      <c r="T993" s="7">
        <f>Table1_1[[#This Row],[Units Sold]]*Table1_1[[#This Row],[Unit Cost]]</f>
        <v>58620</v>
      </c>
      <c r="U993" s="7">
        <f>Table1_1[[#This Row],[Calculated sales]]-Table1_1[[#This Row],[Total cost]]</f>
        <v>21828</v>
      </c>
      <c r="V993" s="4">
        <f>IFERROR(Table1_1[[#This Row],[Profit/Loss]]/Table1_1[[#This Row],[Calculated sales]],0)</f>
        <v>0.27133054892601433</v>
      </c>
    </row>
    <row r="994" spans="1:22" x14ac:dyDescent="0.25">
      <c r="A994" s="4" t="s">
        <v>1143</v>
      </c>
      <c r="B994" s="5">
        <v>45798</v>
      </c>
      <c r="C994" s="4">
        <f>YEAR(Table1_1[[#This Row],[Order Dates]])</f>
        <v>2025</v>
      </c>
      <c r="D994" s="6">
        <f>MONTH(Table1_1[[#This Row],[Order Dates]])</f>
        <v>5</v>
      </c>
      <c r="E994" s="4" t="s">
        <v>76</v>
      </c>
      <c r="F994" s="4" t="s">
        <v>112</v>
      </c>
      <c r="G994" s="4" t="s">
        <v>170</v>
      </c>
      <c r="H994" s="4" t="str">
        <f>TRIM(CLEAN(SUBSTITUTE(Table1_1[[#This Row],[Salesperson]],"   "," ")))</f>
        <v>Manish Tiwari</v>
      </c>
      <c r="I994" s="4" t="s">
        <v>92</v>
      </c>
      <c r="J994" s="4" t="s">
        <v>59</v>
      </c>
      <c r="K994" s="4" t="s">
        <v>73</v>
      </c>
      <c r="L994" s="4" t="s">
        <v>113</v>
      </c>
      <c r="M994" s="4" t="s">
        <v>23</v>
      </c>
      <c r="N994" s="4" t="s">
        <v>24</v>
      </c>
      <c r="O994" s="4">
        <v>5</v>
      </c>
      <c r="P994" s="7">
        <v>34550</v>
      </c>
      <c r="Q994" s="8">
        <v>0.08</v>
      </c>
      <c r="R994" s="7">
        <v>20750</v>
      </c>
      <c r="S994" s="7">
        <f>Table1_1[[#This Row],[Units Sold]]*Table1_1[[#This Row],[Unit Price]]*(1-Table1_1[[#This Row],[Discount %]])</f>
        <v>158930</v>
      </c>
      <c r="T994" s="7">
        <f>Table1_1[[#This Row],[Units Sold]]*Table1_1[[#This Row],[Unit Cost]]</f>
        <v>103750</v>
      </c>
      <c r="U994" s="7">
        <f>Table1_1[[#This Row],[Calculated sales]]-Table1_1[[#This Row],[Total cost]]</f>
        <v>55180</v>
      </c>
      <c r="V994" s="4">
        <f>IFERROR(Table1_1[[#This Row],[Profit/Loss]]/Table1_1[[#This Row],[Calculated sales]],0)</f>
        <v>0.34719687912917635</v>
      </c>
    </row>
    <row r="995" spans="1:22" x14ac:dyDescent="0.25">
      <c r="A995" s="4" t="s">
        <v>1144</v>
      </c>
      <c r="B995" s="5">
        <v>45798</v>
      </c>
      <c r="C995" s="4">
        <f>YEAR(Table1_1[[#This Row],[Order Dates]])</f>
        <v>2025</v>
      </c>
      <c r="D995" s="6">
        <f>MONTH(Table1_1[[#This Row],[Order Dates]])</f>
        <v>5</v>
      </c>
      <c r="E995" s="4" t="s">
        <v>56</v>
      </c>
      <c r="F995" s="4" t="s">
        <v>143</v>
      </c>
      <c r="G995" s="4" t="s">
        <v>58</v>
      </c>
      <c r="H995" s="4" t="str">
        <f>TRIM(CLEAN(SUBSTITUTE(Table1_1[[#This Row],[Salesperson]],"   "," ")))</f>
        <v>Karthik Raman</v>
      </c>
      <c r="I995" s="4" t="s">
        <v>52</v>
      </c>
      <c r="J995" s="4" t="s">
        <v>20</v>
      </c>
      <c r="K995" s="4" t="s">
        <v>21</v>
      </c>
      <c r="L995" s="4" t="s">
        <v>1667</v>
      </c>
      <c r="M995" s="4" t="s">
        <v>49</v>
      </c>
      <c r="N995" s="4" t="s">
        <v>24</v>
      </c>
      <c r="O995" s="4">
        <v>23</v>
      </c>
      <c r="P995" s="7">
        <v>1880</v>
      </c>
      <c r="Q995" s="8">
        <v>0.08</v>
      </c>
      <c r="R995" s="7">
        <v>1340</v>
      </c>
      <c r="S995" s="7">
        <f>Table1_1[[#This Row],[Units Sold]]*Table1_1[[#This Row],[Unit Price]]*(1-Table1_1[[#This Row],[Discount %]])</f>
        <v>39780.800000000003</v>
      </c>
      <c r="T995" s="7">
        <f>Table1_1[[#This Row],[Units Sold]]*Table1_1[[#This Row],[Unit Cost]]</f>
        <v>30820</v>
      </c>
      <c r="U995" s="7">
        <f>Table1_1[[#This Row],[Calculated sales]]-Table1_1[[#This Row],[Total cost]]</f>
        <v>8960.8000000000029</v>
      </c>
      <c r="V995" s="4">
        <f>IFERROR(Table1_1[[#This Row],[Profit/Loss]]/Table1_1[[#This Row],[Calculated sales]],0)</f>
        <v>0.22525439407955603</v>
      </c>
    </row>
    <row r="996" spans="1:22" x14ac:dyDescent="0.25">
      <c r="A996" s="4" t="s">
        <v>1145</v>
      </c>
      <c r="B996" s="5">
        <v>45798</v>
      </c>
      <c r="C996" s="4">
        <f>YEAR(Table1_1[[#This Row],[Order Dates]])</f>
        <v>2025</v>
      </c>
      <c r="D996" s="6">
        <f>MONTH(Table1_1[[#This Row],[Order Dates]])</f>
        <v>5</v>
      </c>
      <c r="E996" s="4" t="s">
        <v>42</v>
      </c>
      <c r="F996" s="4" t="s">
        <v>146</v>
      </c>
      <c r="G996" s="4" t="s">
        <v>64</v>
      </c>
      <c r="H996" s="4" t="str">
        <f>TRIM(CLEAN(SUBSTITUTE(Table1_1[[#This Row],[Salesperson]],"   "," ")))</f>
        <v>Aditya Verma</v>
      </c>
      <c r="I996" s="4" t="s">
        <v>92</v>
      </c>
      <c r="J996" s="4" t="s">
        <v>20</v>
      </c>
      <c r="K996" s="4" t="s">
        <v>87</v>
      </c>
      <c r="L996" s="4" t="s">
        <v>1674</v>
      </c>
      <c r="M996" s="4" t="s">
        <v>23</v>
      </c>
      <c r="N996" s="4" t="s">
        <v>24</v>
      </c>
      <c r="O996" s="4">
        <v>3</v>
      </c>
      <c r="P996" s="7">
        <v>52470</v>
      </c>
      <c r="Q996" s="8">
        <v>0.12</v>
      </c>
      <c r="R996" s="7">
        <v>39020</v>
      </c>
      <c r="S996" s="7">
        <f>Table1_1[[#This Row],[Units Sold]]*Table1_1[[#This Row],[Unit Price]]*(1-Table1_1[[#This Row],[Discount %]])</f>
        <v>138520.79999999999</v>
      </c>
      <c r="T996" s="7">
        <f>Table1_1[[#This Row],[Units Sold]]*Table1_1[[#This Row],[Unit Cost]]</f>
        <v>117060</v>
      </c>
      <c r="U996" s="7">
        <f>Table1_1[[#This Row],[Calculated sales]]-Table1_1[[#This Row],[Total cost]]</f>
        <v>21460.799999999988</v>
      </c>
      <c r="V996" s="4">
        <f>IFERROR(Table1_1[[#This Row],[Profit/Loss]]/Table1_1[[#This Row],[Calculated sales]],0)</f>
        <v>0.15492835732972948</v>
      </c>
    </row>
    <row r="997" spans="1:22" x14ac:dyDescent="0.25">
      <c r="A997" s="4" t="s">
        <v>1146</v>
      </c>
      <c r="B997" s="5">
        <v>45798</v>
      </c>
      <c r="C997" s="4">
        <f>YEAR(Table1_1[[#This Row],[Order Dates]])</f>
        <v>2025</v>
      </c>
      <c r="D997" s="6">
        <f>MONTH(Table1_1[[#This Row],[Order Dates]])</f>
        <v>5</v>
      </c>
      <c r="E997" s="4" t="s">
        <v>56</v>
      </c>
      <c r="F997" s="4" t="s">
        <v>143</v>
      </c>
      <c r="G997" s="4" t="s">
        <v>91</v>
      </c>
      <c r="H997" s="4" t="str">
        <f>TRIM(CLEAN(SUBSTITUTE(Table1_1[[#This Row],[Salesperson]],"   "," ")))</f>
        <v>Anjali Menon</v>
      </c>
      <c r="I997" s="4" t="s">
        <v>45</v>
      </c>
      <c r="J997" s="4" t="s">
        <v>46</v>
      </c>
      <c r="K997" s="4" t="s">
        <v>100</v>
      </c>
      <c r="L997" s="4" t="s">
        <v>101</v>
      </c>
      <c r="M997" s="4" t="s">
        <v>23</v>
      </c>
      <c r="N997" s="4" t="s">
        <v>24</v>
      </c>
      <c r="O997" s="4">
        <v>66</v>
      </c>
      <c r="P997" s="7">
        <v>1810</v>
      </c>
      <c r="Q997" s="8">
        <v>0.15</v>
      </c>
      <c r="R997" s="7">
        <v>1040</v>
      </c>
      <c r="S997" s="7">
        <f>Table1_1[[#This Row],[Units Sold]]*Table1_1[[#This Row],[Unit Price]]*(1-Table1_1[[#This Row],[Discount %]])</f>
        <v>101541</v>
      </c>
      <c r="T997" s="7">
        <f>Table1_1[[#This Row],[Units Sold]]*Table1_1[[#This Row],[Unit Cost]]</f>
        <v>68640</v>
      </c>
      <c r="U997" s="7">
        <f>Table1_1[[#This Row],[Calculated sales]]-Table1_1[[#This Row],[Total cost]]</f>
        <v>32901</v>
      </c>
      <c r="V997" s="4">
        <f>IFERROR(Table1_1[[#This Row],[Profit/Loss]]/Table1_1[[#This Row],[Calculated sales]],0)</f>
        <v>0.32401689957751056</v>
      </c>
    </row>
    <row r="998" spans="1:22" x14ac:dyDescent="0.25">
      <c r="A998" s="4" t="s">
        <v>1147</v>
      </c>
      <c r="B998" s="5">
        <v>45800</v>
      </c>
      <c r="C998" s="4">
        <f>YEAR(Table1_1[[#This Row],[Order Dates]])</f>
        <v>2025</v>
      </c>
      <c r="D998" s="6">
        <f>MONTH(Table1_1[[#This Row],[Order Dates]])</f>
        <v>5</v>
      </c>
      <c r="E998" s="4" t="s">
        <v>16</v>
      </c>
      <c r="F998" s="4" t="s">
        <v>51</v>
      </c>
      <c r="G998" s="4" t="s">
        <v>18</v>
      </c>
      <c r="H998" s="4" t="str">
        <f>TRIM(CLEAN(SUBSTITUTE(Table1_1[[#This Row],[Salesperson]],"   "," ")))</f>
        <v>Imran Sheikh</v>
      </c>
      <c r="I998" s="4" t="s">
        <v>92</v>
      </c>
      <c r="J998" s="4" t="s">
        <v>46</v>
      </c>
      <c r="K998" s="4" t="s">
        <v>47</v>
      </c>
      <c r="L998" s="4" t="s">
        <v>48</v>
      </c>
      <c r="M998" s="4" t="s">
        <v>49</v>
      </c>
      <c r="N998" s="4" t="s">
        <v>24</v>
      </c>
      <c r="O998" s="4">
        <v>41</v>
      </c>
      <c r="P998" s="7">
        <v>1750</v>
      </c>
      <c r="Q998" s="8">
        <v>0.15</v>
      </c>
      <c r="R998" s="7">
        <v>990</v>
      </c>
      <c r="S998" s="7">
        <f>Table1_1[[#This Row],[Units Sold]]*Table1_1[[#This Row],[Unit Price]]*(1-Table1_1[[#This Row],[Discount %]])</f>
        <v>60987.5</v>
      </c>
      <c r="T998" s="7">
        <f>Table1_1[[#This Row],[Units Sold]]*Table1_1[[#This Row],[Unit Cost]]</f>
        <v>40590</v>
      </c>
      <c r="U998" s="7">
        <f>Table1_1[[#This Row],[Calculated sales]]-Table1_1[[#This Row],[Total cost]]</f>
        <v>20397.5</v>
      </c>
      <c r="V998" s="4">
        <f>IFERROR(Table1_1[[#This Row],[Profit/Loss]]/Table1_1[[#This Row],[Calculated sales]],0)</f>
        <v>0.33445378151260502</v>
      </c>
    </row>
    <row r="999" spans="1:22" x14ac:dyDescent="0.25">
      <c r="A999" s="4" t="s">
        <v>1148</v>
      </c>
      <c r="B999" s="5">
        <v>45800</v>
      </c>
      <c r="C999" s="4">
        <f>YEAR(Table1_1[[#This Row],[Order Dates]])</f>
        <v>2025</v>
      </c>
      <c r="D999" s="6">
        <f>MONTH(Table1_1[[#This Row],[Order Dates]])</f>
        <v>5</v>
      </c>
      <c r="E999" s="4" t="s">
        <v>37</v>
      </c>
      <c r="F999" s="4" t="s">
        <v>67</v>
      </c>
      <c r="G999" s="4" t="s">
        <v>39</v>
      </c>
      <c r="H999" s="4" t="str">
        <f>TRIM(CLEAN(SUBSTITUTE(Table1_1[[#This Row],[Salesperson]],"   "," ")))</f>
        <v>Sourav Das</v>
      </c>
      <c r="I999" s="4" t="s">
        <v>19</v>
      </c>
      <c r="J999" s="4" t="s">
        <v>20</v>
      </c>
      <c r="K999" s="4" t="s">
        <v>33</v>
      </c>
      <c r="L999" s="4" t="s">
        <v>34</v>
      </c>
      <c r="M999" s="4" t="s">
        <v>49</v>
      </c>
      <c r="N999" s="4" t="s">
        <v>94</v>
      </c>
      <c r="O999" s="4">
        <v>3</v>
      </c>
      <c r="P999" s="7">
        <v>54230</v>
      </c>
      <c r="Q999" s="8">
        <v>0.2</v>
      </c>
      <c r="R999" s="7">
        <v>33490</v>
      </c>
      <c r="S999" s="7">
        <f>Table1_1[[#This Row],[Units Sold]]*Table1_1[[#This Row],[Unit Price]]*(1-Table1_1[[#This Row],[Discount %]])</f>
        <v>130152</v>
      </c>
      <c r="T999" s="7">
        <f>Table1_1[[#This Row],[Units Sold]]*Table1_1[[#This Row],[Unit Cost]]</f>
        <v>100470</v>
      </c>
      <c r="U999" s="7">
        <f>Table1_1[[#This Row],[Calculated sales]]-Table1_1[[#This Row],[Total cost]]</f>
        <v>29682</v>
      </c>
      <c r="V999" s="4">
        <f>IFERROR(Table1_1[[#This Row],[Profit/Loss]]/Table1_1[[#This Row],[Calculated sales]],0)</f>
        <v>0.2280564263322884</v>
      </c>
    </row>
    <row r="1000" spans="1:22" x14ac:dyDescent="0.25">
      <c r="A1000" s="4" t="s">
        <v>1149</v>
      </c>
      <c r="B1000" s="5">
        <v>45800</v>
      </c>
      <c r="C1000" s="4">
        <f>YEAR(Table1_1[[#This Row],[Order Dates]])</f>
        <v>2025</v>
      </c>
      <c r="D1000" s="6">
        <f>MONTH(Table1_1[[#This Row],[Order Dates]])</f>
        <v>5</v>
      </c>
      <c r="E1000" s="4" t="s">
        <v>76</v>
      </c>
      <c r="F1000" s="4" t="s">
        <v>217</v>
      </c>
      <c r="G1000" s="4" t="s">
        <v>78</v>
      </c>
      <c r="H1000" s="4" t="str">
        <f>TRIM(CLEAN(SUBSTITUTE(Table1_1[[#This Row],[Salesperson]],"   "," ")))</f>
        <v>Pooja Chouhan</v>
      </c>
      <c r="I1000" s="4" t="s">
        <v>92</v>
      </c>
      <c r="J1000" s="4" t="s">
        <v>83</v>
      </c>
      <c r="K1000" s="4" t="s">
        <v>136</v>
      </c>
      <c r="L1000" s="4" t="s">
        <v>307</v>
      </c>
      <c r="M1000" s="4" t="s">
        <v>23</v>
      </c>
      <c r="N1000" s="4" t="s">
        <v>24</v>
      </c>
      <c r="O1000" s="4">
        <v>5</v>
      </c>
      <c r="P1000" s="7">
        <v>950</v>
      </c>
      <c r="Q1000" s="8">
        <v>0.12</v>
      </c>
      <c r="R1000" s="7">
        <v>700</v>
      </c>
      <c r="S1000" s="7">
        <f>Table1_1[[#This Row],[Units Sold]]*Table1_1[[#This Row],[Unit Price]]*(1-Table1_1[[#This Row],[Discount %]])</f>
        <v>4180</v>
      </c>
      <c r="T1000" s="7">
        <f>Table1_1[[#This Row],[Units Sold]]*Table1_1[[#This Row],[Unit Cost]]</f>
        <v>3500</v>
      </c>
      <c r="U1000" s="7">
        <f>Table1_1[[#This Row],[Calculated sales]]-Table1_1[[#This Row],[Total cost]]</f>
        <v>680</v>
      </c>
      <c r="V1000" s="4">
        <f>IFERROR(Table1_1[[#This Row],[Profit/Loss]]/Table1_1[[#This Row],[Calculated sales]],0)</f>
        <v>0.16267942583732056</v>
      </c>
    </row>
    <row r="1001" spans="1:22" x14ac:dyDescent="0.25">
      <c r="A1001" s="4" t="s">
        <v>1150</v>
      </c>
      <c r="B1001" s="5">
        <v>45801</v>
      </c>
      <c r="C1001" s="4">
        <f>YEAR(Table1_1[[#This Row],[Order Dates]])</f>
        <v>2025</v>
      </c>
      <c r="D1001" s="6">
        <f>MONTH(Table1_1[[#This Row],[Order Dates]])</f>
        <v>5</v>
      </c>
      <c r="E1001" s="4" t="s">
        <v>42</v>
      </c>
      <c r="F1001" s="4" t="s">
        <v>265</v>
      </c>
      <c r="G1001" s="4" t="s">
        <v>44</v>
      </c>
      <c r="H1001" s="4" t="str">
        <f>TRIM(CLEAN(SUBSTITUTE(Table1_1[[#This Row],[Salesperson]],"   "," ")))</f>
        <v>Simran Kaur</v>
      </c>
      <c r="I1001" s="4" t="s">
        <v>45</v>
      </c>
      <c r="J1001" s="4" t="s">
        <v>20</v>
      </c>
      <c r="K1001" s="4" t="s">
        <v>21</v>
      </c>
      <c r="L1001" s="4" t="s">
        <v>1682</v>
      </c>
      <c r="M1001" s="4" t="s">
        <v>23</v>
      </c>
      <c r="N1001" s="4" t="s">
        <v>24</v>
      </c>
      <c r="O1001" s="4">
        <v>9</v>
      </c>
      <c r="P1001" s="7">
        <v>9060</v>
      </c>
      <c r="Q1001" s="8">
        <v>0.1</v>
      </c>
      <c r="R1001" s="7">
        <v>5380</v>
      </c>
      <c r="S1001" s="7">
        <f>Table1_1[[#This Row],[Units Sold]]*Table1_1[[#This Row],[Unit Price]]*(1-Table1_1[[#This Row],[Discount %]])</f>
        <v>73386</v>
      </c>
      <c r="T1001" s="7">
        <f>Table1_1[[#This Row],[Units Sold]]*Table1_1[[#This Row],[Unit Cost]]</f>
        <v>48420</v>
      </c>
      <c r="U1001" s="7">
        <f>Table1_1[[#This Row],[Calculated sales]]-Table1_1[[#This Row],[Total cost]]</f>
        <v>24966</v>
      </c>
      <c r="V1001" s="4">
        <f>IFERROR(Table1_1[[#This Row],[Profit/Loss]]/Table1_1[[#This Row],[Calculated sales]],0)</f>
        <v>0.34020112828059845</v>
      </c>
    </row>
    <row r="1002" spans="1:22" x14ac:dyDescent="0.25">
      <c r="A1002" s="4" t="s">
        <v>1151</v>
      </c>
      <c r="B1002" s="5">
        <v>45802</v>
      </c>
      <c r="C1002" s="4">
        <f>YEAR(Table1_1[[#This Row],[Order Dates]])</f>
        <v>2025</v>
      </c>
      <c r="D1002" s="6">
        <f>MONTH(Table1_1[[#This Row],[Order Dates]])</f>
        <v>5</v>
      </c>
      <c r="E1002" s="4" t="s">
        <v>56</v>
      </c>
      <c r="F1002" s="4" t="s">
        <v>127</v>
      </c>
      <c r="G1002" s="4" t="s">
        <v>58</v>
      </c>
      <c r="H1002" s="4" t="str">
        <f>TRIM(CLEAN(SUBSTITUTE(Table1_1[[#This Row],[Salesperson]],"   "," ")))</f>
        <v>Karthik Raman</v>
      </c>
      <c r="I1002" s="4" t="s">
        <v>52</v>
      </c>
      <c r="J1002" s="4" t="s">
        <v>20</v>
      </c>
      <c r="K1002" s="4" t="s">
        <v>21</v>
      </c>
      <c r="L1002" s="4" t="s">
        <v>1667</v>
      </c>
      <c r="M1002" s="4" t="s">
        <v>40</v>
      </c>
      <c r="N1002" s="4" t="s">
        <v>24</v>
      </c>
      <c r="O1002" s="4">
        <v>13</v>
      </c>
      <c r="P1002" s="7">
        <v>1790</v>
      </c>
      <c r="Q1002" s="8">
        <v>0.1</v>
      </c>
      <c r="R1002" s="7">
        <v>1080</v>
      </c>
      <c r="S1002" s="7">
        <f>Table1_1[[#This Row],[Units Sold]]*Table1_1[[#This Row],[Unit Price]]*(1-Table1_1[[#This Row],[Discount %]])</f>
        <v>20943</v>
      </c>
      <c r="T1002" s="7">
        <f>Table1_1[[#This Row],[Units Sold]]*Table1_1[[#This Row],[Unit Cost]]</f>
        <v>14040</v>
      </c>
      <c r="U1002" s="7">
        <f>Table1_1[[#This Row],[Calculated sales]]-Table1_1[[#This Row],[Total cost]]</f>
        <v>6903</v>
      </c>
      <c r="V1002" s="4">
        <f>IFERROR(Table1_1[[#This Row],[Profit/Loss]]/Table1_1[[#This Row],[Calculated sales]],0)</f>
        <v>0.32960893854748602</v>
      </c>
    </row>
    <row r="1003" spans="1:22" x14ac:dyDescent="0.25">
      <c r="A1003" s="4" t="s">
        <v>1152</v>
      </c>
      <c r="B1003" s="5">
        <v>45802</v>
      </c>
      <c r="C1003" s="4">
        <f>YEAR(Table1_1[[#This Row],[Order Dates]])</f>
        <v>2025</v>
      </c>
      <c r="D1003" s="6">
        <f>MONTH(Table1_1[[#This Row],[Order Dates]])</f>
        <v>5</v>
      </c>
      <c r="E1003" s="4" t="s">
        <v>37</v>
      </c>
      <c r="F1003" s="4" t="s">
        <v>161</v>
      </c>
      <c r="G1003" s="4" t="s">
        <v>68</v>
      </c>
      <c r="H1003" s="4" t="str">
        <f>TRIM(CLEAN(SUBSTITUTE(Table1_1[[#This Row],[Salesperson]],"   "," ")))</f>
        <v>Ritika Ghosh</v>
      </c>
      <c r="I1003" s="4" t="s">
        <v>92</v>
      </c>
      <c r="J1003" s="4" t="s">
        <v>20</v>
      </c>
      <c r="K1003" s="4" t="s">
        <v>109</v>
      </c>
      <c r="L1003" s="4" t="s">
        <v>1675</v>
      </c>
      <c r="M1003" s="4" t="s">
        <v>49</v>
      </c>
      <c r="N1003" s="4" t="s">
        <v>24</v>
      </c>
      <c r="O1003" s="4">
        <v>2</v>
      </c>
      <c r="P1003" s="7">
        <v>65380</v>
      </c>
      <c r="Q1003" s="8">
        <v>0.1</v>
      </c>
      <c r="R1003" s="7">
        <v>44260</v>
      </c>
      <c r="S1003" s="7">
        <f>Table1_1[[#This Row],[Units Sold]]*Table1_1[[#This Row],[Unit Price]]*(1-Table1_1[[#This Row],[Discount %]])</f>
        <v>117684</v>
      </c>
      <c r="T1003" s="7">
        <f>Table1_1[[#This Row],[Units Sold]]*Table1_1[[#This Row],[Unit Cost]]</f>
        <v>88520</v>
      </c>
      <c r="U1003" s="7">
        <f>Table1_1[[#This Row],[Calculated sales]]-Table1_1[[#This Row],[Total cost]]</f>
        <v>29164</v>
      </c>
      <c r="V1003" s="4">
        <f>IFERROR(Table1_1[[#This Row],[Profit/Loss]]/Table1_1[[#This Row],[Calculated sales]],0)</f>
        <v>0.24781618571768466</v>
      </c>
    </row>
    <row r="1004" spans="1:22" x14ac:dyDescent="0.25">
      <c r="A1004" s="4" t="s">
        <v>1153</v>
      </c>
      <c r="B1004" s="5">
        <v>45803</v>
      </c>
      <c r="C1004" s="4">
        <f>YEAR(Table1_1[[#This Row],[Order Dates]])</f>
        <v>2025</v>
      </c>
      <c r="D1004" s="6">
        <f>MONTH(Table1_1[[#This Row],[Order Dates]])</f>
        <v>5</v>
      </c>
      <c r="E1004" s="4" t="s">
        <v>56</v>
      </c>
      <c r="F1004" s="4" t="s">
        <v>127</v>
      </c>
      <c r="G1004" s="4" t="s">
        <v>91</v>
      </c>
      <c r="H1004" s="4" t="str">
        <f>TRIM(CLEAN(SUBSTITUTE(Table1_1[[#This Row],[Salesperson]],"   "," ")))</f>
        <v>Anjali Menon</v>
      </c>
      <c r="I1004" s="4" t="s">
        <v>52</v>
      </c>
      <c r="J1004" s="4" t="s">
        <v>27</v>
      </c>
      <c r="K1004" s="4" t="s">
        <v>53</v>
      </c>
      <c r="L1004" s="4" t="s">
        <v>1669</v>
      </c>
      <c r="M1004" s="4" t="s">
        <v>49</v>
      </c>
      <c r="N1004" s="4" t="s">
        <v>24</v>
      </c>
      <c r="O1004" s="4">
        <v>1</v>
      </c>
      <c r="P1004" s="7">
        <v>42730</v>
      </c>
      <c r="Q1004" s="8">
        <v>0.2</v>
      </c>
      <c r="R1004" s="7">
        <v>27320</v>
      </c>
      <c r="S1004" s="7">
        <f>Table1_1[[#This Row],[Units Sold]]*Table1_1[[#This Row],[Unit Price]]*(1-Table1_1[[#This Row],[Discount %]])</f>
        <v>34184</v>
      </c>
      <c r="T1004" s="7">
        <f>Table1_1[[#This Row],[Units Sold]]*Table1_1[[#This Row],[Unit Cost]]</f>
        <v>27320</v>
      </c>
      <c r="U1004" s="7">
        <f>Table1_1[[#This Row],[Calculated sales]]-Table1_1[[#This Row],[Total cost]]</f>
        <v>6864</v>
      </c>
      <c r="V1004" s="4">
        <f>IFERROR(Table1_1[[#This Row],[Profit/Loss]]/Table1_1[[#This Row],[Calculated sales]],0)</f>
        <v>0.20079569389187923</v>
      </c>
    </row>
    <row r="1005" spans="1:22" x14ac:dyDescent="0.25">
      <c r="A1005" s="4" t="s">
        <v>1154</v>
      </c>
      <c r="B1005" s="5">
        <v>45803</v>
      </c>
      <c r="C1005" s="4">
        <f>YEAR(Table1_1[[#This Row],[Order Dates]])</f>
        <v>2025</v>
      </c>
      <c r="D1005" s="6">
        <f>MONTH(Table1_1[[#This Row],[Order Dates]])</f>
        <v>5</v>
      </c>
      <c r="E1005" s="4" t="s">
        <v>37</v>
      </c>
      <c r="F1005" s="4" t="s">
        <v>67</v>
      </c>
      <c r="G1005" s="4" t="s">
        <v>68</v>
      </c>
      <c r="H1005" s="4" t="str">
        <f>TRIM(CLEAN(SUBSTITUTE(Table1_1[[#This Row],[Salesperson]],"   "," ")))</f>
        <v>Ritika Ghosh</v>
      </c>
      <c r="I1005" s="4" t="s">
        <v>19</v>
      </c>
      <c r="J1005" s="4" t="s">
        <v>20</v>
      </c>
      <c r="K1005" s="4" t="s">
        <v>87</v>
      </c>
      <c r="L1005" s="4" t="s">
        <v>1674</v>
      </c>
      <c r="M1005" s="4" t="s">
        <v>40</v>
      </c>
      <c r="N1005" s="4" t="s">
        <v>35</v>
      </c>
      <c r="O1005" s="4">
        <v>1</v>
      </c>
      <c r="P1005" s="7">
        <v>52910</v>
      </c>
      <c r="Q1005" s="8">
        <v>0.15</v>
      </c>
      <c r="R1005" s="7">
        <v>30640</v>
      </c>
      <c r="S1005" s="7">
        <f>Table1_1[[#This Row],[Units Sold]]*Table1_1[[#This Row],[Unit Price]]*(1-Table1_1[[#This Row],[Discount %]])</f>
        <v>44973.5</v>
      </c>
      <c r="T1005" s="7">
        <f>Table1_1[[#This Row],[Units Sold]]*Table1_1[[#This Row],[Unit Cost]]</f>
        <v>30640</v>
      </c>
      <c r="U1005" s="7">
        <f>Table1_1[[#This Row],[Calculated sales]]-Table1_1[[#This Row],[Total cost]]</f>
        <v>14333.5</v>
      </c>
      <c r="V1005" s="4">
        <f>IFERROR(Table1_1[[#This Row],[Profit/Loss]]/Table1_1[[#This Row],[Calculated sales]],0)</f>
        <v>0.31870990694520107</v>
      </c>
    </row>
    <row r="1006" spans="1:22" x14ac:dyDescent="0.25">
      <c r="A1006" s="4" t="s">
        <v>1155</v>
      </c>
      <c r="B1006" s="5">
        <v>45804</v>
      </c>
      <c r="C1006" s="4">
        <f>YEAR(Table1_1[[#This Row],[Order Dates]])</f>
        <v>2025</v>
      </c>
      <c r="D1006" s="6">
        <f>MONTH(Table1_1[[#This Row],[Order Dates]])</f>
        <v>5</v>
      </c>
      <c r="E1006" s="4" t="s">
        <v>16</v>
      </c>
      <c r="F1006" s="4" t="s">
        <v>82</v>
      </c>
      <c r="G1006" s="4" t="s">
        <v>18</v>
      </c>
      <c r="H1006" s="4" t="str">
        <f>TRIM(CLEAN(SUBSTITUTE(Table1_1[[#This Row],[Salesperson]],"   "," ")))</f>
        <v>Imran Sheikh</v>
      </c>
      <c r="I1006" s="4" t="s">
        <v>52</v>
      </c>
      <c r="J1006" s="4" t="s">
        <v>20</v>
      </c>
      <c r="K1006" s="4" t="s">
        <v>87</v>
      </c>
      <c r="L1006" s="4" t="s">
        <v>1674</v>
      </c>
      <c r="M1006" s="4" t="s">
        <v>49</v>
      </c>
      <c r="N1006" s="4" t="s">
        <v>24</v>
      </c>
      <c r="O1006" s="4">
        <v>1</v>
      </c>
      <c r="P1006" s="7">
        <v>55190</v>
      </c>
      <c r="Q1006" s="8">
        <v>0.1</v>
      </c>
      <c r="R1006" s="7">
        <v>33610</v>
      </c>
      <c r="S1006" s="7">
        <f>Table1_1[[#This Row],[Units Sold]]*Table1_1[[#This Row],[Unit Price]]*(1-Table1_1[[#This Row],[Discount %]])</f>
        <v>49671</v>
      </c>
      <c r="T1006" s="7">
        <f>Table1_1[[#This Row],[Units Sold]]*Table1_1[[#This Row],[Unit Cost]]</f>
        <v>33610</v>
      </c>
      <c r="U1006" s="7">
        <f>Table1_1[[#This Row],[Calculated sales]]-Table1_1[[#This Row],[Total cost]]</f>
        <v>16061</v>
      </c>
      <c r="V1006" s="4">
        <f>IFERROR(Table1_1[[#This Row],[Profit/Loss]]/Table1_1[[#This Row],[Calculated sales]],0)</f>
        <v>0.32334762738821443</v>
      </c>
    </row>
    <row r="1007" spans="1:22" x14ac:dyDescent="0.25">
      <c r="A1007" s="4" t="s">
        <v>1156</v>
      </c>
      <c r="B1007" s="5">
        <v>45804</v>
      </c>
      <c r="C1007" s="4">
        <f>YEAR(Table1_1[[#This Row],[Order Dates]])</f>
        <v>2025</v>
      </c>
      <c r="D1007" s="6">
        <f>MONTH(Table1_1[[#This Row],[Order Dates]])</f>
        <v>5</v>
      </c>
      <c r="E1007" s="4" t="s">
        <v>56</v>
      </c>
      <c r="F1007" s="4" t="s">
        <v>143</v>
      </c>
      <c r="G1007" s="4" t="s">
        <v>134</v>
      </c>
      <c r="H1007" s="4" t="str">
        <f>TRIM(CLEAN(SUBSTITUTE(Table1_1[[#This Row],[Salesperson]],"   "," ")))</f>
        <v>Divya Nair</v>
      </c>
      <c r="I1007" s="4" t="s">
        <v>92</v>
      </c>
      <c r="J1007" s="4" t="s">
        <v>20</v>
      </c>
      <c r="K1007" s="4" t="s">
        <v>109</v>
      </c>
      <c r="L1007" s="4" t="s">
        <v>171</v>
      </c>
      <c r="M1007" s="4" t="s">
        <v>40</v>
      </c>
      <c r="N1007" s="4" t="s">
        <v>24</v>
      </c>
      <c r="O1007" s="4">
        <v>15</v>
      </c>
      <c r="P1007" s="7">
        <v>21520</v>
      </c>
      <c r="Q1007" s="8">
        <v>0.05</v>
      </c>
      <c r="R1007" s="7">
        <v>12100</v>
      </c>
      <c r="S1007" s="7">
        <f>Table1_1[[#This Row],[Units Sold]]*Table1_1[[#This Row],[Unit Price]]*(1-Table1_1[[#This Row],[Discount %]])</f>
        <v>306660</v>
      </c>
      <c r="T1007" s="7">
        <f>Table1_1[[#This Row],[Units Sold]]*Table1_1[[#This Row],[Unit Cost]]</f>
        <v>181500</v>
      </c>
      <c r="U1007" s="7">
        <f>Table1_1[[#This Row],[Calculated sales]]-Table1_1[[#This Row],[Total cost]]</f>
        <v>125160</v>
      </c>
      <c r="V1007" s="4">
        <f>IFERROR(Table1_1[[#This Row],[Profit/Loss]]/Table1_1[[#This Row],[Calculated sales]],0)</f>
        <v>0.40813930737624732</v>
      </c>
    </row>
    <row r="1008" spans="1:22" x14ac:dyDescent="0.25">
      <c r="A1008" s="4" t="s">
        <v>1157</v>
      </c>
      <c r="B1008" s="5">
        <v>45805</v>
      </c>
      <c r="C1008" s="4">
        <f>YEAR(Table1_1[[#This Row],[Order Dates]])</f>
        <v>2025</v>
      </c>
      <c r="D1008" s="6">
        <f>MONTH(Table1_1[[#This Row],[Order Dates]])</f>
        <v>5</v>
      </c>
      <c r="E1008" s="4" t="s">
        <v>37</v>
      </c>
      <c r="F1008" s="4" t="s">
        <v>38</v>
      </c>
      <c r="G1008" s="4" t="s">
        <v>68</v>
      </c>
      <c r="H1008" s="4" t="str">
        <f>TRIM(CLEAN(SUBSTITUTE(Table1_1[[#This Row],[Salesperson]],"   "," ")))</f>
        <v>Ritika Ghosh</v>
      </c>
      <c r="I1008" s="4" t="s">
        <v>19</v>
      </c>
      <c r="J1008" s="4" t="s">
        <v>46</v>
      </c>
      <c r="K1008" s="4" t="s">
        <v>100</v>
      </c>
      <c r="L1008" s="4" t="s">
        <v>101</v>
      </c>
      <c r="M1008" s="4" t="s">
        <v>23</v>
      </c>
      <c r="N1008" s="4" t="s">
        <v>24</v>
      </c>
      <c r="O1008" s="4">
        <v>35</v>
      </c>
      <c r="P1008" s="7">
        <v>1820</v>
      </c>
      <c r="Q1008" s="8">
        <v>0.18</v>
      </c>
      <c r="R1008" s="7">
        <v>1330</v>
      </c>
      <c r="S1008" s="7">
        <f>Table1_1[[#This Row],[Units Sold]]*Table1_1[[#This Row],[Unit Price]]*(1-Table1_1[[#This Row],[Discount %]])</f>
        <v>52234.000000000007</v>
      </c>
      <c r="T1008" s="7">
        <f>Table1_1[[#This Row],[Units Sold]]*Table1_1[[#This Row],[Unit Cost]]</f>
        <v>46550</v>
      </c>
      <c r="U1008" s="7">
        <f>Table1_1[[#This Row],[Calculated sales]]-Table1_1[[#This Row],[Total cost]]</f>
        <v>5684.0000000000073</v>
      </c>
      <c r="V1008" s="4">
        <f>IFERROR(Table1_1[[#This Row],[Profit/Loss]]/Table1_1[[#This Row],[Calculated sales]],0)</f>
        <v>0.10881801125703577</v>
      </c>
    </row>
    <row r="1009" spans="1:22" x14ac:dyDescent="0.25">
      <c r="A1009" s="4" t="s">
        <v>1158</v>
      </c>
      <c r="B1009" s="5">
        <v>45806</v>
      </c>
      <c r="C1009" s="4">
        <f>YEAR(Table1_1[[#This Row],[Order Dates]])</f>
        <v>2025</v>
      </c>
      <c r="D1009" s="6">
        <f>MONTH(Table1_1[[#This Row],[Order Dates]])</f>
        <v>5</v>
      </c>
      <c r="E1009" s="4" t="s">
        <v>56</v>
      </c>
      <c r="F1009" s="4" t="s">
        <v>103</v>
      </c>
      <c r="G1009" s="4" t="s">
        <v>134</v>
      </c>
      <c r="H1009" s="4" t="str">
        <f>TRIM(CLEAN(SUBSTITUTE(Table1_1[[#This Row],[Salesperson]],"   "," ")))</f>
        <v>Divya Nair</v>
      </c>
      <c r="I1009" s="4" t="s">
        <v>52</v>
      </c>
      <c r="J1009" s="4" t="s">
        <v>20</v>
      </c>
      <c r="K1009" s="4" t="s">
        <v>33</v>
      </c>
      <c r="L1009" s="4" t="s">
        <v>1677</v>
      </c>
      <c r="M1009" s="4" t="s">
        <v>23</v>
      </c>
      <c r="N1009" s="4" t="s">
        <v>119</v>
      </c>
      <c r="O1009" s="4">
        <v>3</v>
      </c>
      <c r="P1009" s="7">
        <v>63730</v>
      </c>
      <c r="Q1009" s="8">
        <v>0.18</v>
      </c>
      <c r="R1009" s="7">
        <v>41830</v>
      </c>
      <c r="S1009" s="7">
        <f>Table1_1[[#This Row],[Units Sold]]*Table1_1[[#This Row],[Unit Price]]*(1-Table1_1[[#This Row],[Discount %]])</f>
        <v>156775.80000000002</v>
      </c>
      <c r="T1009" s="7">
        <f>Table1_1[[#This Row],[Units Sold]]*Table1_1[[#This Row],[Unit Cost]]</f>
        <v>125490</v>
      </c>
      <c r="U1009" s="7">
        <f>Table1_1[[#This Row],[Calculated sales]]-Table1_1[[#This Row],[Total cost]]</f>
        <v>31285.800000000017</v>
      </c>
      <c r="V1009" s="4">
        <f>IFERROR(Table1_1[[#This Row],[Profit/Loss]]/Table1_1[[#This Row],[Calculated sales]],0)</f>
        <v>0.19955758478030419</v>
      </c>
    </row>
    <row r="1010" spans="1:22" x14ac:dyDescent="0.25">
      <c r="A1010" s="4" t="s">
        <v>1159</v>
      </c>
      <c r="B1010" s="5">
        <v>45806</v>
      </c>
      <c r="C1010" s="4">
        <f>YEAR(Table1_1[[#This Row],[Order Dates]])</f>
        <v>2025</v>
      </c>
      <c r="D1010" s="6">
        <f>MONTH(Table1_1[[#This Row],[Order Dates]])</f>
        <v>5</v>
      </c>
      <c r="E1010" s="4" t="s">
        <v>42</v>
      </c>
      <c r="F1010" s="4" t="s">
        <v>96</v>
      </c>
      <c r="G1010" s="4" t="s">
        <v>64</v>
      </c>
      <c r="H1010" s="4" t="str">
        <f>TRIM(CLEAN(SUBSTITUTE(Table1_1[[#This Row],[Salesperson]],"   "," ")))</f>
        <v>Aditya Verma</v>
      </c>
      <c r="I1010" s="4" t="s">
        <v>19</v>
      </c>
      <c r="J1010" s="4" t="s">
        <v>46</v>
      </c>
      <c r="K1010" s="4" t="s">
        <v>179</v>
      </c>
      <c r="L1010" s="4" t="s">
        <v>221</v>
      </c>
      <c r="M1010" s="4" t="s">
        <v>23</v>
      </c>
      <c r="N1010" s="4" t="s">
        <v>119</v>
      </c>
      <c r="O1010" s="4">
        <v>8</v>
      </c>
      <c r="P1010" s="7">
        <v>1710</v>
      </c>
      <c r="Q1010" s="8">
        <v>0.15</v>
      </c>
      <c r="R1010" s="7">
        <v>1140</v>
      </c>
      <c r="S1010" s="7">
        <f>Table1_1[[#This Row],[Units Sold]]*Table1_1[[#This Row],[Unit Price]]*(1-Table1_1[[#This Row],[Discount %]])</f>
        <v>11628</v>
      </c>
      <c r="T1010" s="7">
        <f>Table1_1[[#This Row],[Units Sold]]*Table1_1[[#This Row],[Unit Cost]]</f>
        <v>9120</v>
      </c>
      <c r="U1010" s="7">
        <f>Table1_1[[#This Row],[Calculated sales]]-Table1_1[[#This Row],[Total cost]]</f>
        <v>2508</v>
      </c>
      <c r="V1010" s="4">
        <f>IFERROR(Table1_1[[#This Row],[Profit/Loss]]/Table1_1[[#This Row],[Calculated sales]],0)</f>
        <v>0.21568627450980393</v>
      </c>
    </row>
    <row r="1011" spans="1:22" x14ac:dyDescent="0.25">
      <c r="A1011" s="4" t="s">
        <v>1160</v>
      </c>
      <c r="B1011" s="5">
        <v>45807</v>
      </c>
      <c r="C1011" s="4">
        <f>YEAR(Table1_1[[#This Row],[Order Dates]])</f>
        <v>2025</v>
      </c>
      <c r="D1011" s="6">
        <f>MONTH(Table1_1[[#This Row],[Order Dates]])</f>
        <v>5</v>
      </c>
      <c r="E1011" s="4" t="s">
        <v>37</v>
      </c>
      <c r="F1011" s="4" t="s">
        <v>115</v>
      </c>
      <c r="G1011" s="4" t="s">
        <v>68</v>
      </c>
      <c r="H1011" s="4" t="str">
        <f>TRIM(CLEAN(SUBSTITUTE(Table1_1[[#This Row],[Salesperson]],"   "," ")))</f>
        <v>Ritika Ghosh</v>
      </c>
      <c r="I1011" s="4" t="s">
        <v>52</v>
      </c>
      <c r="J1011" s="4" t="s">
        <v>59</v>
      </c>
      <c r="K1011" s="4" t="s">
        <v>154</v>
      </c>
      <c r="L1011" s="4" t="s">
        <v>249</v>
      </c>
      <c r="M1011" s="4" t="s">
        <v>40</v>
      </c>
      <c r="N1011" s="4" t="s">
        <v>24</v>
      </c>
      <c r="O1011" s="4">
        <v>14</v>
      </c>
      <c r="P1011" s="7">
        <v>6810</v>
      </c>
      <c r="Q1011" s="8">
        <v>0.1</v>
      </c>
      <c r="R1011" s="7">
        <v>5280</v>
      </c>
      <c r="S1011" s="7">
        <f>Table1_1[[#This Row],[Units Sold]]*Table1_1[[#This Row],[Unit Price]]*(1-Table1_1[[#This Row],[Discount %]])</f>
        <v>85806</v>
      </c>
      <c r="T1011" s="7">
        <f>Table1_1[[#This Row],[Units Sold]]*Table1_1[[#This Row],[Unit Cost]]</f>
        <v>73920</v>
      </c>
      <c r="U1011" s="7">
        <f>Table1_1[[#This Row],[Calculated sales]]-Table1_1[[#This Row],[Total cost]]</f>
        <v>11886</v>
      </c>
      <c r="V1011" s="4">
        <f>IFERROR(Table1_1[[#This Row],[Profit/Loss]]/Table1_1[[#This Row],[Calculated sales]],0)</f>
        <v>0.13852178169358786</v>
      </c>
    </row>
    <row r="1012" spans="1:22" x14ac:dyDescent="0.25">
      <c r="A1012" s="4" t="s">
        <v>1161</v>
      </c>
      <c r="B1012" s="5">
        <v>45808</v>
      </c>
      <c r="C1012" s="4">
        <f>YEAR(Table1_1[[#This Row],[Order Dates]])</f>
        <v>2025</v>
      </c>
      <c r="D1012" s="6">
        <f>MONTH(Table1_1[[#This Row],[Order Dates]])</f>
        <v>5</v>
      </c>
      <c r="E1012" s="4" t="s">
        <v>56</v>
      </c>
      <c r="F1012" s="4" t="s">
        <v>133</v>
      </c>
      <c r="G1012" s="4" t="s">
        <v>58</v>
      </c>
      <c r="H1012" s="4" t="str">
        <f>TRIM(CLEAN(SUBSTITUTE(Table1_1[[#This Row],[Salesperson]],"   "," ")))</f>
        <v>Karthik Raman</v>
      </c>
      <c r="I1012" s="4" t="s">
        <v>19</v>
      </c>
      <c r="J1012" s="4" t="s">
        <v>83</v>
      </c>
      <c r="K1012" s="4" t="s">
        <v>84</v>
      </c>
      <c r="L1012" s="4" t="s">
        <v>292</v>
      </c>
      <c r="M1012" s="4" t="s">
        <v>40</v>
      </c>
      <c r="N1012" s="4" t="s">
        <v>24</v>
      </c>
      <c r="O1012" s="4">
        <v>3</v>
      </c>
      <c r="P1012" s="7">
        <v>44500</v>
      </c>
      <c r="Q1012" s="8">
        <v>0.08</v>
      </c>
      <c r="R1012" s="7">
        <v>32690</v>
      </c>
      <c r="S1012" s="7">
        <f>Table1_1[[#This Row],[Units Sold]]*Table1_1[[#This Row],[Unit Price]]*(1-Table1_1[[#This Row],[Discount %]])</f>
        <v>122820</v>
      </c>
      <c r="T1012" s="7">
        <f>Table1_1[[#This Row],[Units Sold]]*Table1_1[[#This Row],[Unit Cost]]</f>
        <v>98070</v>
      </c>
      <c r="U1012" s="7">
        <f>Table1_1[[#This Row],[Calculated sales]]-Table1_1[[#This Row],[Total cost]]</f>
        <v>24750</v>
      </c>
      <c r="V1012" s="4">
        <f>IFERROR(Table1_1[[#This Row],[Profit/Loss]]/Table1_1[[#This Row],[Calculated sales]],0)</f>
        <v>0.20151441133365902</v>
      </c>
    </row>
    <row r="1013" spans="1:22" x14ac:dyDescent="0.25">
      <c r="A1013" s="4" t="s">
        <v>1162</v>
      </c>
      <c r="B1013" s="5">
        <v>45808</v>
      </c>
      <c r="C1013" s="4">
        <f>YEAR(Table1_1[[#This Row],[Order Dates]])</f>
        <v>2025</v>
      </c>
      <c r="D1013" s="6">
        <f>MONTH(Table1_1[[#This Row],[Order Dates]])</f>
        <v>5</v>
      </c>
      <c r="E1013" s="4" t="s">
        <v>16</v>
      </c>
      <c r="F1013" s="4" t="s">
        <v>31</v>
      </c>
      <c r="G1013" s="4" t="s">
        <v>32</v>
      </c>
      <c r="H1013" s="4" t="str">
        <f>TRIM(CLEAN(SUBSTITUTE(Table1_1[[#This Row],[Salesperson]],"   "," ")))</f>
        <v>Neha Deshpande</v>
      </c>
      <c r="I1013" s="4" t="s">
        <v>92</v>
      </c>
      <c r="J1013" s="4" t="s">
        <v>83</v>
      </c>
      <c r="K1013" s="4" t="s">
        <v>136</v>
      </c>
      <c r="L1013" s="4" t="s">
        <v>307</v>
      </c>
      <c r="M1013" s="4" t="s">
        <v>40</v>
      </c>
      <c r="N1013" s="4" t="s">
        <v>24</v>
      </c>
      <c r="O1013" s="4">
        <v>36</v>
      </c>
      <c r="P1013" s="7">
        <v>940</v>
      </c>
      <c r="Q1013" s="8">
        <v>0.05</v>
      </c>
      <c r="R1013" s="7">
        <v>560</v>
      </c>
      <c r="S1013" s="7">
        <f>Table1_1[[#This Row],[Units Sold]]*Table1_1[[#This Row],[Unit Price]]*(1-Table1_1[[#This Row],[Discount %]])</f>
        <v>32148</v>
      </c>
      <c r="T1013" s="7">
        <f>Table1_1[[#This Row],[Units Sold]]*Table1_1[[#This Row],[Unit Cost]]</f>
        <v>20160</v>
      </c>
      <c r="U1013" s="7">
        <f>Table1_1[[#This Row],[Calculated sales]]-Table1_1[[#This Row],[Total cost]]</f>
        <v>11988</v>
      </c>
      <c r="V1013" s="4">
        <f>IFERROR(Table1_1[[#This Row],[Profit/Loss]]/Table1_1[[#This Row],[Calculated sales]],0)</f>
        <v>0.37290033594624861</v>
      </c>
    </row>
    <row r="1014" spans="1:22" x14ac:dyDescent="0.25">
      <c r="A1014" s="4" t="s">
        <v>1163</v>
      </c>
      <c r="B1014" s="5">
        <v>45809</v>
      </c>
      <c r="C1014" s="4">
        <f>YEAR(Table1_1[[#This Row],[Order Dates]])</f>
        <v>2025</v>
      </c>
      <c r="D1014" s="6">
        <f>MONTH(Table1_1[[#This Row],[Order Dates]])</f>
        <v>6</v>
      </c>
      <c r="E1014" s="4" t="s">
        <v>37</v>
      </c>
      <c r="F1014" s="4" t="s">
        <v>166</v>
      </c>
      <c r="G1014" s="4" t="s">
        <v>39</v>
      </c>
      <c r="H1014" s="4" t="str">
        <f>TRIM(CLEAN(SUBSTITUTE(Table1_1[[#This Row],[Salesperson]],"   "," ")))</f>
        <v>Sourav Das</v>
      </c>
      <c r="I1014" s="4" t="s">
        <v>19</v>
      </c>
      <c r="J1014" s="4" t="s">
        <v>83</v>
      </c>
      <c r="K1014" s="4" t="s">
        <v>184</v>
      </c>
      <c r="L1014" s="4" t="s">
        <v>196</v>
      </c>
      <c r="M1014" s="4" t="s">
        <v>40</v>
      </c>
      <c r="N1014" s="4" t="s">
        <v>24</v>
      </c>
      <c r="O1014" s="4">
        <v>10</v>
      </c>
      <c r="P1014" s="7">
        <v>3260</v>
      </c>
      <c r="Q1014" s="8">
        <v>0.12</v>
      </c>
      <c r="R1014" s="7">
        <v>2240</v>
      </c>
      <c r="S1014" s="7">
        <f>Table1_1[[#This Row],[Units Sold]]*Table1_1[[#This Row],[Unit Price]]*(1-Table1_1[[#This Row],[Discount %]])</f>
        <v>28688</v>
      </c>
      <c r="T1014" s="7">
        <f>Table1_1[[#This Row],[Units Sold]]*Table1_1[[#This Row],[Unit Cost]]</f>
        <v>22400</v>
      </c>
      <c r="U1014" s="7">
        <f>Table1_1[[#This Row],[Calculated sales]]-Table1_1[[#This Row],[Total cost]]</f>
        <v>6288</v>
      </c>
      <c r="V1014" s="4">
        <f>IFERROR(Table1_1[[#This Row],[Profit/Loss]]/Table1_1[[#This Row],[Calculated sales]],0)</f>
        <v>0.21918572225320693</v>
      </c>
    </row>
    <row r="1015" spans="1:22" x14ac:dyDescent="0.25">
      <c r="A1015" s="4" t="s">
        <v>1164</v>
      </c>
      <c r="B1015" s="5">
        <v>45810</v>
      </c>
      <c r="C1015" s="4">
        <f>YEAR(Table1_1[[#This Row],[Order Dates]])</f>
        <v>2025</v>
      </c>
      <c r="D1015" s="6">
        <f>MONTH(Table1_1[[#This Row],[Order Dates]])</f>
        <v>6</v>
      </c>
      <c r="E1015" s="4" t="s">
        <v>16</v>
      </c>
      <c r="F1015" s="4" t="s">
        <v>31</v>
      </c>
      <c r="G1015" s="4" t="s">
        <v>18</v>
      </c>
      <c r="H1015" s="4" t="str">
        <f>TRIM(CLEAN(SUBSTITUTE(Table1_1[[#This Row],[Salesperson]],"   "," ")))</f>
        <v>Imran Sheikh</v>
      </c>
      <c r="I1015" s="4" t="s">
        <v>19</v>
      </c>
      <c r="J1015" s="4" t="s">
        <v>46</v>
      </c>
      <c r="K1015" s="4" t="s">
        <v>47</v>
      </c>
      <c r="L1015" s="4" t="s">
        <v>259</v>
      </c>
      <c r="M1015" s="4" t="s">
        <v>49</v>
      </c>
      <c r="N1015" s="4" t="s">
        <v>24</v>
      </c>
      <c r="O1015" s="4">
        <v>35</v>
      </c>
      <c r="P1015" s="7">
        <v>2830</v>
      </c>
      <c r="Q1015" s="8">
        <v>0.08</v>
      </c>
      <c r="R1015" s="7">
        <v>1920</v>
      </c>
      <c r="S1015" s="7">
        <f>Table1_1[[#This Row],[Units Sold]]*Table1_1[[#This Row],[Unit Price]]*(1-Table1_1[[#This Row],[Discount %]])</f>
        <v>91126</v>
      </c>
      <c r="T1015" s="7">
        <f>Table1_1[[#This Row],[Units Sold]]*Table1_1[[#This Row],[Unit Cost]]</f>
        <v>67200</v>
      </c>
      <c r="U1015" s="7">
        <f>Table1_1[[#This Row],[Calculated sales]]-Table1_1[[#This Row],[Total cost]]</f>
        <v>23926</v>
      </c>
      <c r="V1015" s="4">
        <f>IFERROR(Table1_1[[#This Row],[Profit/Loss]]/Table1_1[[#This Row],[Calculated sales]],0)</f>
        <v>0.26255953295437084</v>
      </c>
    </row>
    <row r="1016" spans="1:22" x14ac:dyDescent="0.25">
      <c r="A1016" s="4" t="s">
        <v>1165</v>
      </c>
      <c r="B1016" s="5">
        <v>45810</v>
      </c>
      <c r="C1016" s="4">
        <f>YEAR(Table1_1[[#This Row],[Order Dates]])</f>
        <v>2025</v>
      </c>
      <c r="D1016" s="6">
        <f>MONTH(Table1_1[[#This Row],[Order Dates]])</f>
        <v>6</v>
      </c>
      <c r="E1016" s="4" t="s">
        <v>42</v>
      </c>
      <c r="F1016" s="4" t="s">
        <v>146</v>
      </c>
      <c r="G1016" s="4" t="s">
        <v>97</v>
      </c>
      <c r="H1016" s="4" t="str">
        <f>TRIM(CLEAN(SUBSTITUTE(Table1_1[[#This Row],[Salesperson]],"   "," ")))</f>
        <v>Rohit Malhotra</v>
      </c>
      <c r="I1016" s="4" t="s">
        <v>52</v>
      </c>
      <c r="J1016" s="4" t="s">
        <v>20</v>
      </c>
      <c r="K1016" s="4" t="s">
        <v>33</v>
      </c>
      <c r="L1016" s="4" t="s">
        <v>1677</v>
      </c>
      <c r="M1016" s="4" t="s">
        <v>49</v>
      </c>
      <c r="N1016" s="4" t="s">
        <v>24</v>
      </c>
      <c r="O1016" s="4">
        <v>1</v>
      </c>
      <c r="P1016" s="7">
        <v>64580</v>
      </c>
      <c r="Q1016" s="8">
        <v>0.08</v>
      </c>
      <c r="R1016" s="7">
        <v>39980</v>
      </c>
      <c r="S1016" s="7">
        <f>Table1_1[[#This Row],[Units Sold]]*Table1_1[[#This Row],[Unit Price]]*(1-Table1_1[[#This Row],[Discount %]])</f>
        <v>59413.600000000006</v>
      </c>
      <c r="T1016" s="7">
        <f>Table1_1[[#This Row],[Units Sold]]*Table1_1[[#This Row],[Unit Cost]]</f>
        <v>39980</v>
      </c>
      <c r="U1016" s="7">
        <f>Table1_1[[#This Row],[Calculated sales]]-Table1_1[[#This Row],[Total cost]]</f>
        <v>19433.600000000006</v>
      </c>
      <c r="V1016" s="4">
        <f>IFERROR(Table1_1[[#This Row],[Profit/Loss]]/Table1_1[[#This Row],[Calculated sales]],0)</f>
        <v>0.32709009385056625</v>
      </c>
    </row>
    <row r="1017" spans="1:22" x14ac:dyDescent="0.25">
      <c r="A1017" s="4" t="s">
        <v>1166</v>
      </c>
      <c r="B1017" s="5">
        <v>45810</v>
      </c>
      <c r="C1017" s="4">
        <f>YEAR(Table1_1[[#This Row],[Order Dates]])</f>
        <v>2025</v>
      </c>
      <c r="D1017" s="6">
        <f>MONTH(Table1_1[[#This Row],[Order Dates]])</f>
        <v>6</v>
      </c>
      <c r="E1017" s="4" t="s">
        <v>76</v>
      </c>
      <c r="F1017" s="4" t="s">
        <v>99</v>
      </c>
      <c r="G1017" s="4" t="s">
        <v>78</v>
      </c>
      <c r="H1017" s="4" t="str">
        <f>TRIM(CLEAN(SUBSTITUTE(Table1_1[[#This Row],[Salesperson]],"   "," ")))</f>
        <v>Pooja Chouhan</v>
      </c>
      <c r="I1017" s="4" t="s">
        <v>52</v>
      </c>
      <c r="J1017" s="4" t="s">
        <v>20</v>
      </c>
      <c r="K1017" s="4" t="s">
        <v>33</v>
      </c>
      <c r="L1017" s="4" t="s">
        <v>1677</v>
      </c>
      <c r="M1017" s="4" t="s">
        <v>40</v>
      </c>
      <c r="N1017" s="4" t="s">
        <v>24</v>
      </c>
      <c r="O1017" s="4">
        <v>1</v>
      </c>
      <c r="P1017" s="7">
        <v>62380</v>
      </c>
      <c r="Q1017" s="8">
        <v>0</v>
      </c>
      <c r="R1017" s="7">
        <v>38860</v>
      </c>
      <c r="S1017" s="7">
        <f>Table1_1[[#This Row],[Units Sold]]*Table1_1[[#This Row],[Unit Price]]*(1-Table1_1[[#This Row],[Discount %]])</f>
        <v>62380</v>
      </c>
      <c r="T1017" s="7">
        <f>Table1_1[[#This Row],[Units Sold]]*Table1_1[[#This Row],[Unit Cost]]</f>
        <v>38860</v>
      </c>
      <c r="U1017" s="7">
        <f>Table1_1[[#This Row],[Calculated sales]]-Table1_1[[#This Row],[Total cost]]</f>
        <v>23520</v>
      </c>
      <c r="V1017" s="4">
        <f>IFERROR(Table1_1[[#This Row],[Profit/Loss]]/Table1_1[[#This Row],[Calculated sales]],0)</f>
        <v>0.37704392433472267</v>
      </c>
    </row>
    <row r="1018" spans="1:22" x14ac:dyDescent="0.25">
      <c r="A1018" s="4" t="s">
        <v>1167</v>
      </c>
      <c r="B1018" s="5">
        <v>45810</v>
      </c>
      <c r="C1018" s="4">
        <f>YEAR(Table1_1[[#This Row],[Order Dates]])</f>
        <v>2025</v>
      </c>
      <c r="D1018" s="6">
        <f>MONTH(Table1_1[[#This Row],[Order Dates]])</f>
        <v>6</v>
      </c>
      <c r="E1018" s="4" t="s">
        <v>37</v>
      </c>
      <c r="F1018" s="4" t="s">
        <v>38</v>
      </c>
      <c r="G1018" s="4" t="s">
        <v>68</v>
      </c>
      <c r="H1018" s="4" t="str">
        <f>TRIM(CLEAN(SUBSTITUTE(Table1_1[[#This Row],[Salesperson]],"   "," ")))</f>
        <v>Ritika Ghosh</v>
      </c>
      <c r="I1018" s="4" t="s">
        <v>19</v>
      </c>
      <c r="J1018" s="4" t="s">
        <v>20</v>
      </c>
      <c r="K1018" s="4" t="s">
        <v>109</v>
      </c>
      <c r="L1018" s="4" t="s">
        <v>1675</v>
      </c>
      <c r="M1018" s="4" t="s">
        <v>23</v>
      </c>
      <c r="N1018" s="4" t="s">
        <v>24</v>
      </c>
      <c r="O1018" s="4">
        <v>1</v>
      </c>
      <c r="P1018" s="7">
        <v>72020</v>
      </c>
      <c r="Q1018" s="8">
        <v>0.15</v>
      </c>
      <c r="R1018" s="7">
        <v>53680</v>
      </c>
      <c r="S1018" s="7">
        <f>Table1_1[[#This Row],[Units Sold]]*Table1_1[[#This Row],[Unit Price]]*(1-Table1_1[[#This Row],[Discount %]])</f>
        <v>61217</v>
      </c>
      <c r="T1018" s="7">
        <f>Table1_1[[#This Row],[Units Sold]]*Table1_1[[#This Row],[Unit Cost]]</f>
        <v>53680</v>
      </c>
      <c r="U1018" s="7">
        <f>Table1_1[[#This Row],[Calculated sales]]-Table1_1[[#This Row],[Total cost]]</f>
        <v>7537</v>
      </c>
      <c r="V1018" s="4">
        <f>IFERROR(Table1_1[[#This Row],[Profit/Loss]]/Table1_1[[#This Row],[Calculated sales]],0)</f>
        <v>0.12311939493931424</v>
      </c>
    </row>
    <row r="1019" spans="1:22" x14ac:dyDescent="0.25">
      <c r="A1019" s="4" t="s">
        <v>1168</v>
      </c>
      <c r="B1019" s="5">
        <v>45811</v>
      </c>
      <c r="C1019" s="4">
        <f>YEAR(Table1_1[[#This Row],[Order Dates]])</f>
        <v>2025</v>
      </c>
      <c r="D1019" s="6">
        <f>MONTH(Table1_1[[#This Row],[Order Dates]])</f>
        <v>6</v>
      </c>
      <c r="E1019" s="4" t="s">
        <v>42</v>
      </c>
      <c r="F1019" s="4" t="s">
        <v>96</v>
      </c>
      <c r="G1019" s="4" t="s">
        <v>97</v>
      </c>
      <c r="H1019" s="4" t="str">
        <f>TRIM(CLEAN(SUBSTITUTE(Table1_1[[#This Row],[Salesperson]],"   "," ")))</f>
        <v>Rohit Malhotra</v>
      </c>
      <c r="I1019" s="4" t="s">
        <v>19</v>
      </c>
      <c r="J1019" s="4" t="s">
        <v>20</v>
      </c>
      <c r="K1019" s="4" t="s">
        <v>33</v>
      </c>
      <c r="L1019" s="4" t="s">
        <v>1677</v>
      </c>
      <c r="M1019" s="4" t="s">
        <v>23</v>
      </c>
      <c r="N1019" s="4" t="s">
        <v>24</v>
      </c>
      <c r="O1019" s="4">
        <v>2</v>
      </c>
      <c r="P1019" s="7">
        <v>65430</v>
      </c>
      <c r="Q1019" s="8">
        <v>0.1</v>
      </c>
      <c r="R1019" s="7">
        <v>49780</v>
      </c>
      <c r="S1019" s="7">
        <f>Table1_1[[#This Row],[Units Sold]]*Table1_1[[#This Row],[Unit Price]]*(1-Table1_1[[#This Row],[Discount %]])</f>
        <v>117774</v>
      </c>
      <c r="T1019" s="7">
        <f>Table1_1[[#This Row],[Units Sold]]*Table1_1[[#This Row],[Unit Cost]]</f>
        <v>99560</v>
      </c>
      <c r="U1019" s="7">
        <f>Table1_1[[#This Row],[Calculated sales]]-Table1_1[[#This Row],[Total cost]]</f>
        <v>18214</v>
      </c>
      <c r="V1019" s="4">
        <f>IFERROR(Table1_1[[#This Row],[Profit/Loss]]/Table1_1[[#This Row],[Calculated sales]],0)</f>
        <v>0.15465213035135089</v>
      </c>
    </row>
    <row r="1020" spans="1:22" x14ac:dyDescent="0.25">
      <c r="A1020" s="4" t="s">
        <v>1169</v>
      </c>
      <c r="B1020" s="5">
        <v>45812</v>
      </c>
      <c r="C1020" s="4">
        <f>YEAR(Table1_1[[#This Row],[Order Dates]])</f>
        <v>2025</v>
      </c>
      <c r="D1020" s="6">
        <f>MONTH(Table1_1[[#This Row],[Order Dates]])</f>
        <v>6</v>
      </c>
      <c r="E1020" s="4" t="s">
        <v>16</v>
      </c>
      <c r="F1020" s="4" t="s">
        <v>17</v>
      </c>
      <c r="G1020" s="4" t="s">
        <v>18</v>
      </c>
      <c r="H1020" s="4" t="str">
        <f>TRIM(CLEAN(SUBSTITUTE(Table1_1[[#This Row],[Salesperson]],"   "," ")))</f>
        <v>Imran Sheikh</v>
      </c>
      <c r="I1020" s="4" t="s">
        <v>19</v>
      </c>
      <c r="J1020" s="4" t="s">
        <v>20</v>
      </c>
      <c r="K1020" s="4" t="s">
        <v>21</v>
      </c>
      <c r="L1020" s="4" t="s">
        <v>1670</v>
      </c>
      <c r="M1020" s="4" t="s">
        <v>23</v>
      </c>
      <c r="N1020" s="4" t="s">
        <v>24</v>
      </c>
      <c r="O1020" s="4">
        <v>4</v>
      </c>
      <c r="P1020" s="7">
        <v>9090</v>
      </c>
      <c r="Q1020" s="8">
        <v>0.1</v>
      </c>
      <c r="R1020" s="7">
        <v>5160</v>
      </c>
      <c r="S1020" s="7">
        <f>Table1_1[[#This Row],[Units Sold]]*Table1_1[[#This Row],[Unit Price]]*(1-Table1_1[[#This Row],[Discount %]])</f>
        <v>32724</v>
      </c>
      <c r="T1020" s="7">
        <f>Table1_1[[#This Row],[Units Sold]]*Table1_1[[#This Row],[Unit Cost]]</f>
        <v>20640</v>
      </c>
      <c r="U1020" s="7">
        <f>Table1_1[[#This Row],[Calculated sales]]-Table1_1[[#This Row],[Total cost]]</f>
        <v>12084</v>
      </c>
      <c r="V1020" s="4">
        <f>IFERROR(Table1_1[[#This Row],[Profit/Loss]]/Table1_1[[#This Row],[Calculated sales]],0)</f>
        <v>0.36927026035936927</v>
      </c>
    </row>
    <row r="1021" spans="1:22" x14ac:dyDescent="0.25">
      <c r="A1021" s="4" t="s">
        <v>1170</v>
      </c>
      <c r="B1021" s="5">
        <v>45813</v>
      </c>
      <c r="C1021" s="4">
        <f>YEAR(Table1_1[[#This Row],[Order Dates]])</f>
        <v>2025</v>
      </c>
      <c r="D1021" s="6">
        <f>MONTH(Table1_1[[#This Row],[Order Dates]])</f>
        <v>6</v>
      </c>
      <c r="E1021" s="4" t="s">
        <v>42</v>
      </c>
      <c r="F1021" s="4" t="s">
        <v>123</v>
      </c>
      <c r="G1021" s="4" t="s">
        <v>64</v>
      </c>
      <c r="H1021" s="4" t="str">
        <f>TRIM(CLEAN(SUBSTITUTE(Table1_1[[#This Row],[Salesperson]],"   "," ")))</f>
        <v>Aditya Verma</v>
      </c>
      <c r="I1021" s="4" t="s">
        <v>19</v>
      </c>
      <c r="J1021" s="4" t="s">
        <v>20</v>
      </c>
      <c r="K1021" s="4" t="s">
        <v>33</v>
      </c>
      <c r="L1021" s="4" t="s">
        <v>34</v>
      </c>
      <c r="M1021" s="4" t="s">
        <v>23</v>
      </c>
      <c r="N1021" s="4" t="s">
        <v>24</v>
      </c>
      <c r="O1021" s="4">
        <v>4</v>
      </c>
      <c r="P1021" s="7">
        <v>57490</v>
      </c>
      <c r="Q1021" s="8">
        <v>0.18</v>
      </c>
      <c r="R1021" s="7">
        <v>43000</v>
      </c>
      <c r="S1021" s="7">
        <f>Table1_1[[#This Row],[Units Sold]]*Table1_1[[#This Row],[Unit Price]]*(1-Table1_1[[#This Row],[Discount %]])</f>
        <v>188567.2</v>
      </c>
      <c r="T1021" s="7">
        <f>Table1_1[[#This Row],[Units Sold]]*Table1_1[[#This Row],[Unit Cost]]</f>
        <v>172000</v>
      </c>
      <c r="U1021" s="7">
        <f>Table1_1[[#This Row],[Calculated sales]]-Table1_1[[#This Row],[Total cost]]</f>
        <v>16567.200000000012</v>
      </c>
      <c r="V1021" s="4">
        <f>IFERROR(Table1_1[[#This Row],[Profit/Loss]]/Table1_1[[#This Row],[Calculated sales]],0)</f>
        <v>8.7858333792939655E-2</v>
      </c>
    </row>
    <row r="1022" spans="1:22" x14ac:dyDescent="0.25">
      <c r="A1022" s="4" t="s">
        <v>1171</v>
      </c>
      <c r="B1022" s="5">
        <v>45814</v>
      </c>
      <c r="C1022" s="4">
        <f>YEAR(Table1_1[[#This Row],[Order Dates]])</f>
        <v>2025</v>
      </c>
      <c r="D1022" s="6">
        <f>MONTH(Table1_1[[#This Row],[Order Dates]])</f>
        <v>6</v>
      </c>
      <c r="E1022" s="4" t="s">
        <v>76</v>
      </c>
      <c r="F1022" s="4" t="s">
        <v>77</v>
      </c>
      <c r="G1022" s="4" t="s">
        <v>78</v>
      </c>
      <c r="H1022" s="4" t="str">
        <f>TRIM(CLEAN(SUBSTITUTE(Table1_1[[#This Row],[Salesperson]],"   "," ")))</f>
        <v>Pooja Chouhan</v>
      </c>
      <c r="I1022" s="4" t="s">
        <v>92</v>
      </c>
      <c r="J1022" s="4" t="s">
        <v>20</v>
      </c>
      <c r="K1022" s="4" t="s">
        <v>109</v>
      </c>
      <c r="L1022" s="4" t="s">
        <v>159</v>
      </c>
      <c r="M1022" s="4" t="s">
        <v>40</v>
      </c>
      <c r="N1022" s="4" t="s">
        <v>24</v>
      </c>
      <c r="O1022" s="4">
        <v>4</v>
      </c>
      <c r="P1022" s="7">
        <v>19220</v>
      </c>
      <c r="Q1022" s="8">
        <v>0.05</v>
      </c>
      <c r="R1022" s="7">
        <v>11380</v>
      </c>
      <c r="S1022" s="7">
        <f>Table1_1[[#This Row],[Units Sold]]*Table1_1[[#This Row],[Unit Price]]*(1-Table1_1[[#This Row],[Discount %]])</f>
        <v>73036</v>
      </c>
      <c r="T1022" s="7">
        <f>Table1_1[[#This Row],[Units Sold]]*Table1_1[[#This Row],[Unit Cost]]</f>
        <v>45520</v>
      </c>
      <c r="U1022" s="7">
        <f>Table1_1[[#This Row],[Calculated sales]]-Table1_1[[#This Row],[Total cost]]</f>
        <v>27516</v>
      </c>
      <c r="V1022" s="4">
        <f>IFERROR(Table1_1[[#This Row],[Profit/Loss]]/Table1_1[[#This Row],[Calculated sales]],0)</f>
        <v>0.3767457144421929</v>
      </c>
    </row>
    <row r="1023" spans="1:22" x14ac:dyDescent="0.25">
      <c r="A1023" s="4" t="s">
        <v>1172</v>
      </c>
      <c r="B1023" s="5">
        <v>45814</v>
      </c>
      <c r="C1023" s="4">
        <f>YEAR(Table1_1[[#This Row],[Order Dates]])</f>
        <v>2025</v>
      </c>
      <c r="D1023" s="6">
        <f>MONTH(Table1_1[[#This Row],[Order Dates]])</f>
        <v>6</v>
      </c>
      <c r="E1023" s="4" t="s">
        <v>37</v>
      </c>
      <c r="F1023" s="4" t="s">
        <v>115</v>
      </c>
      <c r="G1023" s="4" t="s">
        <v>68</v>
      </c>
      <c r="H1023" s="4" t="str">
        <f>TRIM(CLEAN(SUBSTITUTE(Table1_1[[#This Row],[Salesperson]],"   "," ")))</f>
        <v>Ritika Ghosh</v>
      </c>
      <c r="I1023" s="4" t="s">
        <v>19</v>
      </c>
      <c r="J1023" s="4" t="s">
        <v>46</v>
      </c>
      <c r="K1023" s="4" t="s">
        <v>179</v>
      </c>
      <c r="L1023" s="4" t="s">
        <v>180</v>
      </c>
      <c r="M1023" s="4" t="s">
        <v>23</v>
      </c>
      <c r="N1023" s="4" t="s">
        <v>24</v>
      </c>
      <c r="O1023" s="4">
        <v>12</v>
      </c>
      <c r="P1023" s="7">
        <v>3860</v>
      </c>
      <c r="Q1023" s="8">
        <v>0.05</v>
      </c>
      <c r="R1023" s="7">
        <v>2550</v>
      </c>
      <c r="S1023" s="7">
        <f>Table1_1[[#This Row],[Units Sold]]*Table1_1[[#This Row],[Unit Price]]*(1-Table1_1[[#This Row],[Discount %]])</f>
        <v>44004</v>
      </c>
      <c r="T1023" s="7">
        <f>Table1_1[[#This Row],[Units Sold]]*Table1_1[[#This Row],[Unit Cost]]</f>
        <v>30600</v>
      </c>
      <c r="U1023" s="7">
        <f>Table1_1[[#This Row],[Calculated sales]]-Table1_1[[#This Row],[Total cost]]</f>
        <v>13404</v>
      </c>
      <c r="V1023" s="4">
        <f>IFERROR(Table1_1[[#This Row],[Profit/Loss]]/Table1_1[[#This Row],[Calculated sales]],0)</f>
        <v>0.30460867193891467</v>
      </c>
    </row>
    <row r="1024" spans="1:22" x14ac:dyDescent="0.25">
      <c r="A1024" s="4" t="s">
        <v>1173</v>
      </c>
      <c r="B1024" s="5">
        <v>45815</v>
      </c>
      <c r="C1024" s="4">
        <f>YEAR(Table1_1[[#This Row],[Order Dates]])</f>
        <v>2025</v>
      </c>
      <c r="D1024" s="6">
        <f>MONTH(Table1_1[[#This Row],[Order Dates]])</f>
        <v>6</v>
      </c>
      <c r="E1024" s="4" t="s">
        <v>56</v>
      </c>
      <c r="F1024" s="4" t="s">
        <v>127</v>
      </c>
      <c r="G1024" s="4" t="s">
        <v>134</v>
      </c>
      <c r="H1024" s="4" t="str">
        <f>TRIM(CLEAN(SUBSTITUTE(Table1_1[[#This Row],[Salesperson]],"   "," ")))</f>
        <v>Divya Nair</v>
      </c>
      <c r="I1024" s="4" t="s">
        <v>19</v>
      </c>
      <c r="J1024" s="4" t="s">
        <v>83</v>
      </c>
      <c r="K1024" s="4" t="s">
        <v>84</v>
      </c>
      <c r="L1024" s="4" t="s">
        <v>1671</v>
      </c>
      <c r="M1024" s="4" t="s">
        <v>49</v>
      </c>
      <c r="N1024" s="4" t="s">
        <v>24</v>
      </c>
      <c r="O1024" s="4">
        <v>25</v>
      </c>
      <c r="P1024" s="7">
        <v>2520</v>
      </c>
      <c r="Q1024" s="8">
        <v>0.12</v>
      </c>
      <c r="R1024" s="7">
        <v>1910</v>
      </c>
      <c r="S1024" s="7">
        <f>Table1_1[[#This Row],[Units Sold]]*Table1_1[[#This Row],[Unit Price]]*(1-Table1_1[[#This Row],[Discount %]])</f>
        <v>55440</v>
      </c>
      <c r="T1024" s="7">
        <f>Table1_1[[#This Row],[Units Sold]]*Table1_1[[#This Row],[Unit Cost]]</f>
        <v>47750</v>
      </c>
      <c r="U1024" s="7">
        <f>Table1_1[[#This Row],[Calculated sales]]-Table1_1[[#This Row],[Total cost]]</f>
        <v>7690</v>
      </c>
      <c r="V1024" s="4">
        <f>IFERROR(Table1_1[[#This Row],[Profit/Loss]]/Table1_1[[#This Row],[Calculated sales]],0)</f>
        <v>0.1387085137085137</v>
      </c>
    </row>
    <row r="1025" spans="1:22" x14ac:dyDescent="0.25">
      <c r="A1025" s="4" t="s">
        <v>1174</v>
      </c>
      <c r="B1025" s="5">
        <v>45815</v>
      </c>
      <c r="C1025" s="4">
        <f>YEAR(Table1_1[[#This Row],[Order Dates]])</f>
        <v>2025</v>
      </c>
      <c r="D1025" s="6">
        <f>MONTH(Table1_1[[#This Row],[Order Dates]])</f>
        <v>6</v>
      </c>
      <c r="E1025" s="4" t="s">
        <v>37</v>
      </c>
      <c r="F1025" s="4" t="s">
        <v>115</v>
      </c>
      <c r="G1025" s="4" t="s">
        <v>68</v>
      </c>
      <c r="H1025" s="4" t="str">
        <f>TRIM(CLEAN(SUBSTITUTE(Table1_1[[#This Row],[Salesperson]],"   "," ")))</f>
        <v>Ritika Ghosh</v>
      </c>
      <c r="I1025" s="4" t="s">
        <v>19</v>
      </c>
      <c r="J1025" s="4" t="s">
        <v>20</v>
      </c>
      <c r="K1025" s="4" t="s">
        <v>87</v>
      </c>
      <c r="L1025" s="4" t="s">
        <v>1672</v>
      </c>
      <c r="M1025" s="4" t="s">
        <v>40</v>
      </c>
      <c r="N1025" s="4" t="s">
        <v>24</v>
      </c>
      <c r="O1025" s="4">
        <v>2</v>
      </c>
      <c r="P1025" s="7">
        <v>34450</v>
      </c>
      <c r="Q1025" s="8">
        <v>0.05</v>
      </c>
      <c r="R1025" s="7">
        <v>24820</v>
      </c>
      <c r="S1025" s="7">
        <f>Table1_1[[#This Row],[Units Sold]]*Table1_1[[#This Row],[Unit Price]]*(1-Table1_1[[#This Row],[Discount %]])</f>
        <v>65455</v>
      </c>
      <c r="T1025" s="7">
        <f>Table1_1[[#This Row],[Units Sold]]*Table1_1[[#This Row],[Unit Cost]]</f>
        <v>49640</v>
      </c>
      <c r="U1025" s="7">
        <f>Table1_1[[#This Row],[Calculated sales]]-Table1_1[[#This Row],[Total cost]]</f>
        <v>15815</v>
      </c>
      <c r="V1025" s="4">
        <f>IFERROR(Table1_1[[#This Row],[Profit/Loss]]/Table1_1[[#This Row],[Calculated sales]],0)</f>
        <v>0.24161637766404401</v>
      </c>
    </row>
    <row r="1026" spans="1:22" x14ac:dyDescent="0.25">
      <c r="A1026" s="4" t="s">
        <v>1175</v>
      </c>
      <c r="B1026" s="5">
        <v>45815</v>
      </c>
      <c r="C1026" s="4">
        <f>YEAR(Table1_1[[#This Row],[Order Dates]])</f>
        <v>2025</v>
      </c>
      <c r="D1026" s="6">
        <f>MONTH(Table1_1[[#This Row],[Order Dates]])</f>
        <v>6</v>
      </c>
      <c r="E1026" s="4" t="s">
        <v>16</v>
      </c>
      <c r="F1026" s="4" t="s">
        <v>51</v>
      </c>
      <c r="G1026" s="4" t="s">
        <v>26</v>
      </c>
      <c r="H1026" s="4" t="str">
        <f>TRIM(CLEAN(SUBSTITUTE(Table1_1[[#This Row],[Salesperson]],"   "," ")))</f>
        <v>Prateek Shah</v>
      </c>
      <c r="I1026" s="4" t="s">
        <v>92</v>
      </c>
      <c r="J1026" s="4" t="s">
        <v>46</v>
      </c>
      <c r="K1026" s="4" t="s">
        <v>179</v>
      </c>
      <c r="L1026" s="4" t="s">
        <v>236</v>
      </c>
      <c r="M1026" s="4" t="s">
        <v>40</v>
      </c>
      <c r="N1026" s="4" t="s">
        <v>35</v>
      </c>
      <c r="O1026" s="4">
        <v>46</v>
      </c>
      <c r="P1026" s="7">
        <v>2350</v>
      </c>
      <c r="Q1026" s="8">
        <v>0.18</v>
      </c>
      <c r="R1026" s="7">
        <v>1320</v>
      </c>
      <c r="S1026" s="7">
        <f>Table1_1[[#This Row],[Units Sold]]*Table1_1[[#This Row],[Unit Price]]*(1-Table1_1[[#This Row],[Discount %]])</f>
        <v>88642</v>
      </c>
      <c r="T1026" s="7">
        <f>Table1_1[[#This Row],[Units Sold]]*Table1_1[[#This Row],[Unit Cost]]</f>
        <v>60720</v>
      </c>
      <c r="U1026" s="7">
        <f>Table1_1[[#This Row],[Calculated sales]]-Table1_1[[#This Row],[Total cost]]</f>
        <v>27922</v>
      </c>
      <c r="V1026" s="4">
        <f>IFERROR(Table1_1[[#This Row],[Profit/Loss]]/Table1_1[[#This Row],[Calculated sales]],0)</f>
        <v>0.31499740529320186</v>
      </c>
    </row>
    <row r="1027" spans="1:22" x14ac:dyDescent="0.25">
      <c r="A1027" s="4" t="s">
        <v>1176</v>
      </c>
      <c r="B1027" s="5">
        <v>45816</v>
      </c>
      <c r="C1027" s="4">
        <f>YEAR(Table1_1[[#This Row],[Order Dates]])</f>
        <v>2025</v>
      </c>
      <c r="D1027" s="6">
        <f>MONTH(Table1_1[[#This Row],[Order Dates]])</f>
        <v>6</v>
      </c>
      <c r="E1027" s="4" t="s">
        <v>56</v>
      </c>
      <c r="F1027" s="4" t="s">
        <v>127</v>
      </c>
      <c r="G1027" s="4" t="s">
        <v>91</v>
      </c>
      <c r="H1027" s="4" t="str">
        <f>TRIM(CLEAN(SUBSTITUTE(Table1_1[[#This Row],[Salesperson]],"   "," ")))</f>
        <v>Anjali Menon</v>
      </c>
      <c r="I1027" s="4" t="s">
        <v>19</v>
      </c>
      <c r="J1027" s="4" t="s">
        <v>27</v>
      </c>
      <c r="K1027" s="4" t="s">
        <v>53</v>
      </c>
      <c r="L1027" s="4" t="s">
        <v>1669</v>
      </c>
      <c r="M1027" s="4" t="s">
        <v>49</v>
      </c>
      <c r="N1027" s="4" t="s">
        <v>24</v>
      </c>
      <c r="O1027" s="4">
        <v>4</v>
      </c>
      <c r="P1027" s="7">
        <v>40550</v>
      </c>
      <c r="Q1027" s="8">
        <v>0</v>
      </c>
      <c r="R1027" s="7">
        <v>28620</v>
      </c>
      <c r="S1027" s="7">
        <f>Table1_1[[#This Row],[Units Sold]]*Table1_1[[#This Row],[Unit Price]]*(1-Table1_1[[#This Row],[Discount %]])</f>
        <v>162200</v>
      </c>
      <c r="T1027" s="7">
        <f>Table1_1[[#This Row],[Units Sold]]*Table1_1[[#This Row],[Unit Cost]]</f>
        <v>114480</v>
      </c>
      <c r="U1027" s="7">
        <f>Table1_1[[#This Row],[Calculated sales]]-Table1_1[[#This Row],[Total cost]]</f>
        <v>47720</v>
      </c>
      <c r="V1027" s="4">
        <f>IFERROR(Table1_1[[#This Row],[Profit/Loss]]/Table1_1[[#This Row],[Calculated sales]],0)</f>
        <v>0.29420468557336621</v>
      </c>
    </row>
    <row r="1028" spans="1:22" x14ac:dyDescent="0.25">
      <c r="A1028" s="4" t="s">
        <v>1177</v>
      </c>
      <c r="B1028" s="5">
        <v>45816</v>
      </c>
      <c r="C1028" s="4">
        <f>YEAR(Table1_1[[#This Row],[Order Dates]])</f>
        <v>2025</v>
      </c>
      <c r="D1028" s="6">
        <f>MONTH(Table1_1[[#This Row],[Order Dates]])</f>
        <v>6</v>
      </c>
      <c r="E1028" s="4" t="s">
        <v>56</v>
      </c>
      <c r="F1028" s="4" t="s">
        <v>103</v>
      </c>
      <c r="G1028" s="4" t="s">
        <v>134</v>
      </c>
      <c r="H1028" s="4" t="str">
        <f>TRIM(CLEAN(SUBSTITUTE(Table1_1[[#This Row],[Salesperson]],"   "," ")))</f>
        <v>Divya Nair</v>
      </c>
      <c r="I1028" s="4" t="s">
        <v>45</v>
      </c>
      <c r="J1028" s="4" t="s">
        <v>20</v>
      </c>
      <c r="K1028" s="4" t="s">
        <v>33</v>
      </c>
      <c r="L1028" s="4" t="s">
        <v>1677</v>
      </c>
      <c r="M1028" s="4" t="s">
        <v>49</v>
      </c>
      <c r="N1028" s="4" t="s">
        <v>24</v>
      </c>
      <c r="O1028" s="4">
        <v>4</v>
      </c>
      <c r="P1028" s="7">
        <v>61730</v>
      </c>
      <c r="Q1028" s="8">
        <v>0.05</v>
      </c>
      <c r="R1028" s="7">
        <v>42600</v>
      </c>
      <c r="S1028" s="7">
        <f>Table1_1[[#This Row],[Units Sold]]*Table1_1[[#This Row],[Unit Price]]*(1-Table1_1[[#This Row],[Discount %]])</f>
        <v>234574</v>
      </c>
      <c r="T1028" s="7">
        <f>Table1_1[[#This Row],[Units Sold]]*Table1_1[[#This Row],[Unit Cost]]</f>
        <v>170400</v>
      </c>
      <c r="U1028" s="7">
        <f>Table1_1[[#This Row],[Calculated sales]]-Table1_1[[#This Row],[Total cost]]</f>
        <v>64174</v>
      </c>
      <c r="V1028" s="4">
        <f>IFERROR(Table1_1[[#This Row],[Profit/Loss]]/Table1_1[[#This Row],[Calculated sales]],0)</f>
        <v>0.27357678174051686</v>
      </c>
    </row>
    <row r="1029" spans="1:22" x14ac:dyDescent="0.25">
      <c r="A1029" s="4" t="s">
        <v>1178</v>
      </c>
      <c r="B1029" s="5">
        <v>45816</v>
      </c>
      <c r="C1029" s="4">
        <f>YEAR(Table1_1[[#This Row],[Order Dates]])</f>
        <v>2025</v>
      </c>
      <c r="D1029" s="6">
        <f>MONTH(Table1_1[[#This Row],[Order Dates]])</f>
        <v>6</v>
      </c>
      <c r="E1029" s="4" t="s">
        <v>56</v>
      </c>
      <c r="F1029" s="4" t="s">
        <v>72</v>
      </c>
      <c r="G1029" s="4" t="s">
        <v>134</v>
      </c>
      <c r="H1029" s="4" t="str">
        <f>TRIM(CLEAN(SUBSTITUTE(Table1_1[[#This Row],[Salesperson]],"   "," ")))</f>
        <v>Divya Nair</v>
      </c>
      <c r="I1029" s="4" t="s">
        <v>19</v>
      </c>
      <c r="J1029" s="4" t="s">
        <v>59</v>
      </c>
      <c r="K1029" s="4" t="s">
        <v>69</v>
      </c>
      <c r="L1029" s="4" t="s">
        <v>70</v>
      </c>
      <c r="M1029" s="4" t="s">
        <v>40</v>
      </c>
      <c r="N1029" s="4" t="s">
        <v>35</v>
      </c>
      <c r="O1029" s="4">
        <v>5</v>
      </c>
      <c r="P1029" s="7">
        <v>29890</v>
      </c>
      <c r="Q1029" s="8">
        <v>0.2</v>
      </c>
      <c r="R1029" s="7">
        <v>18970</v>
      </c>
      <c r="S1029" s="7">
        <f>Table1_1[[#This Row],[Units Sold]]*Table1_1[[#This Row],[Unit Price]]*(1-Table1_1[[#This Row],[Discount %]])</f>
        <v>119560</v>
      </c>
      <c r="T1029" s="7">
        <f>Table1_1[[#This Row],[Units Sold]]*Table1_1[[#This Row],[Unit Cost]]</f>
        <v>94850</v>
      </c>
      <c r="U1029" s="7">
        <f>Table1_1[[#This Row],[Calculated sales]]-Table1_1[[#This Row],[Total cost]]</f>
        <v>24710</v>
      </c>
      <c r="V1029" s="4">
        <f>IFERROR(Table1_1[[#This Row],[Profit/Loss]]/Table1_1[[#This Row],[Calculated sales]],0)</f>
        <v>0.2066744730679157</v>
      </c>
    </row>
    <row r="1030" spans="1:22" x14ac:dyDescent="0.25">
      <c r="A1030" s="4" t="s">
        <v>1179</v>
      </c>
      <c r="B1030" s="5">
        <v>45817</v>
      </c>
      <c r="C1030" s="4">
        <f>YEAR(Table1_1[[#This Row],[Order Dates]])</f>
        <v>2025</v>
      </c>
      <c r="D1030" s="6">
        <f>MONTH(Table1_1[[#This Row],[Order Dates]])</f>
        <v>6</v>
      </c>
      <c r="E1030" s="4" t="s">
        <v>16</v>
      </c>
      <c r="F1030" s="4" t="s">
        <v>191</v>
      </c>
      <c r="G1030" s="4" t="s">
        <v>26</v>
      </c>
      <c r="H1030" s="4" t="str">
        <f>TRIM(CLEAN(SUBSTITUTE(Table1_1[[#This Row],[Salesperson]],"   "," ")))</f>
        <v>Prateek Shah</v>
      </c>
      <c r="I1030" s="4" t="s">
        <v>19</v>
      </c>
      <c r="J1030" s="4" t="s">
        <v>83</v>
      </c>
      <c r="K1030" s="4" t="s">
        <v>84</v>
      </c>
      <c r="L1030" s="4" t="s">
        <v>292</v>
      </c>
      <c r="M1030" s="4" t="s">
        <v>40</v>
      </c>
      <c r="N1030" s="4" t="s">
        <v>24</v>
      </c>
      <c r="O1030" s="4">
        <v>2</v>
      </c>
      <c r="P1030" s="7">
        <v>40960</v>
      </c>
      <c r="Q1030" s="8">
        <v>0.18</v>
      </c>
      <c r="R1030" s="7">
        <v>30750</v>
      </c>
      <c r="S1030" s="7">
        <f>Table1_1[[#This Row],[Units Sold]]*Table1_1[[#This Row],[Unit Price]]*(1-Table1_1[[#This Row],[Discount %]])</f>
        <v>67174.400000000009</v>
      </c>
      <c r="T1030" s="7">
        <f>Table1_1[[#This Row],[Units Sold]]*Table1_1[[#This Row],[Unit Cost]]</f>
        <v>61500</v>
      </c>
      <c r="U1030" s="7">
        <f>Table1_1[[#This Row],[Calculated sales]]-Table1_1[[#This Row],[Total cost]]</f>
        <v>5674.4000000000087</v>
      </c>
      <c r="V1030" s="4">
        <f>IFERROR(Table1_1[[#This Row],[Profit/Loss]]/Table1_1[[#This Row],[Calculated sales]],0)</f>
        <v>8.4472656250000125E-2</v>
      </c>
    </row>
    <row r="1031" spans="1:22" x14ac:dyDescent="0.25">
      <c r="A1031" s="4" t="s">
        <v>1180</v>
      </c>
      <c r="B1031" s="5">
        <v>45818</v>
      </c>
      <c r="C1031" s="4">
        <f>YEAR(Table1_1[[#This Row],[Order Dates]])</f>
        <v>2025</v>
      </c>
      <c r="D1031" s="6">
        <f>MONTH(Table1_1[[#This Row],[Order Dates]])</f>
        <v>6</v>
      </c>
      <c r="E1031" s="4" t="s">
        <v>56</v>
      </c>
      <c r="F1031" s="4" t="s">
        <v>127</v>
      </c>
      <c r="G1031" s="4" t="s">
        <v>58</v>
      </c>
      <c r="H1031" s="4" t="str">
        <f>TRIM(CLEAN(SUBSTITUTE(Table1_1[[#This Row],[Salesperson]],"   "," ")))</f>
        <v>Karthik Raman</v>
      </c>
      <c r="I1031" s="4" t="s">
        <v>19</v>
      </c>
      <c r="J1031" s="4" t="s">
        <v>83</v>
      </c>
      <c r="K1031" s="4" t="s">
        <v>184</v>
      </c>
      <c r="L1031" s="4" t="s">
        <v>196</v>
      </c>
      <c r="M1031" s="4" t="s">
        <v>23</v>
      </c>
      <c r="N1031" s="4" t="s">
        <v>24</v>
      </c>
      <c r="O1031" s="4">
        <v>15</v>
      </c>
      <c r="P1031" s="7">
        <v>3270</v>
      </c>
      <c r="Q1031" s="8">
        <v>0.05</v>
      </c>
      <c r="R1031" s="7">
        <v>2420</v>
      </c>
      <c r="S1031" s="7">
        <f>Table1_1[[#This Row],[Units Sold]]*Table1_1[[#This Row],[Unit Price]]*(1-Table1_1[[#This Row],[Discount %]])</f>
        <v>46597.5</v>
      </c>
      <c r="T1031" s="7">
        <f>Table1_1[[#This Row],[Units Sold]]*Table1_1[[#This Row],[Unit Cost]]</f>
        <v>36300</v>
      </c>
      <c r="U1031" s="7">
        <f>Table1_1[[#This Row],[Calculated sales]]-Table1_1[[#This Row],[Total cost]]</f>
        <v>10297.5</v>
      </c>
      <c r="V1031" s="4">
        <f>IFERROR(Table1_1[[#This Row],[Profit/Loss]]/Table1_1[[#This Row],[Calculated sales]],0)</f>
        <v>0.2209882504426203</v>
      </c>
    </row>
    <row r="1032" spans="1:22" x14ac:dyDescent="0.25">
      <c r="A1032" s="4" t="s">
        <v>1181</v>
      </c>
      <c r="B1032" s="5">
        <v>45818</v>
      </c>
      <c r="C1032" s="4">
        <f>YEAR(Table1_1[[#This Row],[Order Dates]])</f>
        <v>2025</v>
      </c>
      <c r="D1032" s="6">
        <f>MONTH(Table1_1[[#This Row],[Order Dates]])</f>
        <v>6</v>
      </c>
      <c r="E1032" s="4" t="s">
        <v>56</v>
      </c>
      <c r="F1032" s="4" t="s">
        <v>133</v>
      </c>
      <c r="G1032" s="4" t="s">
        <v>134</v>
      </c>
      <c r="H1032" s="4" t="str">
        <f>TRIM(CLEAN(SUBSTITUTE(Table1_1[[#This Row],[Salesperson]],"   "," ")))</f>
        <v>Divya Nair</v>
      </c>
      <c r="I1032" s="4" t="s">
        <v>92</v>
      </c>
      <c r="J1032" s="4" t="s">
        <v>59</v>
      </c>
      <c r="K1032" s="4" t="s">
        <v>69</v>
      </c>
      <c r="L1032" s="4" t="s">
        <v>70</v>
      </c>
      <c r="M1032" s="4" t="s">
        <v>40</v>
      </c>
      <c r="N1032" s="4" t="s">
        <v>24</v>
      </c>
      <c r="O1032" s="4">
        <v>10</v>
      </c>
      <c r="P1032" s="7">
        <v>26950</v>
      </c>
      <c r="Q1032" s="8">
        <v>0.1</v>
      </c>
      <c r="R1032" s="7">
        <v>20000</v>
      </c>
      <c r="S1032" s="7">
        <f>Table1_1[[#This Row],[Units Sold]]*Table1_1[[#This Row],[Unit Price]]*(1-Table1_1[[#This Row],[Discount %]])</f>
        <v>242550</v>
      </c>
      <c r="T1032" s="7">
        <f>Table1_1[[#This Row],[Units Sold]]*Table1_1[[#This Row],[Unit Cost]]</f>
        <v>200000</v>
      </c>
      <c r="U1032" s="7">
        <f>Table1_1[[#This Row],[Calculated sales]]-Table1_1[[#This Row],[Total cost]]</f>
        <v>42550</v>
      </c>
      <c r="V1032" s="4">
        <f>IFERROR(Table1_1[[#This Row],[Profit/Loss]]/Table1_1[[#This Row],[Calculated sales]],0)</f>
        <v>0.17542774685631829</v>
      </c>
    </row>
    <row r="1033" spans="1:22" x14ac:dyDescent="0.25">
      <c r="A1033" s="4" t="s">
        <v>1182</v>
      </c>
      <c r="B1033" s="5">
        <v>45818</v>
      </c>
      <c r="C1033" s="4">
        <f>YEAR(Table1_1[[#This Row],[Order Dates]])</f>
        <v>2025</v>
      </c>
      <c r="D1033" s="6">
        <f>MONTH(Table1_1[[#This Row],[Order Dates]])</f>
        <v>6</v>
      </c>
      <c r="E1033" s="4" t="s">
        <v>76</v>
      </c>
      <c r="F1033" s="4" t="s">
        <v>125</v>
      </c>
      <c r="G1033" s="4" t="s">
        <v>170</v>
      </c>
      <c r="H1033" s="4" t="str">
        <f>TRIM(CLEAN(SUBSTITUTE(Table1_1[[#This Row],[Salesperson]],"   "," ")))</f>
        <v>Manish Tiwari</v>
      </c>
      <c r="I1033" s="4" t="s">
        <v>19</v>
      </c>
      <c r="J1033" s="4" t="s">
        <v>83</v>
      </c>
      <c r="K1033" s="4" t="s">
        <v>84</v>
      </c>
      <c r="L1033" s="4" t="s">
        <v>1671</v>
      </c>
      <c r="M1033" s="4" t="s">
        <v>23</v>
      </c>
      <c r="N1033" s="4" t="s">
        <v>24</v>
      </c>
      <c r="O1033" s="4">
        <v>22</v>
      </c>
      <c r="P1033" s="7">
        <v>2340</v>
      </c>
      <c r="Q1033" s="8">
        <v>0.25</v>
      </c>
      <c r="R1033" s="7">
        <v>1540</v>
      </c>
      <c r="S1033" s="7">
        <f>Table1_1[[#This Row],[Units Sold]]*Table1_1[[#This Row],[Unit Price]]*(1-Table1_1[[#This Row],[Discount %]])</f>
        <v>38610</v>
      </c>
      <c r="T1033" s="7">
        <f>Table1_1[[#This Row],[Units Sold]]*Table1_1[[#This Row],[Unit Cost]]</f>
        <v>33880</v>
      </c>
      <c r="U1033" s="7">
        <f>Table1_1[[#This Row],[Calculated sales]]-Table1_1[[#This Row],[Total cost]]</f>
        <v>4730</v>
      </c>
      <c r="V1033" s="4">
        <f>IFERROR(Table1_1[[#This Row],[Profit/Loss]]/Table1_1[[#This Row],[Calculated sales]],0)</f>
        <v>0.12250712250712251</v>
      </c>
    </row>
    <row r="1034" spans="1:22" x14ac:dyDescent="0.25">
      <c r="A1034" s="4" t="s">
        <v>1183</v>
      </c>
      <c r="B1034" s="5">
        <v>45818</v>
      </c>
      <c r="C1034" s="4">
        <f>YEAR(Table1_1[[#This Row],[Order Dates]])</f>
        <v>2025</v>
      </c>
      <c r="D1034" s="6">
        <f>MONTH(Table1_1[[#This Row],[Order Dates]])</f>
        <v>6</v>
      </c>
      <c r="E1034" s="4" t="s">
        <v>76</v>
      </c>
      <c r="F1034" s="4" t="s">
        <v>150</v>
      </c>
      <c r="G1034" s="4" t="s">
        <v>78</v>
      </c>
      <c r="H1034" s="4" t="str">
        <f>TRIM(CLEAN(SUBSTITUTE(Table1_1[[#This Row],[Salesperson]],"   "," ")))</f>
        <v>Pooja Chouhan</v>
      </c>
      <c r="I1034" s="4" t="s">
        <v>19</v>
      </c>
      <c r="J1034" s="4" t="s">
        <v>83</v>
      </c>
      <c r="K1034" s="4" t="s">
        <v>184</v>
      </c>
      <c r="L1034" s="4" t="s">
        <v>196</v>
      </c>
      <c r="M1034" s="4" t="s">
        <v>40</v>
      </c>
      <c r="N1034" s="4" t="s">
        <v>24</v>
      </c>
      <c r="O1034" s="4">
        <v>6</v>
      </c>
      <c r="P1034" s="7">
        <v>3260</v>
      </c>
      <c r="Q1034" s="8">
        <v>0.12</v>
      </c>
      <c r="R1034" s="7">
        <v>2140</v>
      </c>
      <c r="S1034" s="7">
        <f>Table1_1[[#This Row],[Units Sold]]*Table1_1[[#This Row],[Unit Price]]*(1-Table1_1[[#This Row],[Discount %]])</f>
        <v>17212.8</v>
      </c>
      <c r="T1034" s="7">
        <f>Table1_1[[#This Row],[Units Sold]]*Table1_1[[#This Row],[Unit Cost]]</f>
        <v>12840</v>
      </c>
      <c r="U1034" s="7">
        <f>Table1_1[[#This Row],[Calculated sales]]-Table1_1[[#This Row],[Total cost]]</f>
        <v>4372.7999999999993</v>
      </c>
      <c r="V1034" s="4">
        <f>IFERROR(Table1_1[[#This Row],[Profit/Loss]]/Table1_1[[#This Row],[Calculated sales]],0)</f>
        <v>0.25404350250976016</v>
      </c>
    </row>
    <row r="1035" spans="1:22" x14ac:dyDescent="0.25">
      <c r="A1035" s="4" t="s">
        <v>1184</v>
      </c>
      <c r="B1035" s="5">
        <v>45820</v>
      </c>
      <c r="C1035" s="4">
        <f>YEAR(Table1_1[[#This Row],[Order Dates]])</f>
        <v>2025</v>
      </c>
      <c r="D1035" s="6">
        <f>MONTH(Table1_1[[#This Row],[Order Dates]])</f>
        <v>6</v>
      </c>
      <c r="E1035" s="4" t="s">
        <v>16</v>
      </c>
      <c r="F1035" s="4" t="s">
        <v>153</v>
      </c>
      <c r="G1035" s="4" t="s">
        <v>32</v>
      </c>
      <c r="H1035" s="4" t="str">
        <f>TRIM(CLEAN(SUBSTITUTE(Table1_1[[#This Row],[Salesperson]],"   "," ")))</f>
        <v>Neha Deshpande</v>
      </c>
      <c r="I1035" s="4" t="s">
        <v>92</v>
      </c>
      <c r="J1035" s="4" t="s">
        <v>83</v>
      </c>
      <c r="K1035" s="4" t="s">
        <v>184</v>
      </c>
      <c r="L1035" s="4" t="s">
        <v>196</v>
      </c>
      <c r="M1035" s="4" t="s">
        <v>23</v>
      </c>
      <c r="N1035" s="4" t="s">
        <v>24</v>
      </c>
      <c r="O1035" s="4">
        <v>10</v>
      </c>
      <c r="P1035" s="7">
        <v>3200</v>
      </c>
      <c r="Q1035" s="8">
        <v>0.18</v>
      </c>
      <c r="R1035" s="7">
        <v>2000</v>
      </c>
      <c r="S1035" s="7">
        <f>Table1_1[[#This Row],[Units Sold]]*Table1_1[[#This Row],[Unit Price]]*(1-Table1_1[[#This Row],[Discount %]])</f>
        <v>26240.000000000004</v>
      </c>
      <c r="T1035" s="7">
        <f>Table1_1[[#This Row],[Units Sold]]*Table1_1[[#This Row],[Unit Cost]]</f>
        <v>20000</v>
      </c>
      <c r="U1035" s="7">
        <f>Table1_1[[#This Row],[Calculated sales]]-Table1_1[[#This Row],[Total cost]]</f>
        <v>6240.0000000000036</v>
      </c>
      <c r="V1035" s="4">
        <f>IFERROR(Table1_1[[#This Row],[Profit/Loss]]/Table1_1[[#This Row],[Calculated sales]],0)</f>
        <v>0.23780487804878059</v>
      </c>
    </row>
    <row r="1036" spans="1:22" x14ac:dyDescent="0.25">
      <c r="A1036" s="4" t="s">
        <v>1185</v>
      </c>
      <c r="B1036" s="5">
        <v>45821</v>
      </c>
      <c r="C1036" s="4">
        <f>YEAR(Table1_1[[#This Row],[Order Dates]])</f>
        <v>2025</v>
      </c>
      <c r="D1036" s="6">
        <f>MONTH(Table1_1[[#This Row],[Order Dates]])</f>
        <v>6</v>
      </c>
      <c r="E1036" s="4" t="s">
        <v>16</v>
      </c>
      <c r="F1036" s="4" t="s">
        <v>191</v>
      </c>
      <c r="G1036" s="4" t="s">
        <v>26</v>
      </c>
      <c r="H1036" s="4" t="str">
        <f>TRIM(CLEAN(SUBSTITUTE(Table1_1[[#This Row],[Salesperson]],"   "," ")))</f>
        <v>Prateek Shah</v>
      </c>
      <c r="I1036" s="4" t="s">
        <v>19</v>
      </c>
      <c r="J1036" s="4" t="s">
        <v>46</v>
      </c>
      <c r="K1036" s="4" t="s">
        <v>100</v>
      </c>
      <c r="L1036" s="4" t="s">
        <v>177</v>
      </c>
      <c r="M1036" s="4" t="s">
        <v>49</v>
      </c>
      <c r="N1036" s="4" t="s">
        <v>24</v>
      </c>
      <c r="O1036" s="4">
        <v>24</v>
      </c>
      <c r="P1036" s="7">
        <v>2510</v>
      </c>
      <c r="Q1036" s="8">
        <v>0.1</v>
      </c>
      <c r="R1036" s="7">
        <v>1630</v>
      </c>
      <c r="S1036" s="7">
        <f>Table1_1[[#This Row],[Units Sold]]*Table1_1[[#This Row],[Unit Price]]*(1-Table1_1[[#This Row],[Discount %]])</f>
        <v>54216</v>
      </c>
      <c r="T1036" s="7">
        <f>Table1_1[[#This Row],[Units Sold]]*Table1_1[[#This Row],[Unit Cost]]</f>
        <v>39120</v>
      </c>
      <c r="U1036" s="7">
        <f>Table1_1[[#This Row],[Calculated sales]]-Table1_1[[#This Row],[Total cost]]</f>
        <v>15096</v>
      </c>
      <c r="V1036" s="4">
        <f>IFERROR(Table1_1[[#This Row],[Profit/Loss]]/Table1_1[[#This Row],[Calculated sales]],0)</f>
        <v>0.27844178840194778</v>
      </c>
    </row>
    <row r="1037" spans="1:22" x14ac:dyDescent="0.25">
      <c r="A1037" s="4" t="s">
        <v>1186</v>
      </c>
      <c r="B1037" s="5">
        <v>45821</v>
      </c>
      <c r="C1037" s="4">
        <f>YEAR(Table1_1[[#This Row],[Order Dates]])</f>
        <v>2025</v>
      </c>
      <c r="D1037" s="6">
        <f>MONTH(Table1_1[[#This Row],[Order Dates]])</f>
        <v>6</v>
      </c>
      <c r="E1037" s="4" t="s">
        <v>42</v>
      </c>
      <c r="F1037" s="4" t="s">
        <v>265</v>
      </c>
      <c r="G1037" s="4" t="s">
        <v>64</v>
      </c>
      <c r="H1037" s="4" t="str">
        <f>TRIM(CLEAN(SUBSTITUTE(Table1_1[[#This Row],[Salesperson]],"   "," ")))</f>
        <v>Aditya Verma</v>
      </c>
      <c r="I1037" s="4" t="s">
        <v>19</v>
      </c>
      <c r="J1037" s="4" t="s">
        <v>20</v>
      </c>
      <c r="K1037" s="4" t="s">
        <v>109</v>
      </c>
      <c r="L1037" s="4" t="s">
        <v>1675</v>
      </c>
      <c r="M1037" s="4" t="s">
        <v>23</v>
      </c>
      <c r="N1037" s="4" t="s">
        <v>24</v>
      </c>
      <c r="O1037" s="4">
        <v>4</v>
      </c>
      <c r="P1037" s="7">
        <v>67240</v>
      </c>
      <c r="Q1037" s="8">
        <v>0</v>
      </c>
      <c r="R1037" s="7">
        <v>42840</v>
      </c>
      <c r="S1037" s="7">
        <f>Table1_1[[#This Row],[Units Sold]]*Table1_1[[#This Row],[Unit Price]]*(1-Table1_1[[#This Row],[Discount %]])</f>
        <v>268960</v>
      </c>
      <c r="T1037" s="7">
        <f>Table1_1[[#This Row],[Units Sold]]*Table1_1[[#This Row],[Unit Cost]]</f>
        <v>171360</v>
      </c>
      <c r="U1037" s="7">
        <f>Table1_1[[#This Row],[Calculated sales]]-Table1_1[[#This Row],[Total cost]]</f>
        <v>97600</v>
      </c>
      <c r="V1037" s="4">
        <f>IFERROR(Table1_1[[#This Row],[Profit/Loss]]/Table1_1[[#This Row],[Calculated sales]],0)</f>
        <v>0.36287923854848303</v>
      </c>
    </row>
    <row r="1038" spans="1:22" x14ac:dyDescent="0.25">
      <c r="A1038" s="4" t="s">
        <v>1187</v>
      </c>
      <c r="B1038" s="5">
        <v>45821</v>
      </c>
      <c r="C1038" s="4">
        <f>YEAR(Table1_1[[#This Row],[Order Dates]])</f>
        <v>2025</v>
      </c>
      <c r="D1038" s="6">
        <f>MONTH(Table1_1[[#This Row],[Order Dates]])</f>
        <v>6</v>
      </c>
      <c r="E1038" s="4" t="s">
        <v>56</v>
      </c>
      <c r="F1038" s="4" t="s">
        <v>103</v>
      </c>
      <c r="G1038" s="4" t="s">
        <v>58</v>
      </c>
      <c r="H1038" s="4" t="str">
        <f>TRIM(CLEAN(SUBSTITUTE(Table1_1[[#This Row],[Salesperson]],"   "," ")))</f>
        <v>Karthik Raman</v>
      </c>
      <c r="I1038" s="4" t="s">
        <v>19</v>
      </c>
      <c r="J1038" s="4" t="s">
        <v>20</v>
      </c>
      <c r="K1038" s="4" t="s">
        <v>109</v>
      </c>
      <c r="L1038" s="4" t="s">
        <v>1675</v>
      </c>
      <c r="M1038" s="4" t="s">
        <v>49</v>
      </c>
      <c r="N1038" s="4" t="s">
        <v>24</v>
      </c>
      <c r="O1038" s="4">
        <v>3</v>
      </c>
      <c r="P1038" s="7">
        <v>69960</v>
      </c>
      <c r="Q1038" s="8">
        <v>0.1</v>
      </c>
      <c r="R1038" s="7">
        <v>47220</v>
      </c>
      <c r="S1038" s="7">
        <f>Table1_1[[#This Row],[Units Sold]]*Table1_1[[#This Row],[Unit Price]]*(1-Table1_1[[#This Row],[Discount %]])</f>
        <v>188892</v>
      </c>
      <c r="T1038" s="7">
        <f>Table1_1[[#This Row],[Units Sold]]*Table1_1[[#This Row],[Unit Cost]]</f>
        <v>141660</v>
      </c>
      <c r="U1038" s="7">
        <f>Table1_1[[#This Row],[Calculated sales]]-Table1_1[[#This Row],[Total cost]]</f>
        <v>47232</v>
      </c>
      <c r="V1038" s="4">
        <f>IFERROR(Table1_1[[#This Row],[Profit/Loss]]/Table1_1[[#This Row],[Calculated sales]],0)</f>
        <v>0.25004764627406134</v>
      </c>
    </row>
    <row r="1039" spans="1:22" x14ac:dyDescent="0.25">
      <c r="A1039" s="4" t="s">
        <v>1188</v>
      </c>
      <c r="B1039" s="5">
        <v>45821</v>
      </c>
      <c r="C1039" s="4">
        <f>YEAR(Table1_1[[#This Row],[Order Dates]])</f>
        <v>2025</v>
      </c>
      <c r="D1039" s="6">
        <f>MONTH(Table1_1[[#This Row],[Order Dates]])</f>
        <v>6</v>
      </c>
      <c r="E1039" s="4" t="s">
        <v>56</v>
      </c>
      <c r="F1039" s="4" t="s">
        <v>127</v>
      </c>
      <c r="G1039" s="4" t="s">
        <v>58</v>
      </c>
      <c r="H1039" s="4" t="str">
        <f>TRIM(CLEAN(SUBSTITUTE(Table1_1[[#This Row],[Salesperson]],"   "," ")))</f>
        <v>Karthik Raman</v>
      </c>
      <c r="I1039" s="4" t="s">
        <v>92</v>
      </c>
      <c r="J1039" s="4" t="s">
        <v>27</v>
      </c>
      <c r="K1039" s="4" t="s">
        <v>214</v>
      </c>
      <c r="L1039" s="4" t="s">
        <v>1681</v>
      </c>
      <c r="M1039" s="4" t="s">
        <v>23</v>
      </c>
      <c r="N1039" s="4" t="s">
        <v>94</v>
      </c>
      <c r="O1039" s="4">
        <v>8</v>
      </c>
      <c r="P1039" s="7">
        <v>13480</v>
      </c>
      <c r="Q1039" s="8">
        <v>0.05</v>
      </c>
      <c r="R1039" s="7">
        <v>7730</v>
      </c>
      <c r="S1039" s="7">
        <f>Table1_1[[#This Row],[Units Sold]]*Table1_1[[#This Row],[Unit Price]]*(1-Table1_1[[#This Row],[Discount %]])</f>
        <v>102448</v>
      </c>
      <c r="T1039" s="7">
        <f>Table1_1[[#This Row],[Units Sold]]*Table1_1[[#This Row],[Unit Cost]]</f>
        <v>61840</v>
      </c>
      <c r="U1039" s="7">
        <f>Table1_1[[#This Row],[Calculated sales]]-Table1_1[[#This Row],[Total cost]]</f>
        <v>40608</v>
      </c>
      <c r="V1039" s="4">
        <f>IFERROR(Table1_1[[#This Row],[Profit/Loss]]/Table1_1[[#This Row],[Calculated sales]],0)</f>
        <v>0.39637669842261442</v>
      </c>
    </row>
    <row r="1040" spans="1:22" x14ac:dyDescent="0.25">
      <c r="A1040" s="4" t="s">
        <v>1189</v>
      </c>
      <c r="B1040" s="5">
        <v>45821</v>
      </c>
      <c r="C1040" s="4">
        <f>YEAR(Table1_1[[#This Row],[Order Dates]])</f>
        <v>2025</v>
      </c>
      <c r="D1040" s="6">
        <f>MONTH(Table1_1[[#This Row],[Order Dates]])</f>
        <v>6</v>
      </c>
      <c r="E1040" s="4" t="s">
        <v>16</v>
      </c>
      <c r="F1040" s="4" t="s">
        <v>82</v>
      </c>
      <c r="G1040" s="4" t="s">
        <v>26</v>
      </c>
      <c r="H1040" s="4" t="str">
        <f>TRIM(CLEAN(SUBSTITUTE(Table1_1[[#This Row],[Salesperson]],"   "," ")))</f>
        <v>Prateek Shah</v>
      </c>
      <c r="I1040" s="4" t="s">
        <v>52</v>
      </c>
      <c r="J1040" s="4" t="s">
        <v>20</v>
      </c>
      <c r="K1040" s="4" t="s">
        <v>21</v>
      </c>
      <c r="L1040" s="4" t="s">
        <v>1670</v>
      </c>
      <c r="M1040" s="4" t="s">
        <v>23</v>
      </c>
      <c r="N1040" s="4" t="s">
        <v>24</v>
      </c>
      <c r="O1040" s="4">
        <v>11</v>
      </c>
      <c r="P1040" s="7">
        <v>9040</v>
      </c>
      <c r="Q1040" s="8">
        <v>0.1</v>
      </c>
      <c r="R1040" s="7">
        <v>7020</v>
      </c>
      <c r="S1040" s="7">
        <f>Table1_1[[#This Row],[Units Sold]]*Table1_1[[#This Row],[Unit Price]]*(1-Table1_1[[#This Row],[Discount %]])</f>
        <v>89496</v>
      </c>
      <c r="T1040" s="7">
        <f>Table1_1[[#This Row],[Units Sold]]*Table1_1[[#This Row],[Unit Cost]]</f>
        <v>77220</v>
      </c>
      <c r="U1040" s="7">
        <f>Table1_1[[#This Row],[Calculated sales]]-Table1_1[[#This Row],[Total cost]]</f>
        <v>12276</v>
      </c>
      <c r="V1040" s="4">
        <f>IFERROR(Table1_1[[#This Row],[Profit/Loss]]/Table1_1[[#This Row],[Calculated sales]],0)</f>
        <v>0.13716814159292035</v>
      </c>
    </row>
    <row r="1041" spans="1:22" x14ac:dyDescent="0.25">
      <c r="A1041" s="4" t="s">
        <v>1190</v>
      </c>
      <c r="B1041" s="5">
        <v>45822</v>
      </c>
      <c r="C1041" s="4">
        <f>YEAR(Table1_1[[#This Row],[Order Dates]])</f>
        <v>2025</v>
      </c>
      <c r="D1041" s="6">
        <f>MONTH(Table1_1[[#This Row],[Order Dates]])</f>
        <v>6</v>
      </c>
      <c r="E1041" s="4" t="s">
        <v>56</v>
      </c>
      <c r="F1041" s="4" t="s">
        <v>103</v>
      </c>
      <c r="G1041" s="4" t="s">
        <v>134</v>
      </c>
      <c r="H1041" s="4" t="str">
        <f>TRIM(CLEAN(SUBSTITUTE(Table1_1[[#This Row],[Salesperson]],"   "," ")))</f>
        <v>Divya Nair</v>
      </c>
      <c r="I1041" s="4" t="s">
        <v>19</v>
      </c>
      <c r="J1041" s="4" t="s">
        <v>59</v>
      </c>
      <c r="K1041" s="4" t="s">
        <v>60</v>
      </c>
      <c r="L1041" s="4" t="s">
        <v>61</v>
      </c>
      <c r="M1041" s="4" t="s">
        <v>23</v>
      </c>
      <c r="N1041" s="4" t="s">
        <v>24</v>
      </c>
      <c r="O1041" s="4">
        <v>1</v>
      </c>
      <c r="P1041" s="7">
        <v>24870</v>
      </c>
      <c r="Q1041" s="8">
        <v>0.08</v>
      </c>
      <c r="R1041" s="7">
        <v>17880</v>
      </c>
      <c r="S1041" s="7">
        <f>Table1_1[[#This Row],[Units Sold]]*Table1_1[[#This Row],[Unit Price]]*(1-Table1_1[[#This Row],[Discount %]])</f>
        <v>22880.400000000001</v>
      </c>
      <c r="T1041" s="7">
        <f>Table1_1[[#This Row],[Units Sold]]*Table1_1[[#This Row],[Unit Cost]]</f>
        <v>17880</v>
      </c>
      <c r="U1041" s="7">
        <f>Table1_1[[#This Row],[Calculated sales]]-Table1_1[[#This Row],[Total cost]]</f>
        <v>5000.4000000000015</v>
      </c>
      <c r="V1041" s="4">
        <f>IFERROR(Table1_1[[#This Row],[Profit/Loss]]/Table1_1[[#This Row],[Calculated sales]],0)</f>
        <v>0.2185451303298894</v>
      </c>
    </row>
    <row r="1042" spans="1:22" x14ac:dyDescent="0.25">
      <c r="A1042" s="4" t="s">
        <v>1191</v>
      </c>
      <c r="B1042" s="5">
        <v>45823</v>
      </c>
      <c r="C1042" s="4">
        <f>YEAR(Table1_1[[#This Row],[Order Dates]])</f>
        <v>2025</v>
      </c>
      <c r="D1042" s="6">
        <f>MONTH(Table1_1[[#This Row],[Order Dates]])</f>
        <v>6</v>
      </c>
      <c r="E1042" s="4" t="s">
        <v>42</v>
      </c>
      <c r="F1042" s="4" t="s">
        <v>265</v>
      </c>
      <c r="G1042" s="4" t="s">
        <v>97</v>
      </c>
      <c r="H1042" s="4" t="str">
        <f>TRIM(CLEAN(SUBSTITUTE(Table1_1[[#This Row],[Salesperson]],"   "," ")))</f>
        <v>Rohit Malhotra</v>
      </c>
      <c r="I1042" s="4" t="s">
        <v>19</v>
      </c>
      <c r="J1042" s="4" t="s">
        <v>20</v>
      </c>
      <c r="K1042" s="4" t="s">
        <v>21</v>
      </c>
      <c r="L1042" s="4" t="s">
        <v>1667</v>
      </c>
      <c r="M1042" s="4" t="s">
        <v>23</v>
      </c>
      <c r="N1042" s="4" t="s">
        <v>94</v>
      </c>
      <c r="O1042" s="4">
        <v>20</v>
      </c>
      <c r="P1042" s="7">
        <v>1750</v>
      </c>
      <c r="Q1042" s="8">
        <v>0</v>
      </c>
      <c r="R1042" s="7">
        <v>1250</v>
      </c>
      <c r="S1042" s="7">
        <f>Table1_1[[#This Row],[Units Sold]]*Table1_1[[#This Row],[Unit Price]]*(1-Table1_1[[#This Row],[Discount %]])</f>
        <v>35000</v>
      </c>
      <c r="T1042" s="7">
        <f>Table1_1[[#This Row],[Units Sold]]*Table1_1[[#This Row],[Unit Cost]]</f>
        <v>25000</v>
      </c>
      <c r="U1042" s="7">
        <f>Table1_1[[#This Row],[Calculated sales]]-Table1_1[[#This Row],[Total cost]]</f>
        <v>10000</v>
      </c>
      <c r="V1042" s="4">
        <f>IFERROR(Table1_1[[#This Row],[Profit/Loss]]/Table1_1[[#This Row],[Calculated sales]],0)</f>
        <v>0.2857142857142857</v>
      </c>
    </row>
    <row r="1043" spans="1:22" x14ac:dyDescent="0.25">
      <c r="A1043" s="4" t="s">
        <v>1192</v>
      </c>
      <c r="B1043" s="5">
        <v>45824</v>
      </c>
      <c r="C1043" s="4">
        <f>YEAR(Table1_1[[#This Row],[Order Dates]])</f>
        <v>2025</v>
      </c>
      <c r="D1043" s="6">
        <f>MONTH(Table1_1[[#This Row],[Order Dates]])</f>
        <v>6</v>
      </c>
      <c r="E1043" s="4" t="s">
        <v>16</v>
      </c>
      <c r="F1043" s="4" t="s">
        <v>17</v>
      </c>
      <c r="G1043" s="4" t="s">
        <v>18</v>
      </c>
      <c r="H1043" s="4" t="str">
        <f>TRIM(CLEAN(SUBSTITUTE(Table1_1[[#This Row],[Salesperson]],"   "," ")))</f>
        <v>Imran Sheikh</v>
      </c>
      <c r="I1043" s="4" t="s">
        <v>52</v>
      </c>
      <c r="J1043" s="4" t="s">
        <v>27</v>
      </c>
      <c r="K1043" s="4" t="s">
        <v>28</v>
      </c>
      <c r="L1043" s="4" t="s">
        <v>1668</v>
      </c>
      <c r="M1043" s="4" t="s">
        <v>23</v>
      </c>
      <c r="N1043" s="4" t="s">
        <v>119</v>
      </c>
      <c r="O1043" s="4">
        <v>8</v>
      </c>
      <c r="P1043" s="7">
        <v>28210</v>
      </c>
      <c r="Q1043" s="8">
        <v>0</v>
      </c>
      <c r="R1043" s="7">
        <v>19800</v>
      </c>
      <c r="S1043" s="7">
        <f>Table1_1[[#This Row],[Units Sold]]*Table1_1[[#This Row],[Unit Price]]*(1-Table1_1[[#This Row],[Discount %]])</f>
        <v>225680</v>
      </c>
      <c r="T1043" s="7">
        <f>Table1_1[[#This Row],[Units Sold]]*Table1_1[[#This Row],[Unit Cost]]</f>
        <v>158400</v>
      </c>
      <c r="U1043" s="7">
        <f>Table1_1[[#This Row],[Calculated sales]]-Table1_1[[#This Row],[Total cost]]</f>
        <v>67280</v>
      </c>
      <c r="V1043" s="4">
        <f>IFERROR(Table1_1[[#This Row],[Profit/Loss]]/Table1_1[[#This Row],[Calculated sales]],0)</f>
        <v>0.29812123360510456</v>
      </c>
    </row>
    <row r="1044" spans="1:22" x14ac:dyDescent="0.25">
      <c r="A1044" s="4" t="s">
        <v>1193</v>
      </c>
      <c r="B1044" s="5">
        <v>45824</v>
      </c>
      <c r="C1044" s="4">
        <f>YEAR(Table1_1[[#This Row],[Order Dates]])</f>
        <v>2025</v>
      </c>
      <c r="D1044" s="6">
        <f>MONTH(Table1_1[[#This Row],[Order Dates]])</f>
        <v>6</v>
      </c>
      <c r="E1044" s="4" t="s">
        <v>37</v>
      </c>
      <c r="F1044" s="4" t="s">
        <v>38</v>
      </c>
      <c r="G1044" s="4" t="s">
        <v>68</v>
      </c>
      <c r="H1044" s="4" t="str">
        <f>TRIM(CLEAN(SUBSTITUTE(Table1_1[[#This Row],[Salesperson]],"   "," ")))</f>
        <v>Ritika Ghosh</v>
      </c>
      <c r="I1044" s="4" t="s">
        <v>92</v>
      </c>
      <c r="J1044" s="4" t="s">
        <v>20</v>
      </c>
      <c r="K1044" s="4" t="s">
        <v>109</v>
      </c>
      <c r="L1044" s="4" t="s">
        <v>1675</v>
      </c>
      <c r="M1044" s="4" t="s">
        <v>23</v>
      </c>
      <c r="N1044" s="4" t="s">
        <v>24</v>
      </c>
      <c r="O1044" s="4">
        <v>2</v>
      </c>
      <c r="P1044" s="7">
        <v>73180</v>
      </c>
      <c r="Q1044" s="8">
        <v>0.05</v>
      </c>
      <c r="R1044" s="7">
        <v>57210</v>
      </c>
      <c r="S1044" s="7">
        <f>Table1_1[[#This Row],[Units Sold]]*Table1_1[[#This Row],[Unit Price]]*(1-Table1_1[[#This Row],[Discount %]])</f>
        <v>139042</v>
      </c>
      <c r="T1044" s="7">
        <f>Table1_1[[#This Row],[Units Sold]]*Table1_1[[#This Row],[Unit Cost]]</f>
        <v>114420</v>
      </c>
      <c r="U1044" s="7">
        <f>Table1_1[[#This Row],[Calculated sales]]-Table1_1[[#This Row],[Total cost]]</f>
        <v>24622</v>
      </c>
      <c r="V1044" s="4">
        <f>IFERROR(Table1_1[[#This Row],[Profit/Loss]]/Table1_1[[#This Row],[Calculated sales]],0)</f>
        <v>0.17708318349851124</v>
      </c>
    </row>
    <row r="1045" spans="1:22" x14ac:dyDescent="0.25">
      <c r="A1045" s="4" t="s">
        <v>1194</v>
      </c>
      <c r="B1045" s="5">
        <v>45826</v>
      </c>
      <c r="C1045" s="4">
        <f>YEAR(Table1_1[[#This Row],[Order Dates]])</f>
        <v>2025</v>
      </c>
      <c r="D1045" s="6">
        <f>MONTH(Table1_1[[#This Row],[Order Dates]])</f>
        <v>6</v>
      </c>
      <c r="E1045" s="4" t="s">
        <v>76</v>
      </c>
      <c r="F1045" s="4" t="s">
        <v>112</v>
      </c>
      <c r="G1045" s="4" t="s">
        <v>170</v>
      </c>
      <c r="H1045" s="4" t="str">
        <f>TRIM(CLEAN(SUBSTITUTE(Table1_1[[#This Row],[Salesperson]],"   "," ")))</f>
        <v>Manish Tiwari</v>
      </c>
      <c r="I1045" s="4" t="s">
        <v>92</v>
      </c>
      <c r="J1045" s="4" t="s">
        <v>46</v>
      </c>
      <c r="K1045" s="4" t="s">
        <v>100</v>
      </c>
      <c r="L1045" s="4" t="s">
        <v>177</v>
      </c>
      <c r="M1045" s="4" t="s">
        <v>23</v>
      </c>
      <c r="N1045" s="4" t="s">
        <v>35</v>
      </c>
      <c r="O1045" s="4">
        <v>66</v>
      </c>
      <c r="P1045" s="7">
        <v>2530</v>
      </c>
      <c r="Q1045" s="8">
        <v>0.1</v>
      </c>
      <c r="R1045" s="7">
        <v>1970</v>
      </c>
      <c r="S1045" s="7">
        <f>Table1_1[[#This Row],[Units Sold]]*Table1_1[[#This Row],[Unit Price]]*(1-Table1_1[[#This Row],[Discount %]])</f>
        <v>150282</v>
      </c>
      <c r="T1045" s="7">
        <f>Table1_1[[#This Row],[Units Sold]]*Table1_1[[#This Row],[Unit Cost]]</f>
        <v>130020</v>
      </c>
      <c r="U1045" s="7">
        <f>Table1_1[[#This Row],[Calculated sales]]-Table1_1[[#This Row],[Total cost]]</f>
        <v>20262</v>
      </c>
      <c r="V1045" s="4">
        <f>IFERROR(Table1_1[[#This Row],[Profit/Loss]]/Table1_1[[#This Row],[Calculated sales]],0)</f>
        <v>0.13482652613087395</v>
      </c>
    </row>
    <row r="1046" spans="1:22" x14ac:dyDescent="0.25">
      <c r="A1046" s="4" t="s">
        <v>1195</v>
      </c>
      <c r="B1046" s="5">
        <v>45827</v>
      </c>
      <c r="C1046" s="4">
        <f>YEAR(Table1_1[[#This Row],[Order Dates]])</f>
        <v>2025</v>
      </c>
      <c r="D1046" s="6">
        <f>MONTH(Table1_1[[#This Row],[Order Dates]])</f>
        <v>6</v>
      </c>
      <c r="E1046" s="4" t="s">
        <v>16</v>
      </c>
      <c r="F1046" s="4" t="s">
        <v>31</v>
      </c>
      <c r="G1046" s="4" t="s">
        <v>32</v>
      </c>
      <c r="H1046" s="4" t="str">
        <f>TRIM(CLEAN(SUBSTITUTE(Table1_1[[#This Row],[Salesperson]],"   "," ")))</f>
        <v>Neha Deshpande</v>
      </c>
      <c r="I1046" s="4" t="s">
        <v>92</v>
      </c>
      <c r="J1046" s="4" t="s">
        <v>46</v>
      </c>
      <c r="K1046" s="4" t="s">
        <v>179</v>
      </c>
      <c r="L1046" s="4" t="s">
        <v>221</v>
      </c>
      <c r="M1046" s="4" t="s">
        <v>23</v>
      </c>
      <c r="N1046" s="4" t="s">
        <v>35</v>
      </c>
      <c r="O1046" s="4">
        <v>61</v>
      </c>
      <c r="P1046" s="7">
        <v>1580</v>
      </c>
      <c r="Q1046" s="8">
        <v>0</v>
      </c>
      <c r="R1046" s="7">
        <v>970</v>
      </c>
      <c r="S1046" s="7">
        <f>Table1_1[[#This Row],[Units Sold]]*Table1_1[[#This Row],[Unit Price]]*(1-Table1_1[[#This Row],[Discount %]])</f>
        <v>96380</v>
      </c>
      <c r="T1046" s="7">
        <f>Table1_1[[#This Row],[Units Sold]]*Table1_1[[#This Row],[Unit Cost]]</f>
        <v>59170</v>
      </c>
      <c r="U1046" s="7">
        <f>Table1_1[[#This Row],[Calculated sales]]-Table1_1[[#This Row],[Total cost]]</f>
        <v>37210</v>
      </c>
      <c r="V1046" s="4">
        <f>IFERROR(Table1_1[[#This Row],[Profit/Loss]]/Table1_1[[#This Row],[Calculated sales]],0)</f>
        <v>0.38607594936708861</v>
      </c>
    </row>
    <row r="1047" spans="1:22" x14ac:dyDescent="0.25">
      <c r="A1047" s="4" t="s">
        <v>1196</v>
      </c>
      <c r="B1047" s="5">
        <v>45827</v>
      </c>
      <c r="C1047" s="4">
        <f>YEAR(Table1_1[[#This Row],[Order Dates]])</f>
        <v>2025</v>
      </c>
      <c r="D1047" s="6">
        <f>MONTH(Table1_1[[#This Row],[Order Dates]])</f>
        <v>6</v>
      </c>
      <c r="E1047" s="4" t="s">
        <v>37</v>
      </c>
      <c r="F1047" s="4" t="s">
        <v>38</v>
      </c>
      <c r="G1047" s="4" t="s">
        <v>68</v>
      </c>
      <c r="H1047" s="4" t="str">
        <f>TRIM(CLEAN(SUBSTITUTE(Table1_1[[#This Row],[Salesperson]],"   "," ")))</f>
        <v>Ritika Ghosh</v>
      </c>
      <c r="I1047" s="4" t="s">
        <v>19</v>
      </c>
      <c r="J1047" s="4" t="s">
        <v>59</v>
      </c>
      <c r="K1047" s="4" t="s">
        <v>154</v>
      </c>
      <c r="L1047" s="4" t="s">
        <v>249</v>
      </c>
      <c r="M1047" s="4" t="s">
        <v>23</v>
      </c>
      <c r="N1047" s="4" t="s">
        <v>24</v>
      </c>
      <c r="O1047" s="4">
        <v>11</v>
      </c>
      <c r="P1047" s="7">
        <v>6990</v>
      </c>
      <c r="Q1047" s="8">
        <v>0.1</v>
      </c>
      <c r="R1047" s="7">
        <v>5360</v>
      </c>
      <c r="S1047" s="7">
        <f>Table1_1[[#This Row],[Units Sold]]*Table1_1[[#This Row],[Unit Price]]*(1-Table1_1[[#This Row],[Discount %]])</f>
        <v>69201</v>
      </c>
      <c r="T1047" s="7">
        <f>Table1_1[[#This Row],[Units Sold]]*Table1_1[[#This Row],[Unit Cost]]</f>
        <v>58960</v>
      </c>
      <c r="U1047" s="7">
        <f>Table1_1[[#This Row],[Calculated sales]]-Table1_1[[#This Row],[Total cost]]</f>
        <v>10241</v>
      </c>
      <c r="V1047" s="4">
        <f>IFERROR(Table1_1[[#This Row],[Profit/Loss]]/Table1_1[[#This Row],[Calculated sales]],0)</f>
        <v>0.14798919090764584</v>
      </c>
    </row>
    <row r="1048" spans="1:22" x14ac:dyDescent="0.25">
      <c r="A1048" s="4" t="s">
        <v>1197</v>
      </c>
      <c r="B1048" s="5">
        <v>45827</v>
      </c>
      <c r="C1048" s="4">
        <f>YEAR(Table1_1[[#This Row],[Order Dates]])</f>
        <v>2025</v>
      </c>
      <c r="D1048" s="6">
        <f>MONTH(Table1_1[[#This Row],[Order Dates]])</f>
        <v>6</v>
      </c>
      <c r="E1048" s="4" t="s">
        <v>56</v>
      </c>
      <c r="F1048" s="4" t="s">
        <v>72</v>
      </c>
      <c r="G1048" s="4" t="s">
        <v>58</v>
      </c>
      <c r="H1048" s="4" t="str">
        <f>TRIM(CLEAN(SUBSTITUTE(Table1_1[[#This Row],[Salesperson]],"   "," ")))</f>
        <v>Karthik Raman</v>
      </c>
      <c r="I1048" s="4" t="s">
        <v>52</v>
      </c>
      <c r="J1048" s="4" t="s">
        <v>83</v>
      </c>
      <c r="K1048" s="4" t="s">
        <v>84</v>
      </c>
      <c r="L1048" s="4" t="s">
        <v>292</v>
      </c>
      <c r="M1048" s="4" t="s">
        <v>23</v>
      </c>
      <c r="N1048" s="4" t="s">
        <v>24</v>
      </c>
      <c r="O1048" s="4">
        <v>1</v>
      </c>
      <c r="P1048" s="7">
        <v>42310</v>
      </c>
      <c r="Q1048" s="8">
        <v>0.18</v>
      </c>
      <c r="R1048" s="7">
        <v>26050</v>
      </c>
      <c r="S1048" s="7">
        <f>Table1_1[[#This Row],[Units Sold]]*Table1_1[[#This Row],[Unit Price]]*(1-Table1_1[[#This Row],[Discount %]])</f>
        <v>34694.200000000004</v>
      </c>
      <c r="T1048" s="7">
        <f>Table1_1[[#This Row],[Units Sold]]*Table1_1[[#This Row],[Unit Cost]]</f>
        <v>26050</v>
      </c>
      <c r="U1048" s="7">
        <f>Table1_1[[#This Row],[Calculated sales]]-Table1_1[[#This Row],[Total cost]]</f>
        <v>8644.2000000000044</v>
      </c>
      <c r="V1048" s="4">
        <f>IFERROR(Table1_1[[#This Row],[Profit/Loss]]/Table1_1[[#This Row],[Calculated sales]],0)</f>
        <v>0.2491540372742419</v>
      </c>
    </row>
    <row r="1049" spans="1:22" x14ac:dyDescent="0.25">
      <c r="A1049" s="4" t="s">
        <v>1198</v>
      </c>
      <c r="B1049" s="5">
        <v>45827</v>
      </c>
      <c r="C1049" s="4">
        <f>YEAR(Table1_1[[#This Row],[Order Dates]])</f>
        <v>2025</v>
      </c>
      <c r="D1049" s="6">
        <f>MONTH(Table1_1[[#This Row],[Order Dates]])</f>
        <v>6</v>
      </c>
      <c r="E1049" s="4" t="s">
        <v>42</v>
      </c>
      <c r="F1049" s="4" t="s">
        <v>265</v>
      </c>
      <c r="G1049" s="4" t="s">
        <v>44</v>
      </c>
      <c r="H1049" s="4" t="str">
        <f>TRIM(CLEAN(SUBSTITUTE(Table1_1[[#This Row],[Salesperson]],"   "," ")))</f>
        <v>Simran Kaur</v>
      </c>
      <c r="I1049" s="4" t="s">
        <v>19</v>
      </c>
      <c r="J1049" s="4" t="s">
        <v>20</v>
      </c>
      <c r="K1049" s="4" t="s">
        <v>109</v>
      </c>
      <c r="L1049" s="4" t="s">
        <v>1675</v>
      </c>
      <c r="M1049" s="4" t="s">
        <v>40</v>
      </c>
      <c r="N1049" s="4" t="s">
        <v>35</v>
      </c>
      <c r="O1049" s="4">
        <v>3</v>
      </c>
      <c r="P1049" s="7">
        <v>72720</v>
      </c>
      <c r="Q1049" s="8">
        <v>0.15</v>
      </c>
      <c r="R1049" s="7">
        <v>49340</v>
      </c>
      <c r="S1049" s="7">
        <f>Table1_1[[#This Row],[Units Sold]]*Table1_1[[#This Row],[Unit Price]]*(1-Table1_1[[#This Row],[Discount %]])</f>
        <v>185436</v>
      </c>
      <c r="T1049" s="7">
        <f>Table1_1[[#This Row],[Units Sold]]*Table1_1[[#This Row],[Unit Cost]]</f>
        <v>148020</v>
      </c>
      <c r="U1049" s="7">
        <f>Table1_1[[#This Row],[Calculated sales]]-Table1_1[[#This Row],[Total cost]]</f>
        <v>37416</v>
      </c>
      <c r="V1049" s="4">
        <f>IFERROR(Table1_1[[#This Row],[Profit/Loss]]/Table1_1[[#This Row],[Calculated sales]],0)</f>
        <v>0.20177311848831941</v>
      </c>
    </row>
    <row r="1050" spans="1:22" x14ac:dyDescent="0.25">
      <c r="A1050" s="4" t="s">
        <v>1199</v>
      </c>
      <c r="B1050" s="5">
        <v>45827</v>
      </c>
      <c r="C1050" s="4">
        <f>YEAR(Table1_1[[#This Row],[Order Dates]])</f>
        <v>2025</v>
      </c>
      <c r="D1050" s="6">
        <f>MONTH(Table1_1[[#This Row],[Order Dates]])</f>
        <v>6</v>
      </c>
      <c r="E1050" s="4" t="s">
        <v>56</v>
      </c>
      <c r="F1050" s="4" t="s">
        <v>72</v>
      </c>
      <c r="G1050" s="4" t="s">
        <v>134</v>
      </c>
      <c r="H1050" s="4" t="str">
        <f>TRIM(CLEAN(SUBSTITUTE(Table1_1[[#This Row],[Salesperson]],"   "," ")))</f>
        <v>Divya Nair</v>
      </c>
      <c r="I1050" s="4" t="s">
        <v>19</v>
      </c>
      <c r="J1050" s="4" t="s">
        <v>20</v>
      </c>
      <c r="K1050" s="4" t="s">
        <v>109</v>
      </c>
      <c r="L1050" s="4" t="s">
        <v>171</v>
      </c>
      <c r="M1050" s="4" t="s">
        <v>49</v>
      </c>
      <c r="N1050" s="4" t="s">
        <v>24</v>
      </c>
      <c r="O1050" s="4">
        <v>6</v>
      </c>
      <c r="P1050" s="7">
        <v>22820</v>
      </c>
      <c r="Q1050" s="8">
        <v>0</v>
      </c>
      <c r="R1050" s="7">
        <v>15680</v>
      </c>
      <c r="S1050" s="7">
        <f>Table1_1[[#This Row],[Units Sold]]*Table1_1[[#This Row],[Unit Price]]*(1-Table1_1[[#This Row],[Discount %]])</f>
        <v>136920</v>
      </c>
      <c r="T1050" s="7">
        <f>Table1_1[[#This Row],[Units Sold]]*Table1_1[[#This Row],[Unit Cost]]</f>
        <v>94080</v>
      </c>
      <c r="U1050" s="7">
        <f>Table1_1[[#This Row],[Calculated sales]]-Table1_1[[#This Row],[Total cost]]</f>
        <v>42840</v>
      </c>
      <c r="V1050" s="4">
        <f>IFERROR(Table1_1[[#This Row],[Profit/Loss]]/Table1_1[[#This Row],[Calculated sales]],0)</f>
        <v>0.31288343558282211</v>
      </c>
    </row>
    <row r="1051" spans="1:22" x14ac:dyDescent="0.25">
      <c r="A1051" s="4" t="s">
        <v>1200</v>
      </c>
      <c r="B1051" s="5">
        <v>45828</v>
      </c>
      <c r="C1051" s="4">
        <f>YEAR(Table1_1[[#This Row],[Order Dates]])</f>
        <v>2025</v>
      </c>
      <c r="D1051" s="6">
        <f>MONTH(Table1_1[[#This Row],[Order Dates]])</f>
        <v>6</v>
      </c>
      <c r="E1051" s="4" t="s">
        <v>16</v>
      </c>
      <c r="F1051" s="4" t="s">
        <v>31</v>
      </c>
      <c r="G1051" s="4" t="s">
        <v>26</v>
      </c>
      <c r="H1051" s="4" t="str">
        <f>TRIM(CLEAN(SUBSTITUTE(Table1_1[[#This Row],[Salesperson]],"   "," ")))</f>
        <v>Prateek Shah</v>
      </c>
      <c r="I1051" s="4" t="s">
        <v>19</v>
      </c>
      <c r="J1051" s="4" t="s">
        <v>27</v>
      </c>
      <c r="K1051" s="4" t="s">
        <v>79</v>
      </c>
      <c r="L1051" s="4" t="s">
        <v>168</v>
      </c>
      <c r="M1051" s="4" t="s">
        <v>23</v>
      </c>
      <c r="N1051" s="4" t="s">
        <v>24</v>
      </c>
      <c r="O1051" s="4">
        <v>4</v>
      </c>
      <c r="P1051" s="7">
        <v>9690</v>
      </c>
      <c r="Q1051" s="8">
        <v>0</v>
      </c>
      <c r="R1051" s="7">
        <v>7040</v>
      </c>
      <c r="S1051" s="7">
        <f>Table1_1[[#This Row],[Units Sold]]*Table1_1[[#This Row],[Unit Price]]*(1-Table1_1[[#This Row],[Discount %]])</f>
        <v>38760</v>
      </c>
      <c r="T1051" s="7">
        <f>Table1_1[[#This Row],[Units Sold]]*Table1_1[[#This Row],[Unit Cost]]</f>
        <v>28160</v>
      </c>
      <c r="U1051" s="7">
        <f>Table1_1[[#This Row],[Calculated sales]]-Table1_1[[#This Row],[Total cost]]</f>
        <v>10600</v>
      </c>
      <c r="V1051" s="4">
        <f>IFERROR(Table1_1[[#This Row],[Profit/Loss]]/Table1_1[[#This Row],[Calculated sales]],0)</f>
        <v>0.27347781217750256</v>
      </c>
    </row>
    <row r="1052" spans="1:22" x14ac:dyDescent="0.25">
      <c r="A1052" s="4" t="s">
        <v>1201</v>
      </c>
      <c r="B1052" s="5">
        <v>45828</v>
      </c>
      <c r="C1052" s="4">
        <f>YEAR(Table1_1[[#This Row],[Order Dates]])</f>
        <v>2025</v>
      </c>
      <c r="D1052" s="6">
        <f>MONTH(Table1_1[[#This Row],[Order Dates]])</f>
        <v>6</v>
      </c>
      <c r="E1052" s="4" t="s">
        <v>37</v>
      </c>
      <c r="F1052" s="4" t="s">
        <v>115</v>
      </c>
      <c r="G1052" s="4" t="s">
        <v>39</v>
      </c>
      <c r="H1052" s="4" t="str">
        <f>TRIM(CLEAN(SUBSTITUTE(Table1_1[[#This Row],[Salesperson]],"   "," ")))</f>
        <v>Sourav Das</v>
      </c>
      <c r="I1052" s="4" t="s">
        <v>45</v>
      </c>
      <c r="J1052" s="4" t="s">
        <v>20</v>
      </c>
      <c r="K1052" s="4" t="s">
        <v>33</v>
      </c>
      <c r="L1052" s="4" t="s">
        <v>1678</v>
      </c>
      <c r="M1052" s="4" t="s">
        <v>40</v>
      </c>
      <c r="N1052" s="4" t="s">
        <v>24</v>
      </c>
      <c r="O1052" s="4">
        <v>3</v>
      </c>
      <c r="P1052" s="7">
        <v>106610</v>
      </c>
      <c r="Q1052" s="8">
        <v>0.12</v>
      </c>
      <c r="R1052" s="7">
        <v>70280</v>
      </c>
      <c r="S1052" s="7">
        <f>Table1_1[[#This Row],[Units Sold]]*Table1_1[[#This Row],[Unit Price]]*(1-Table1_1[[#This Row],[Discount %]])</f>
        <v>281450.40000000002</v>
      </c>
      <c r="T1052" s="7">
        <f>Table1_1[[#This Row],[Units Sold]]*Table1_1[[#This Row],[Unit Cost]]</f>
        <v>210840</v>
      </c>
      <c r="U1052" s="7">
        <f>Table1_1[[#This Row],[Calculated sales]]-Table1_1[[#This Row],[Total cost]]</f>
        <v>70610.400000000023</v>
      </c>
      <c r="V1052" s="4">
        <f>IFERROR(Table1_1[[#This Row],[Profit/Loss]]/Table1_1[[#This Row],[Calculated sales]],0)</f>
        <v>0.25088043932430021</v>
      </c>
    </row>
    <row r="1053" spans="1:22" x14ac:dyDescent="0.25">
      <c r="A1053" s="4" t="s">
        <v>1202</v>
      </c>
      <c r="B1053" s="5">
        <v>45828</v>
      </c>
      <c r="C1053" s="4">
        <f>YEAR(Table1_1[[#This Row],[Order Dates]])</f>
        <v>2025</v>
      </c>
      <c r="D1053" s="6">
        <f>MONTH(Table1_1[[#This Row],[Order Dates]])</f>
        <v>6</v>
      </c>
      <c r="E1053" s="4" t="s">
        <v>56</v>
      </c>
      <c r="F1053" s="4" t="s">
        <v>103</v>
      </c>
      <c r="G1053" s="4" t="s">
        <v>91</v>
      </c>
      <c r="H1053" s="4" t="str">
        <f>TRIM(CLEAN(SUBSTITUTE(Table1_1[[#This Row],[Salesperson]],"   "," ")))</f>
        <v>Anjali Menon</v>
      </c>
      <c r="I1053" s="4" t="s">
        <v>45</v>
      </c>
      <c r="J1053" s="4" t="s">
        <v>46</v>
      </c>
      <c r="K1053" s="4" t="s">
        <v>47</v>
      </c>
      <c r="L1053" s="4" t="s">
        <v>48</v>
      </c>
      <c r="M1053" s="4" t="s">
        <v>40</v>
      </c>
      <c r="N1053" s="4" t="s">
        <v>24</v>
      </c>
      <c r="O1053" s="4">
        <v>21</v>
      </c>
      <c r="P1053" s="7">
        <v>1810</v>
      </c>
      <c r="Q1053" s="8">
        <v>0</v>
      </c>
      <c r="R1053" s="7">
        <v>1180</v>
      </c>
      <c r="S1053" s="7">
        <f>Table1_1[[#This Row],[Units Sold]]*Table1_1[[#This Row],[Unit Price]]*(1-Table1_1[[#This Row],[Discount %]])</f>
        <v>38010</v>
      </c>
      <c r="T1053" s="7">
        <f>Table1_1[[#This Row],[Units Sold]]*Table1_1[[#This Row],[Unit Cost]]</f>
        <v>24780</v>
      </c>
      <c r="U1053" s="7">
        <f>Table1_1[[#This Row],[Calculated sales]]-Table1_1[[#This Row],[Total cost]]</f>
        <v>13230</v>
      </c>
      <c r="V1053" s="4">
        <f>IFERROR(Table1_1[[#This Row],[Profit/Loss]]/Table1_1[[#This Row],[Calculated sales]],0)</f>
        <v>0.34806629834254144</v>
      </c>
    </row>
    <row r="1054" spans="1:22" x14ac:dyDescent="0.25">
      <c r="A1054" s="4" t="s">
        <v>1203</v>
      </c>
      <c r="B1054" s="5">
        <v>45828</v>
      </c>
      <c r="C1054" s="4">
        <f>YEAR(Table1_1[[#This Row],[Order Dates]])</f>
        <v>2025</v>
      </c>
      <c r="D1054" s="6">
        <f>MONTH(Table1_1[[#This Row],[Order Dates]])</f>
        <v>6</v>
      </c>
      <c r="E1054" s="4" t="s">
        <v>16</v>
      </c>
      <c r="F1054" s="4" t="s">
        <v>153</v>
      </c>
      <c r="G1054" s="4" t="s">
        <v>32</v>
      </c>
      <c r="H1054" s="4" t="str">
        <f>TRIM(CLEAN(SUBSTITUTE(Table1_1[[#This Row],[Salesperson]],"   "," ")))</f>
        <v>Neha Deshpande</v>
      </c>
      <c r="I1054" s="4" t="s">
        <v>52</v>
      </c>
      <c r="J1054" s="4" t="s">
        <v>46</v>
      </c>
      <c r="K1054" s="4" t="s">
        <v>179</v>
      </c>
      <c r="L1054" s="4" t="s">
        <v>221</v>
      </c>
      <c r="M1054" s="4" t="s">
        <v>23</v>
      </c>
      <c r="N1054" s="4" t="s">
        <v>24</v>
      </c>
      <c r="O1054" s="4">
        <v>38</v>
      </c>
      <c r="P1054" s="7">
        <v>1530</v>
      </c>
      <c r="Q1054" s="8">
        <v>0.12</v>
      </c>
      <c r="R1054" s="7">
        <v>1200</v>
      </c>
      <c r="S1054" s="7">
        <f>Table1_1[[#This Row],[Units Sold]]*Table1_1[[#This Row],[Unit Price]]*(1-Table1_1[[#This Row],[Discount %]])</f>
        <v>51163.199999999997</v>
      </c>
      <c r="T1054" s="7">
        <f>Table1_1[[#This Row],[Units Sold]]*Table1_1[[#This Row],[Unit Cost]]</f>
        <v>45600</v>
      </c>
      <c r="U1054" s="7">
        <f>Table1_1[[#This Row],[Calculated sales]]-Table1_1[[#This Row],[Total cost]]</f>
        <v>5563.1999999999971</v>
      </c>
      <c r="V1054" s="4">
        <f>IFERROR(Table1_1[[#This Row],[Profit/Loss]]/Table1_1[[#This Row],[Calculated sales]],0)</f>
        <v>0.10873440285204986</v>
      </c>
    </row>
    <row r="1055" spans="1:22" x14ac:dyDescent="0.25">
      <c r="A1055" s="4" t="s">
        <v>1204</v>
      </c>
      <c r="B1055" s="5">
        <v>45829</v>
      </c>
      <c r="C1055" s="4">
        <f>YEAR(Table1_1[[#This Row],[Order Dates]])</f>
        <v>2025</v>
      </c>
      <c r="D1055" s="6">
        <f>MONTH(Table1_1[[#This Row],[Order Dates]])</f>
        <v>6</v>
      </c>
      <c r="E1055" s="4" t="s">
        <v>56</v>
      </c>
      <c r="F1055" s="4" t="s">
        <v>143</v>
      </c>
      <c r="G1055" s="4" t="s">
        <v>134</v>
      </c>
      <c r="H1055" s="4" t="str">
        <f>TRIM(CLEAN(SUBSTITUTE(Table1_1[[#This Row],[Salesperson]],"   "," ")))</f>
        <v>Divya Nair</v>
      </c>
      <c r="I1055" s="4" t="s">
        <v>19</v>
      </c>
      <c r="J1055" s="4" t="s">
        <v>20</v>
      </c>
      <c r="K1055" s="4" t="s">
        <v>33</v>
      </c>
      <c r="L1055" s="4" t="s">
        <v>1678</v>
      </c>
      <c r="M1055" s="4" t="s">
        <v>23</v>
      </c>
      <c r="N1055" s="4" t="s">
        <v>24</v>
      </c>
      <c r="O1055" s="4">
        <v>2</v>
      </c>
      <c r="P1055" s="7">
        <v>112900</v>
      </c>
      <c r="Q1055" s="8">
        <v>0</v>
      </c>
      <c r="R1055" s="7">
        <v>72970</v>
      </c>
      <c r="S1055" s="7">
        <f>Table1_1[[#This Row],[Units Sold]]*Table1_1[[#This Row],[Unit Price]]*(1-Table1_1[[#This Row],[Discount %]])</f>
        <v>225800</v>
      </c>
      <c r="T1055" s="7">
        <f>Table1_1[[#This Row],[Units Sold]]*Table1_1[[#This Row],[Unit Cost]]</f>
        <v>145940</v>
      </c>
      <c r="U1055" s="7">
        <f>Table1_1[[#This Row],[Calculated sales]]-Table1_1[[#This Row],[Total cost]]</f>
        <v>79860</v>
      </c>
      <c r="V1055" s="4">
        <f>IFERROR(Table1_1[[#This Row],[Profit/Loss]]/Table1_1[[#This Row],[Calculated sales]],0)</f>
        <v>0.35367581930912312</v>
      </c>
    </row>
    <row r="1056" spans="1:22" x14ac:dyDescent="0.25">
      <c r="A1056" s="4" t="s">
        <v>1205</v>
      </c>
      <c r="B1056" s="5">
        <v>45830</v>
      </c>
      <c r="C1056" s="4">
        <f>YEAR(Table1_1[[#This Row],[Order Dates]])</f>
        <v>2025</v>
      </c>
      <c r="D1056" s="6">
        <f>MONTH(Table1_1[[#This Row],[Order Dates]])</f>
        <v>6</v>
      </c>
      <c r="E1056" s="4" t="s">
        <v>16</v>
      </c>
      <c r="F1056" s="4" t="s">
        <v>17</v>
      </c>
      <c r="G1056" s="4" t="s">
        <v>26</v>
      </c>
      <c r="H1056" s="4" t="str">
        <f>TRIM(CLEAN(SUBSTITUTE(Table1_1[[#This Row],[Salesperson]],"   "," ")))</f>
        <v>Prateek Shah</v>
      </c>
      <c r="I1056" s="4" t="s">
        <v>92</v>
      </c>
      <c r="J1056" s="4" t="s">
        <v>20</v>
      </c>
      <c r="K1056" s="4" t="s">
        <v>109</v>
      </c>
      <c r="L1056" s="4" t="s">
        <v>171</v>
      </c>
      <c r="M1056" s="4" t="s">
        <v>23</v>
      </c>
      <c r="N1056" s="4" t="s">
        <v>94</v>
      </c>
      <c r="O1056" s="4">
        <v>8</v>
      </c>
      <c r="P1056" s="7">
        <v>23220</v>
      </c>
      <c r="Q1056" s="8">
        <v>0.2</v>
      </c>
      <c r="R1056" s="7">
        <v>16920</v>
      </c>
      <c r="S1056" s="7">
        <f>Table1_1[[#This Row],[Units Sold]]*Table1_1[[#This Row],[Unit Price]]*(1-Table1_1[[#This Row],[Discount %]])</f>
        <v>148608</v>
      </c>
      <c r="T1056" s="7">
        <f>Table1_1[[#This Row],[Units Sold]]*Table1_1[[#This Row],[Unit Cost]]</f>
        <v>135360</v>
      </c>
      <c r="U1056" s="7">
        <f>Table1_1[[#This Row],[Calculated sales]]-Table1_1[[#This Row],[Total cost]]</f>
        <v>13248</v>
      </c>
      <c r="V1056" s="4">
        <f>IFERROR(Table1_1[[#This Row],[Profit/Loss]]/Table1_1[[#This Row],[Calculated sales]],0)</f>
        <v>8.9147286821705432E-2</v>
      </c>
    </row>
    <row r="1057" spans="1:22" x14ac:dyDescent="0.25">
      <c r="A1057" s="4" t="s">
        <v>1206</v>
      </c>
      <c r="B1057" s="5">
        <v>45830</v>
      </c>
      <c r="C1057" s="4">
        <f>YEAR(Table1_1[[#This Row],[Order Dates]])</f>
        <v>2025</v>
      </c>
      <c r="D1057" s="6">
        <f>MONTH(Table1_1[[#This Row],[Order Dates]])</f>
        <v>6</v>
      </c>
      <c r="E1057" s="4" t="s">
        <v>56</v>
      </c>
      <c r="F1057" s="4" t="s">
        <v>143</v>
      </c>
      <c r="G1057" s="4" t="s">
        <v>134</v>
      </c>
      <c r="H1057" s="4" t="str">
        <f>TRIM(CLEAN(SUBSTITUTE(Table1_1[[#This Row],[Salesperson]],"   "," ")))</f>
        <v>Divya Nair</v>
      </c>
      <c r="I1057" s="4" t="s">
        <v>19</v>
      </c>
      <c r="J1057" s="4" t="s">
        <v>46</v>
      </c>
      <c r="K1057" s="4" t="s">
        <v>100</v>
      </c>
      <c r="L1057" s="4" t="s">
        <v>101</v>
      </c>
      <c r="M1057" s="4" t="s">
        <v>40</v>
      </c>
      <c r="N1057" s="4" t="s">
        <v>24</v>
      </c>
      <c r="O1057" s="4">
        <v>40</v>
      </c>
      <c r="P1057" s="7">
        <v>1880</v>
      </c>
      <c r="Q1057" s="8">
        <v>0.1</v>
      </c>
      <c r="R1057" s="7">
        <v>1480</v>
      </c>
      <c r="S1057" s="7">
        <f>Table1_1[[#This Row],[Units Sold]]*Table1_1[[#This Row],[Unit Price]]*(1-Table1_1[[#This Row],[Discount %]])</f>
        <v>67680</v>
      </c>
      <c r="T1057" s="7">
        <f>Table1_1[[#This Row],[Units Sold]]*Table1_1[[#This Row],[Unit Cost]]</f>
        <v>59200</v>
      </c>
      <c r="U1057" s="7">
        <f>Table1_1[[#This Row],[Calculated sales]]-Table1_1[[#This Row],[Total cost]]</f>
        <v>8480</v>
      </c>
      <c r="V1057" s="4">
        <f>IFERROR(Table1_1[[#This Row],[Profit/Loss]]/Table1_1[[#This Row],[Calculated sales]],0)</f>
        <v>0.12529550827423167</v>
      </c>
    </row>
    <row r="1058" spans="1:22" x14ac:dyDescent="0.25">
      <c r="A1058" s="4" t="s">
        <v>1207</v>
      </c>
      <c r="B1058" s="5">
        <v>45831</v>
      </c>
      <c r="C1058" s="4">
        <f>YEAR(Table1_1[[#This Row],[Order Dates]])</f>
        <v>2025</v>
      </c>
      <c r="D1058" s="6">
        <f>MONTH(Table1_1[[#This Row],[Order Dates]])</f>
        <v>6</v>
      </c>
      <c r="E1058" s="4" t="s">
        <v>76</v>
      </c>
      <c r="F1058" s="4" t="s">
        <v>150</v>
      </c>
      <c r="G1058" s="4" t="s">
        <v>78</v>
      </c>
      <c r="H1058" s="4" t="str">
        <f>TRIM(CLEAN(SUBSTITUTE(Table1_1[[#This Row],[Salesperson]],"   "," ")))</f>
        <v>Pooja Chouhan</v>
      </c>
      <c r="I1058" s="4" t="s">
        <v>19</v>
      </c>
      <c r="J1058" s="4" t="s">
        <v>46</v>
      </c>
      <c r="K1058" s="4" t="s">
        <v>179</v>
      </c>
      <c r="L1058" s="4" t="s">
        <v>236</v>
      </c>
      <c r="M1058" s="4" t="s">
        <v>49</v>
      </c>
      <c r="N1058" s="4" t="s">
        <v>24</v>
      </c>
      <c r="O1058" s="4">
        <v>40</v>
      </c>
      <c r="P1058" s="7">
        <v>2100</v>
      </c>
      <c r="Q1058" s="8">
        <v>0.1</v>
      </c>
      <c r="R1058" s="7">
        <v>1540</v>
      </c>
      <c r="S1058" s="7">
        <f>Table1_1[[#This Row],[Units Sold]]*Table1_1[[#This Row],[Unit Price]]*(1-Table1_1[[#This Row],[Discount %]])</f>
        <v>75600</v>
      </c>
      <c r="T1058" s="7">
        <f>Table1_1[[#This Row],[Units Sold]]*Table1_1[[#This Row],[Unit Cost]]</f>
        <v>61600</v>
      </c>
      <c r="U1058" s="7">
        <f>Table1_1[[#This Row],[Calculated sales]]-Table1_1[[#This Row],[Total cost]]</f>
        <v>14000</v>
      </c>
      <c r="V1058" s="4">
        <f>IFERROR(Table1_1[[#This Row],[Profit/Loss]]/Table1_1[[#This Row],[Calculated sales]],0)</f>
        <v>0.18518518518518517</v>
      </c>
    </row>
    <row r="1059" spans="1:22" x14ac:dyDescent="0.25">
      <c r="A1059" s="4" t="s">
        <v>1208</v>
      </c>
      <c r="B1059" s="5">
        <v>45831</v>
      </c>
      <c r="C1059" s="4">
        <f>YEAR(Table1_1[[#This Row],[Order Dates]])</f>
        <v>2025</v>
      </c>
      <c r="D1059" s="6">
        <f>MONTH(Table1_1[[#This Row],[Order Dates]])</f>
        <v>6</v>
      </c>
      <c r="E1059" s="4" t="s">
        <v>76</v>
      </c>
      <c r="F1059" s="4" t="s">
        <v>150</v>
      </c>
      <c r="G1059" s="4" t="s">
        <v>170</v>
      </c>
      <c r="H1059" s="4" t="str">
        <f>TRIM(CLEAN(SUBSTITUTE(Table1_1[[#This Row],[Salesperson]],"   "," ")))</f>
        <v>Manish Tiwari</v>
      </c>
      <c r="I1059" s="4" t="s">
        <v>19</v>
      </c>
      <c r="J1059" s="4" t="s">
        <v>83</v>
      </c>
      <c r="K1059" s="4" t="s">
        <v>184</v>
      </c>
      <c r="L1059" s="4" t="s">
        <v>1679</v>
      </c>
      <c r="M1059" s="4" t="s">
        <v>23</v>
      </c>
      <c r="N1059" s="4" t="s">
        <v>24</v>
      </c>
      <c r="O1059" s="4">
        <v>7</v>
      </c>
      <c r="P1059" s="7">
        <v>4810</v>
      </c>
      <c r="Q1059" s="8">
        <v>0.1</v>
      </c>
      <c r="R1059" s="7">
        <v>2940</v>
      </c>
      <c r="S1059" s="7">
        <f>Table1_1[[#This Row],[Units Sold]]*Table1_1[[#This Row],[Unit Price]]*(1-Table1_1[[#This Row],[Discount %]])</f>
        <v>30303</v>
      </c>
      <c r="T1059" s="7">
        <f>Table1_1[[#This Row],[Units Sold]]*Table1_1[[#This Row],[Unit Cost]]</f>
        <v>20580</v>
      </c>
      <c r="U1059" s="7">
        <f>Table1_1[[#This Row],[Calculated sales]]-Table1_1[[#This Row],[Total cost]]</f>
        <v>9723</v>
      </c>
      <c r="V1059" s="4">
        <f>IFERROR(Table1_1[[#This Row],[Profit/Loss]]/Table1_1[[#This Row],[Calculated sales]],0)</f>
        <v>0.32085932085932084</v>
      </c>
    </row>
    <row r="1060" spans="1:22" x14ac:dyDescent="0.25">
      <c r="A1060" s="4" t="s">
        <v>1209</v>
      </c>
      <c r="B1060" s="5">
        <v>45832</v>
      </c>
      <c r="C1060" s="4">
        <f>YEAR(Table1_1[[#This Row],[Order Dates]])</f>
        <v>2025</v>
      </c>
      <c r="D1060" s="6">
        <f>MONTH(Table1_1[[#This Row],[Order Dates]])</f>
        <v>6</v>
      </c>
      <c r="E1060" s="4" t="s">
        <v>37</v>
      </c>
      <c r="F1060" s="4" t="s">
        <v>115</v>
      </c>
      <c r="G1060" s="4" t="s">
        <v>68</v>
      </c>
      <c r="H1060" s="4" t="str">
        <f>TRIM(CLEAN(SUBSTITUTE(Table1_1[[#This Row],[Salesperson]],"   "," ")))</f>
        <v>Ritika Ghosh</v>
      </c>
      <c r="I1060" s="4" t="s">
        <v>52</v>
      </c>
      <c r="J1060" s="4" t="s">
        <v>83</v>
      </c>
      <c r="K1060" s="4" t="s">
        <v>136</v>
      </c>
      <c r="L1060" s="4" t="s">
        <v>137</v>
      </c>
      <c r="M1060" s="4" t="s">
        <v>40</v>
      </c>
      <c r="N1060" s="4" t="s">
        <v>24</v>
      </c>
      <c r="O1060" s="4">
        <v>33</v>
      </c>
      <c r="P1060" s="7">
        <v>1690</v>
      </c>
      <c r="Q1060" s="8">
        <v>0.05</v>
      </c>
      <c r="R1060" s="7">
        <v>1040</v>
      </c>
      <c r="S1060" s="7">
        <f>Table1_1[[#This Row],[Units Sold]]*Table1_1[[#This Row],[Unit Price]]*(1-Table1_1[[#This Row],[Discount %]])</f>
        <v>52981.5</v>
      </c>
      <c r="T1060" s="7">
        <f>Table1_1[[#This Row],[Units Sold]]*Table1_1[[#This Row],[Unit Cost]]</f>
        <v>34320</v>
      </c>
      <c r="U1060" s="7">
        <f>Table1_1[[#This Row],[Calculated sales]]-Table1_1[[#This Row],[Total cost]]</f>
        <v>18661.5</v>
      </c>
      <c r="V1060" s="4">
        <f>IFERROR(Table1_1[[#This Row],[Profit/Loss]]/Table1_1[[#This Row],[Calculated sales]],0)</f>
        <v>0.35222672064777327</v>
      </c>
    </row>
    <row r="1061" spans="1:22" x14ac:dyDescent="0.25">
      <c r="A1061" s="4" t="s">
        <v>1210</v>
      </c>
      <c r="B1061" s="5">
        <v>45833</v>
      </c>
      <c r="C1061" s="4">
        <f>YEAR(Table1_1[[#This Row],[Order Dates]])</f>
        <v>2025</v>
      </c>
      <c r="D1061" s="6">
        <f>MONTH(Table1_1[[#This Row],[Order Dates]])</f>
        <v>6</v>
      </c>
      <c r="E1061" s="4" t="s">
        <v>42</v>
      </c>
      <c r="F1061" s="4" t="s">
        <v>130</v>
      </c>
      <c r="G1061" s="4" t="s">
        <v>64</v>
      </c>
      <c r="H1061" s="4" t="str">
        <f>TRIM(CLEAN(SUBSTITUTE(Table1_1[[#This Row],[Salesperson]],"   "," ")))</f>
        <v>Aditya Verma</v>
      </c>
      <c r="I1061" s="4" t="s">
        <v>92</v>
      </c>
      <c r="J1061" s="4" t="s">
        <v>46</v>
      </c>
      <c r="K1061" s="4" t="s">
        <v>179</v>
      </c>
      <c r="L1061" s="4" t="s">
        <v>221</v>
      </c>
      <c r="M1061" s="4" t="s">
        <v>23</v>
      </c>
      <c r="N1061" s="4" t="s">
        <v>119</v>
      </c>
      <c r="O1061" s="4">
        <v>73</v>
      </c>
      <c r="P1061" s="7">
        <v>1540</v>
      </c>
      <c r="Q1061" s="8">
        <v>0.08</v>
      </c>
      <c r="R1061" s="7">
        <v>1210</v>
      </c>
      <c r="S1061" s="7">
        <f>Table1_1[[#This Row],[Units Sold]]*Table1_1[[#This Row],[Unit Price]]*(1-Table1_1[[#This Row],[Discount %]])</f>
        <v>103426.40000000001</v>
      </c>
      <c r="T1061" s="7">
        <f>Table1_1[[#This Row],[Units Sold]]*Table1_1[[#This Row],[Unit Cost]]</f>
        <v>88330</v>
      </c>
      <c r="U1061" s="7">
        <f>Table1_1[[#This Row],[Calculated sales]]-Table1_1[[#This Row],[Total cost]]</f>
        <v>15096.400000000009</v>
      </c>
      <c r="V1061" s="4">
        <f>IFERROR(Table1_1[[#This Row],[Profit/Loss]]/Table1_1[[#This Row],[Calculated sales]],0)</f>
        <v>0.14596273291925474</v>
      </c>
    </row>
    <row r="1062" spans="1:22" x14ac:dyDescent="0.25">
      <c r="A1062" s="4" t="s">
        <v>1211</v>
      </c>
      <c r="B1062" s="5">
        <v>45834</v>
      </c>
      <c r="C1062" s="4">
        <f>YEAR(Table1_1[[#This Row],[Order Dates]])</f>
        <v>2025</v>
      </c>
      <c r="D1062" s="6">
        <f>MONTH(Table1_1[[#This Row],[Order Dates]])</f>
        <v>6</v>
      </c>
      <c r="E1062" s="4" t="s">
        <v>56</v>
      </c>
      <c r="F1062" s="4" t="s">
        <v>133</v>
      </c>
      <c r="G1062" s="4" t="s">
        <v>134</v>
      </c>
      <c r="H1062" s="4" t="str">
        <f>TRIM(CLEAN(SUBSTITUTE(Table1_1[[#This Row],[Salesperson]],"   "," ")))</f>
        <v>Divya Nair</v>
      </c>
      <c r="I1062" s="4" t="s">
        <v>19</v>
      </c>
      <c r="J1062" s="4" t="s">
        <v>83</v>
      </c>
      <c r="K1062" s="4" t="s">
        <v>136</v>
      </c>
      <c r="L1062" s="4" t="s">
        <v>307</v>
      </c>
      <c r="M1062" s="4" t="s">
        <v>40</v>
      </c>
      <c r="N1062" s="4" t="s">
        <v>24</v>
      </c>
      <c r="O1062" s="4">
        <v>34</v>
      </c>
      <c r="P1062" s="7">
        <v>870</v>
      </c>
      <c r="Q1062" s="8">
        <v>0</v>
      </c>
      <c r="R1062" s="7">
        <v>590</v>
      </c>
      <c r="S1062" s="7">
        <f>Table1_1[[#This Row],[Units Sold]]*Table1_1[[#This Row],[Unit Price]]*(1-Table1_1[[#This Row],[Discount %]])</f>
        <v>29580</v>
      </c>
      <c r="T1062" s="7">
        <f>Table1_1[[#This Row],[Units Sold]]*Table1_1[[#This Row],[Unit Cost]]</f>
        <v>20060</v>
      </c>
      <c r="U1062" s="7">
        <f>Table1_1[[#This Row],[Calculated sales]]-Table1_1[[#This Row],[Total cost]]</f>
        <v>9520</v>
      </c>
      <c r="V1062" s="4">
        <f>IFERROR(Table1_1[[#This Row],[Profit/Loss]]/Table1_1[[#This Row],[Calculated sales]],0)</f>
        <v>0.32183908045977011</v>
      </c>
    </row>
    <row r="1063" spans="1:22" x14ac:dyDescent="0.25">
      <c r="A1063" s="4" t="s">
        <v>1212</v>
      </c>
      <c r="B1063" s="5">
        <v>45835</v>
      </c>
      <c r="C1063" s="4">
        <f>YEAR(Table1_1[[#This Row],[Order Dates]])</f>
        <v>2025</v>
      </c>
      <c r="D1063" s="6">
        <f>MONTH(Table1_1[[#This Row],[Order Dates]])</f>
        <v>6</v>
      </c>
      <c r="E1063" s="4" t="s">
        <v>42</v>
      </c>
      <c r="F1063" s="4" t="s">
        <v>265</v>
      </c>
      <c r="G1063" s="4" t="s">
        <v>44</v>
      </c>
      <c r="H1063" s="4" t="str">
        <f>TRIM(CLEAN(SUBSTITUTE(Table1_1[[#This Row],[Salesperson]],"   "," ")))</f>
        <v>Simran Kaur</v>
      </c>
      <c r="I1063" s="4" t="s">
        <v>19</v>
      </c>
      <c r="J1063" s="4" t="s">
        <v>27</v>
      </c>
      <c r="K1063" s="4" t="s">
        <v>79</v>
      </c>
      <c r="L1063" s="4" t="s">
        <v>80</v>
      </c>
      <c r="M1063" s="4" t="s">
        <v>40</v>
      </c>
      <c r="N1063" s="4" t="s">
        <v>24</v>
      </c>
      <c r="O1063" s="4">
        <v>15</v>
      </c>
      <c r="P1063" s="7">
        <v>4680</v>
      </c>
      <c r="Q1063" s="8">
        <v>0.2</v>
      </c>
      <c r="R1063" s="7">
        <v>3680</v>
      </c>
      <c r="S1063" s="7">
        <f>Table1_1[[#This Row],[Units Sold]]*Table1_1[[#This Row],[Unit Price]]*(1-Table1_1[[#This Row],[Discount %]])</f>
        <v>56160</v>
      </c>
      <c r="T1063" s="7">
        <f>Table1_1[[#This Row],[Units Sold]]*Table1_1[[#This Row],[Unit Cost]]</f>
        <v>55200</v>
      </c>
      <c r="U1063" s="7">
        <f>Table1_1[[#This Row],[Calculated sales]]-Table1_1[[#This Row],[Total cost]]</f>
        <v>960</v>
      </c>
      <c r="V1063" s="4">
        <f>IFERROR(Table1_1[[#This Row],[Profit/Loss]]/Table1_1[[#This Row],[Calculated sales]],0)</f>
        <v>1.7094017094017096E-2</v>
      </c>
    </row>
    <row r="1064" spans="1:22" x14ac:dyDescent="0.25">
      <c r="A1064" s="4" t="s">
        <v>1213</v>
      </c>
      <c r="B1064" s="5">
        <v>45835</v>
      </c>
      <c r="C1064" s="4">
        <f>YEAR(Table1_1[[#This Row],[Order Dates]])</f>
        <v>2025</v>
      </c>
      <c r="D1064" s="6">
        <f>MONTH(Table1_1[[#This Row],[Order Dates]])</f>
        <v>6</v>
      </c>
      <c r="E1064" s="4" t="s">
        <v>76</v>
      </c>
      <c r="F1064" s="4" t="s">
        <v>150</v>
      </c>
      <c r="G1064" s="4" t="s">
        <v>170</v>
      </c>
      <c r="H1064" s="4" t="str">
        <f>TRIM(CLEAN(SUBSTITUTE(Table1_1[[#This Row],[Salesperson]],"   "," ")))</f>
        <v>Manish Tiwari</v>
      </c>
      <c r="I1064" s="4" t="s">
        <v>92</v>
      </c>
      <c r="J1064" s="4" t="s">
        <v>20</v>
      </c>
      <c r="K1064" s="4" t="s">
        <v>21</v>
      </c>
      <c r="L1064" s="4" t="s">
        <v>1670</v>
      </c>
      <c r="M1064" s="4" t="s">
        <v>40</v>
      </c>
      <c r="N1064" s="4" t="s">
        <v>24</v>
      </c>
      <c r="O1064" s="4">
        <v>18</v>
      </c>
      <c r="P1064" s="7">
        <v>8640</v>
      </c>
      <c r="Q1064" s="8">
        <v>0.05</v>
      </c>
      <c r="R1064" s="7">
        <v>6630</v>
      </c>
      <c r="S1064" s="7">
        <f>Table1_1[[#This Row],[Units Sold]]*Table1_1[[#This Row],[Unit Price]]*(1-Table1_1[[#This Row],[Discount %]])</f>
        <v>147744</v>
      </c>
      <c r="T1064" s="7">
        <f>Table1_1[[#This Row],[Units Sold]]*Table1_1[[#This Row],[Unit Cost]]</f>
        <v>119340</v>
      </c>
      <c r="U1064" s="7">
        <f>Table1_1[[#This Row],[Calculated sales]]-Table1_1[[#This Row],[Total cost]]</f>
        <v>28404</v>
      </c>
      <c r="V1064" s="4">
        <f>IFERROR(Table1_1[[#This Row],[Profit/Loss]]/Table1_1[[#This Row],[Calculated sales]],0)</f>
        <v>0.19225146198830409</v>
      </c>
    </row>
    <row r="1065" spans="1:22" x14ac:dyDescent="0.25">
      <c r="A1065" s="4" t="s">
        <v>1214</v>
      </c>
      <c r="B1065" s="5">
        <v>45835</v>
      </c>
      <c r="C1065" s="4">
        <f>YEAR(Table1_1[[#This Row],[Order Dates]])</f>
        <v>2025</v>
      </c>
      <c r="D1065" s="6">
        <f>MONTH(Table1_1[[#This Row],[Order Dates]])</f>
        <v>6</v>
      </c>
      <c r="E1065" s="4" t="s">
        <v>37</v>
      </c>
      <c r="F1065" s="4" t="s">
        <v>67</v>
      </c>
      <c r="G1065" s="4" t="s">
        <v>39</v>
      </c>
      <c r="H1065" s="4" t="str">
        <f>TRIM(CLEAN(SUBSTITUTE(Table1_1[[#This Row],[Salesperson]],"   "," ")))</f>
        <v>Sourav Das</v>
      </c>
      <c r="I1065" s="4" t="s">
        <v>45</v>
      </c>
      <c r="J1065" s="4" t="s">
        <v>83</v>
      </c>
      <c r="K1065" s="4" t="s">
        <v>184</v>
      </c>
      <c r="L1065" s="4" t="s">
        <v>196</v>
      </c>
      <c r="M1065" s="4" t="s">
        <v>40</v>
      </c>
      <c r="N1065" s="4" t="s">
        <v>24</v>
      </c>
      <c r="O1065" s="4">
        <v>14</v>
      </c>
      <c r="P1065" s="7">
        <v>3240</v>
      </c>
      <c r="Q1065" s="8">
        <v>0.08</v>
      </c>
      <c r="R1065" s="7">
        <v>1910</v>
      </c>
      <c r="S1065" s="7">
        <f>Table1_1[[#This Row],[Units Sold]]*Table1_1[[#This Row],[Unit Price]]*(1-Table1_1[[#This Row],[Discount %]])</f>
        <v>41731.200000000004</v>
      </c>
      <c r="T1065" s="7">
        <f>Table1_1[[#This Row],[Units Sold]]*Table1_1[[#This Row],[Unit Cost]]</f>
        <v>26740</v>
      </c>
      <c r="U1065" s="7">
        <f>Table1_1[[#This Row],[Calculated sales]]-Table1_1[[#This Row],[Total cost]]</f>
        <v>14991.200000000004</v>
      </c>
      <c r="V1065" s="4">
        <f>IFERROR(Table1_1[[#This Row],[Profit/Loss]]/Table1_1[[#This Row],[Calculated sales]],0)</f>
        <v>0.35923242082662377</v>
      </c>
    </row>
    <row r="1066" spans="1:22" x14ac:dyDescent="0.25">
      <c r="A1066" s="4" t="s">
        <v>1215</v>
      </c>
      <c r="B1066" s="5">
        <v>45836</v>
      </c>
      <c r="C1066" s="4">
        <f>YEAR(Table1_1[[#This Row],[Order Dates]])</f>
        <v>2025</v>
      </c>
      <c r="D1066" s="6">
        <f>MONTH(Table1_1[[#This Row],[Order Dates]])</f>
        <v>6</v>
      </c>
      <c r="E1066" s="4" t="s">
        <v>76</v>
      </c>
      <c r="F1066" s="4" t="s">
        <v>99</v>
      </c>
      <c r="G1066" s="4" t="s">
        <v>170</v>
      </c>
      <c r="H1066" s="4" t="str">
        <f>TRIM(CLEAN(SUBSTITUTE(Table1_1[[#This Row],[Salesperson]],"   "," ")))</f>
        <v>Manish Tiwari</v>
      </c>
      <c r="I1066" s="4" t="s">
        <v>92</v>
      </c>
      <c r="J1066" s="4" t="s">
        <v>46</v>
      </c>
      <c r="K1066" s="4" t="s">
        <v>100</v>
      </c>
      <c r="L1066" s="4" t="s">
        <v>177</v>
      </c>
      <c r="M1066" s="4" t="s">
        <v>40</v>
      </c>
      <c r="N1066" s="4" t="s">
        <v>24</v>
      </c>
      <c r="O1066" s="4">
        <v>43</v>
      </c>
      <c r="P1066" s="7">
        <v>2420</v>
      </c>
      <c r="Q1066" s="8">
        <v>0.12</v>
      </c>
      <c r="R1066" s="7">
        <v>1810</v>
      </c>
      <c r="S1066" s="7">
        <f>Table1_1[[#This Row],[Units Sold]]*Table1_1[[#This Row],[Unit Price]]*(1-Table1_1[[#This Row],[Discount %]])</f>
        <v>91572.800000000003</v>
      </c>
      <c r="T1066" s="7">
        <f>Table1_1[[#This Row],[Units Sold]]*Table1_1[[#This Row],[Unit Cost]]</f>
        <v>77830</v>
      </c>
      <c r="U1066" s="7">
        <f>Table1_1[[#This Row],[Calculated sales]]-Table1_1[[#This Row],[Total cost]]</f>
        <v>13742.800000000003</v>
      </c>
      <c r="V1066" s="4">
        <f>IFERROR(Table1_1[[#This Row],[Profit/Loss]]/Table1_1[[#This Row],[Calculated sales]],0)</f>
        <v>0.15007513148009019</v>
      </c>
    </row>
    <row r="1067" spans="1:22" x14ac:dyDescent="0.25">
      <c r="A1067" s="4" t="s">
        <v>1216</v>
      </c>
      <c r="B1067" s="5">
        <v>45836</v>
      </c>
      <c r="C1067" s="4">
        <f>YEAR(Table1_1[[#This Row],[Order Dates]])</f>
        <v>2025</v>
      </c>
      <c r="D1067" s="6">
        <f>MONTH(Table1_1[[#This Row],[Order Dates]])</f>
        <v>6</v>
      </c>
      <c r="E1067" s="4" t="s">
        <v>37</v>
      </c>
      <c r="F1067" s="4" t="s">
        <v>213</v>
      </c>
      <c r="G1067" s="4" t="s">
        <v>68</v>
      </c>
      <c r="H1067" s="4" t="str">
        <f>TRIM(CLEAN(SUBSTITUTE(Table1_1[[#This Row],[Salesperson]],"   "," ")))</f>
        <v>Ritika Ghosh</v>
      </c>
      <c r="I1067" s="4" t="s">
        <v>19</v>
      </c>
      <c r="J1067" s="4" t="s">
        <v>46</v>
      </c>
      <c r="K1067" s="4" t="s">
        <v>100</v>
      </c>
      <c r="L1067" s="4" t="s">
        <v>177</v>
      </c>
      <c r="M1067" s="4" t="s">
        <v>23</v>
      </c>
      <c r="N1067" s="4" t="s">
        <v>24</v>
      </c>
      <c r="O1067" s="4">
        <v>17</v>
      </c>
      <c r="P1067" s="7">
        <v>2560</v>
      </c>
      <c r="Q1067" s="8">
        <v>0.12</v>
      </c>
      <c r="R1067" s="7">
        <v>1570</v>
      </c>
      <c r="S1067" s="7">
        <f>Table1_1[[#This Row],[Units Sold]]*Table1_1[[#This Row],[Unit Price]]*(1-Table1_1[[#This Row],[Discount %]])</f>
        <v>38297.599999999999</v>
      </c>
      <c r="T1067" s="7">
        <f>Table1_1[[#This Row],[Units Sold]]*Table1_1[[#This Row],[Unit Cost]]</f>
        <v>26690</v>
      </c>
      <c r="U1067" s="7">
        <f>Table1_1[[#This Row],[Calculated sales]]-Table1_1[[#This Row],[Total cost]]</f>
        <v>11607.599999999999</v>
      </c>
      <c r="V1067" s="4">
        <f>IFERROR(Table1_1[[#This Row],[Profit/Loss]]/Table1_1[[#This Row],[Calculated sales]],0)</f>
        <v>0.30308948863636359</v>
      </c>
    </row>
    <row r="1068" spans="1:22" x14ac:dyDescent="0.25">
      <c r="A1068" s="4" t="s">
        <v>1217</v>
      </c>
      <c r="B1068" s="5">
        <v>45837</v>
      </c>
      <c r="C1068" s="4">
        <f>YEAR(Table1_1[[#This Row],[Order Dates]])</f>
        <v>2025</v>
      </c>
      <c r="D1068" s="6">
        <f>MONTH(Table1_1[[#This Row],[Order Dates]])</f>
        <v>6</v>
      </c>
      <c r="E1068" s="4" t="s">
        <v>16</v>
      </c>
      <c r="F1068" s="4" t="s">
        <v>153</v>
      </c>
      <c r="G1068" s="4" t="s">
        <v>32</v>
      </c>
      <c r="H1068" s="4" t="str">
        <f>TRIM(CLEAN(SUBSTITUTE(Table1_1[[#This Row],[Salesperson]],"   "," ")))</f>
        <v>Neha Deshpande</v>
      </c>
      <c r="I1068" s="4" t="s">
        <v>92</v>
      </c>
      <c r="J1068" s="4" t="s">
        <v>59</v>
      </c>
      <c r="K1068" s="4" t="s">
        <v>69</v>
      </c>
      <c r="L1068" s="4" t="s">
        <v>70</v>
      </c>
      <c r="M1068" s="4" t="s">
        <v>49</v>
      </c>
      <c r="N1068" s="4" t="s">
        <v>24</v>
      </c>
      <c r="O1068" s="4">
        <v>14</v>
      </c>
      <c r="P1068" s="7">
        <v>27180</v>
      </c>
      <c r="Q1068" s="8">
        <v>0.08</v>
      </c>
      <c r="R1068" s="7">
        <v>19330</v>
      </c>
      <c r="S1068" s="7">
        <f>Table1_1[[#This Row],[Units Sold]]*Table1_1[[#This Row],[Unit Price]]*(1-Table1_1[[#This Row],[Discount %]])</f>
        <v>350078.4</v>
      </c>
      <c r="T1068" s="7">
        <f>Table1_1[[#This Row],[Units Sold]]*Table1_1[[#This Row],[Unit Cost]]</f>
        <v>270620</v>
      </c>
      <c r="U1068" s="7">
        <f>Table1_1[[#This Row],[Calculated sales]]-Table1_1[[#This Row],[Total cost]]</f>
        <v>79458.400000000023</v>
      </c>
      <c r="V1068" s="4">
        <f>IFERROR(Table1_1[[#This Row],[Profit/Loss]]/Table1_1[[#This Row],[Calculated sales]],0)</f>
        <v>0.22697315801260523</v>
      </c>
    </row>
    <row r="1069" spans="1:22" x14ac:dyDescent="0.25">
      <c r="A1069" s="4" t="s">
        <v>1218</v>
      </c>
      <c r="B1069" s="5">
        <v>45838</v>
      </c>
      <c r="C1069" s="4">
        <f>YEAR(Table1_1[[#This Row],[Order Dates]])</f>
        <v>2025</v>
      </c>
      <c r="D1069" s="6">
        <f>MONTH(Table1_1[[#This Row],[Order Dates]])</f>
        <v>6</v>
      </c>
      <c r="E1069" s="4" t="s">
        <v>42</v>
      </c>
      <c r="F1069" s="4" t="s">
        <v>43</v>
      </c>
      <c r="G1069" s="4" t="s">
        <v>97</v>
      </c>
      <c r="H1069" s="4" t="str">
        <f>TRIM(CLEAN(SUBSTITUTE(Table1_1[[#This Row],[Salesperson]],"   "," ")))</f>
        <v>Rohit Malhotra</v>
      </c>
      <c r="I1069" s="4" t="s">
        <v>19</v>
      </c>
      <c r="J1069" s="4" t="s">
        <v>46</v>
      </c>
      <c r="K1069" s="4" t="s">
        <v>100</v>
      </c>
      <c r="L1069" s="4" t="s">
        <v>177</v>
      </c>
      <c r="M1069" s="4" t="s">
        <v>23</v>
      </c>
      <c r="N1069" s="4" t="s">
        <v>94</v>
      </c>
      <c r="O1069" s="4">
        <v>23</v>
      </c>
      <c r="P1069" s="7">
        <v>2450</v>
      </c>
      <c r="Q1069" s="8">
        <v>0.18</v>
      </c>
      <c r="R1069" s="7">
        <v>1660</v>
      </c>
      <c r="S1069" s="7">
        <f>Table1_1[[#This Row],[Units Sold]]*Table1_1[[#This Row],[Unit Price]]*(1-Table1_1[[#This Row],[Discount %]])</f>
        <v>46207</v>
      </c>
      <c r="T1069" s="7">
        <f>Table1_1[[#This Row],[Units Sold]]*Table1_1[[#This Row],[Unit Cost]]</f>
        <v>38180</v>
      </c>
      <c r="U1069" s="7">
        <f>Table1_1[[#This Row],[Calculated sales]]-Table1_1[[#This Row],[Total cost]]</f>
        <v>8027</v>
      </c>
      <c r="V1069" s="4">
        <f>IFERROR(Table1_1[[#This Row],[Profit/Loss]]/Table1_1[[#This Row],[Calculated sales]],0)</f>
        <v>0.17371826779492286</v>
      </c>
    </row>
    <row r="1070" spans="1:22" x14ac:dyDescent="0.25">
      <c r="A1070" s="4" t="s">
        <v>1219</v>
      </c>
      <c r="B1070" s="5">
        <v>45838</v>
      </c>
      <c r="C1070" s="4">
        <f>YEAR(Table1_1[[#This Row],[Order Dates]])</f>
        <v>2025</v>
      </c>
      <c r="D1070" s="6">
        <f>MONTH(Table1_1[[#This Row],[Order Dates]])</f>
        <v>6</v>
      </c>
      <c r="E1070" s="4" t="s">
        <v>56</v>
      </c>
      <c r="F1070" s="4" t="s">
        <v>133</v>
      </c>
      <c r="G1070" s="4" t="s">
        <v>58</v>
      </c>
      <c r="H1070" s="4" t="str">
        <f>TRIM(CLEAN(SUBSTITUTE(Table1_1[[#This Row],[Salesperson]],"   "," ")))</f>
        <v>Karthik Raman</v>
      </c>
      <c r="I1070" s="4" t="s">
        <v>52</v>
      </c>
      <c r="J1070" s="4" t="s">
        <v>27</v>
      </c>
      <c r="K1070" s="4" t="s">
        <v>53</v>
      </c>
      <c r="L1070" s="4" t="s">
        <v>1676</v>
      </c>
      <c r="M1070" s="4" t="s">
        <v>23</v>
      </c>
      <c r="N1070" s="4" t="s">
        <v>35</v>
      </c>
      <c r="O1070" s="4">
        <v>1</v>
      </c>
      <c r="P1070" s="7">
        <v>38830</v>
      </c>
      <c r="Q1070" s="8">
        <v>0.12</v>
      </c>
      <c r="R1070" s="7">
        <v>30040</v>
      </c>
      <c r="S1070" s="7">
        <f>Table1_1[[#This Row],[Units Sold]]*Table1_1[[#This Row],[Unit Price]]*(1-Table1_1[[#This Row],[Discount %]])</f>
        <v>34170.400000000001</v>
      </c>
      <c r="T1070" s="7">
        <f>Table1_1[[#This Row],[Units Sold]]*Table1_1[[#This Row],[Unit Cost]]</f>
        <v>30040</v>
      </c>
      <c r="U1070" s="7">
        <f>Table1_1[[#This Row],[Calculated sales]]-Table1_1[[#This Row],[Total cost]]</f>
        <v>4130.4000000000015</v>
      </c>
      <c r="V1070" s="4">
        <f>IFERROR(Table1_1[[#This Row],[Profit/Loss]]/Table1_1[[#This Row],[Calculated sales]],0)</f>
        <v>0.12087654812352215</v>
      </c>
    </row>
    <row r="1071" spans="1:22" x14ac:dyDescent="0.25">
      <c r="A1071" s="4" t="s">
        <v>1220</v>
      </c>
      <c r="B1071" s="5">
        <v>45838</v>
      </c>
      <c r="C1071" s="4">
        <f>YEAR(Table1_1[[#This Row],[Order Dates]])</f>
        <v>2025</v>
      </c>
      <c r="D1071" s="6">
        <f>MONTH(Table1_1[[#This Row],[Order Dates]])</f>
        <v>6</v>
      </c>
      <c r="E1071" s="4" t="s">
        <v>76</v>
      </c>
      <c r="F1071" s="4" t="s">
        <v>112</v>
      </c>
      <c r="G1071" s="4" t="s">
        <v>170</v>
      </c>
      <c r="H1071" s="4" t="str">
        <f>TRIM(CLEAN(SUBSTITUTE(Table1_1[[#This Row],[Salesperson]],"   "," ")))</f>
        <v>Manish Tiwari</v>
      </c>
      <c r="I1071" s="4" t="s">
        <v>92</v>
      </c>
      <c r="J1071" s="4" t="s">
        <v>83</v>
      </c>
      <c r="K1071" s="4" t="s">
        <v>136</v>
      </c>
      <c r="L1071" s="4" t="s">
        <v>137</v>
      </c>
      <c r="M1071" s="4" t="s">
        <v>40</v>
      </c>
      <c r="N1071" s="4" t="s">
        <v>119</v>
      </c>
      <c r="O1071" s="4">
        <v>52</v>
      </c>
      <c r="P1071" s="7">
        <v>1660</v>
      </c>
      <c r="Q1071" s="8">
        <v>0.18</v>
      </c>
      <c r="R1071" s="7">
        <v>1160</v>
      </c>
      <c r="S1071" s="7">
        <f>Table1_1[[#This Row],[Units Sold]]*Table1_1[[#This Row],[Unit Price]]*(1-Table1_1[[#This Row],[Discount %]])</f>
        <v>70782.400000000009</v>
      </c>
      <c r="T1071" s="7">
        <f>Table1_1[[#This Row],[Units Sold]]*Table1_1[[#This Row],[Unit Cost]]</f>
        <v>60320</v>
      </c>
      <c r="U1071" s="7">
        <f>Table1_1[[#This Row],[Calculated sales]]-Table1_1[[#This Row],[Total cost]]</f>
        <v>10462.400000000009</v>
      </c>
      <c r="V1071" s="4">
        <f>IFERROR(Table1_1[[#This Row],[Profit/Loss]]/Table1_1[[#This Row],[Calculated sales]],0)</f>
        <v>0.14781075521598599</v>
      </c>
    </row>
    <row r="1072" spans="1:22" x14ac:dyDescent="0.25">
      <c r="A1072" s="4" t="s">
        <v>1221</v>
      </c>
      <c r="B1072" s="5">
        <v>45838</v>
      </c>
      <c r="C1072" s="4">
        <f>YEAR(Table1_1[[#This Row],[Order Dates]])</f>
        <v>2025</v>
      </c>
      <c r="D1072" s="6">
        <f>MONTH(Table1_1[[#This Row],[Order Dates]])</f>
        <v>6</v>
      </c>
      <c r="E1072" s="4" t="s">
        <v>16</v>
      </c>
      <c r="F1072" s="4" t="s">
        <v>153</v>
      </c>
      <c r="G1072" s="4" t="s">
        <v>32</v>
      </c>
      <c r="H1072" s="4" t="str">
        <f>TRIM(CLEAN(SUBSTITUTE(Table1_1[[#This Row],[Salesperson]],"   "," ")))</f>
        <v>Neha Deshpande</v>
      </c>
      <c r="I1072" s="4" t="s">
        <v>19</v>
      </c>
      <c r="J1072" s="4" t="s">
        <v>83</v>
      </c>
      <c r="K1072" s="4" t="s">
        <v>136</v>
      </c>
      <c r="L1072" s="4" t="s">
        <v>307</v>
      </c>
      <c r="M1072" s="4" t="s">
        <v>49</v>
      </c>
      <c r="N1072" s="4" t="s">
        <v>35</v>
      </c>
      <c r="O1072" s="4">
        <v>13</v>
      </c>
      <c r="P1072" s="7">
        <v>960</v>
      </c>
      <c r="Q1072" s="8">
        <v>0.08</v>
      </c>
      <c r="R1072" s="7">
        <v>730</v>
      </c>
      <c r="S1072" s="7">
        <f>Table1_1[[#This Row],[Units Sold]]*Table1_1[[#This Row],[Unit Price]]*(1-Table1_1[[#This Row],[Discount %]])</f>
        <v>11481.6</v>
      </c>
      <c r="T1072" s="7">
        <f>Table1_1[[#This Row],[Units Sold]]*Table1_1[[#This Row],[Unit Cost]]</f>
        <v>9490</v>
      </c>
      <c r="U1072" s="7">
        <f>Table1_1[[#This Row],[Calculated sales]]-Table1_1[[#This Row],[Total cost]]</f>
        <v>1991.6000000000004</v>
      </c>
      <c r="V1072" s="4">
        <f>IFERROR(Table1_1[[#This Row],[Profit/Loss]]/Table1_1[[#This Row],[Calculated sales]],0)</f>
        <v>0.17346014492753625</v>
      </c>
    </row>
    <row r="1073" spans="1:22" x14ac:dyDescent="0.25">
      <c r="A1073" s="4" t="s">
        <v>1222</v>
      </c>
      <c r="B1073" s="5">
        <v>45839</v>
      </c>
      <c r="C1073" s="4">
        <f>YEAR(Table1_1[[#This Row],[Order Dates]])</f>
        <v>2025</v>
      </c>
      <c r="D1073" s="6">
        <f>MONTH(Table1_1[[#This Row],[Order Dates]])</f>
        <v>7</v>
      </c>
      <c r="E1073" s="4" t="s">
        <v>37</v>
      </c>
      <c r="F1073" s="4" t="s">
        <v>161</v>
      </c>
      <c r="G1073" s="4" t="s">
        <v>68</v>
      </c>
      <c r="H1073" s="4" t="str">
        <f>TRIM(CLEAN(SUBSTITUTE(Table1_1[[#This Row],[Salesperson]],"   "," ")))</f>
        <v>Ritika Ghosh</v>
      </c>
      <c r="I1073" s="4" t="s">
        <v>92</v>
      </c>
      <c r="J1073" s="4" t="s">
        <v>46</v>
      </c>
      <c r="K1073" s="4" t="s">
        <v>100</v>
      </c>
      <c r="L1073" s="4" t="s">
        <v>177</v>
      </c>
      <c r="M1073" s="4" t="s">
        <v>49</v>
      </c>
      <c r="N1073" s="4" t="s">
        <v>119</v>
      </c>
      <c r="O1073" s="4">
        <v>47</v>
      </c>
      <c r="P1073" s="7">
        <v>2670</v>
      </c>
      <c r="Q1073" s="8">
        <v>0.05</v>
      </c>
      <c r="R1073" s="7">
        <v>1540</v>
      </c>
      <c r="S1073" s="7">
        <f>Table1_1[[#This Row],[Units Sold]]*Table1_1[[#This Row],[Unit Price]]*(1-Table1_1[[#This Row],[Discount %]])</f>
        <v>119215.5</v>
      </c>
      <c r="T1073" s="7">
        <f>Table1_1[[#This Row],[Units Sold]]*Table1_1[[#This Row],[Unit Cost]]</f>
        <v>72380</v>
      </c>
      <c r="U1073" s="7">
        <f>Table1_1[[#This Row],[Calculated sales]]-Table1_1[[#This Row],[Total cost]]</f>
        <v>46835.5</v>
      </c>
      <c r="V1073" s="4">
        <f>IFERROR(Table1_1[[#This Row],[Profit/Loss]]/Table1_1[[#This Row],[Calculated sales]],0)</f>
        <v>0.3928641829292332</v>
      </c>
    </row>
    <row r="1074" spans="1:22" x14ac:dyDescent="0.25">
      <c r="A1074" s="4" t="s">
        <v>1223</v>
      </c>
      <c r="B1074" s="5">
        <v>45839</v>
      </c>
      <c r="C1074" s="4">
        <f>YEAR(Table1_1[[#This Row],[Order Dates]])</f>
        <v>2025</v>
      </c>
      <c r="D1074" s="6">
        <f>MONTH(Table1_1[[#This Row],[Order Dates]])</f>
        <v>7</v>
      </c>
      <c r="E1074" s="4" t="s">
        <v>37</v>
      </c>
      <c r="F1074" s="4" t="s">
        <v>161</v>
      </c>
      <c r="G1074" s="4" t="s">
        <v>68</v>
      </c>
      <c r="H1074" s="4" t="str">
        <f>TRIM(CLEAN(SUBSTITUTE(Table1_1[[#This Row],[Salesperson]],"   "," ")))</f>
        <v>Ritika Ghosh</v>
      </c>
      <c r="I1074" s="4" t="s">
        <v>92</v>
      </c>
      <c r="J1074" s="4" t="s">
        <v>59</v>
      </c>
      <c r="K1074" s="4" t="s">
        <v>60</v>
      </c>
      <c r="L1074" s="4" t="s">
        <v>200</v>
      </c>
      <c r="M1074" s="4" t="s">
        <v>23</v>
      </c>
      <c r="N1074" s="4" t="s">
        <v>24</v>
      </c>
      <c r="O1074" s="4">
        <v>24</v>
      </c>
      <c r="P1074" s="7">
        <v>8410</v>
      </c>
      <c r="Q1074" s="8">
        <v>0.1</v>
      </c>
      <c r="R1074" s="7">
        <v>6090</v>
      </c>
      <c r="S1074" s="7">
        <f>Table1_1[[#This Row],[Units Sold]]*Table1_1[[#This Row],[Unit Price]]*(1-Table1_1[[#This Row],[Discount %]])</f>
        <v>181656</v>
      </c>
      <c r="T1074" s="7">
        <f>Table1_1[[#This Row],[Units Sold]]*Table1_1[[#This Row],[Unit Cost]]</f>
        <v>146160</v>
      </c>
      <c r="U1074" s="7">
        <f>Table1_1[[#This Row],[Calculated sales]]-Table1_1[[#This Row],[Total cost]]</f>
        <v>35496</v>
      </c>
      <c r="V1074" s="4">
        <f>IFERROR(Table1_1[[#This Row],[Profit/Loss]]/Table1_1[[#This Row],[Calculated sales]],0)</f>
        <v>0.19540229885057472</v>
      </c>
    </row>
    <row r="1075" spans="1:22" x14ac:dyDescent="0.25">
      <c r="A1075" s="4" t="s">
        <v>1224</v>
      </c>
      <c r="B1075" s="5">
        <v>45839</v>
      </c>
      <c r="C1075" s="4">
        <f>YEAR(Table1_1[[#This Row],[Order Dates]])</f>
        <v>2025</v>
      </c>
      <c r="D1075" s="6">
        <f>MONTH(Table1_1[[#This Row],[Order Dates]])</f>
        <v>7</v>
      </c>
      <c r="E1075" s="4" t="s">
        <v>37</v>
      </c>
      <c r="F1075" s="4" t="s">
        <v>115</v>
      </c>
      <c r="G1075" s="4" t="s">
        <v>68</v>
      </c>
      <c r="H1075" s="4" t="str">
        <f>TRIM(CLEAN(SUBSTITUTE(Table1_1[[#This Row],[Salesperson]],"   "," ")))</f>
        <v>Ritika Ghosh</v>
      </c>
      <c r="I1075" s="4" t="s">
        <v>45</v>
      </c>
      <c r="J1075" s="4" t="s">
        <v>59</v>
      </c>
      <c r="K1075" s="4" t="s">
        <v>73</v>
      </c>
      <c r="L1075" s="4" t="s">
        <v>74</v>
      </c>
      <c r="M1075" s="4" t="s">
        <v>23</v>
      </c>
      <c r="N1075" s="4" t="s">
        <v>24</v>
      </c>
      <c r="O1075" s="4">
        <v>5</v>
      </c>
      <c r="P1075" s="7">
        <v>45480</v>
      </c>
      <c r="Q1075" s="8">
        <v>0.08</v>
      </c>
      <c r="R1075" s="7">
        <v>29160</v>
      </c>
      <c r="S1075" s="7">
        <f>Table1_1[[#This Row],[Units Sold]]*Table1_1[[#This Row],[Unit Price]]*(1-Table1_1[[#This Row],[Discount %]])</f>
        <v>209208</v>
      </c>
      <c r="T1075" s="7">
        <f>Table1_1[[#This Row],[Units Sold]]*Table1_1[[#This Row],[Unit Cost]]</f>
        <v>145800</v>
      </c>
      <c r="U1075" s="7">
        <f>Table1_1[[#This Row],[Calculated sales]]-Table1_1[[#This Row],[Total cost]]</f>
        <v>63408</v>
      </c>
      <c r="V1075" s="4">
        <f>IFERROR(Table1_1[[#This Row],[Profit/Loss]]/Table1_1[[#This Row],[Calculated sales]],0)</f>
        <v>0.30308592405644141</v>
      </c>
    </row>
    <row r="1076" spans="1:22" x14ac:dyDescent="0.25">
      <c r="A1076" s="4" t="s">
        <v>1225</v>
      </c>
      <c r="B1076" s="5">
        <v>45840</v>
      </c>
      <c r="C1076" s="4">
        <f>YEAR(Table1_1[[#This Row],[Order Dates]])</f>
        <v>2025</v>
      </c>
      <c r="D1076" s="6">
        <f>MONTH(Table1_1[[#This Row],[Order Dates]])</f>
        <v>7</v>
      </c>
      <c r="E1076" s="4" t="s">
        <v>37</v>
      </c>
      <c r="F1076" s="4" t="s">
        <v>67</v>
      </c>
      <c r="G1076" s="4" t="s">
        <v>68</v>
      </c>
      <c r="H1076" s="4" t="str">
        <f>TRIM(CLEAN(SUBSTITUTE(Table1_1[[#This Row],[Salesperson]],"   "," ")))</f>
        <v>Ritika Ghosh</v>
      </c>
      <c r="I1076" s="4" t="s">
        <v>19</v>
      </c>
      <c r="J1076" s="4" t="s">
        <v>20</v>
      </c>
      <c r="K1076" s="4" t="s">
        <v>87</v>
      </c>
      <c r="L1076" s="4" t="s">
        <v>1672</v>
      </c>
      <c r="M1076" s="4" t="s">
        <v>40</v>
      </c>
      <c r="N1076" s="4" t="s">
        <v>24</v>
      </c>
      <c r="O1076" s="4">
        <v>1</v>
      </c>
      <c r="P1076" s="7">
        <v>31260</v>
      </c>
      <c r="Q1076" s="8">
        <v>0.2</v>
      </c>
      <c r="R1076" s="7">
        <v>19270</v>
      </c>
      <c r="S1076" s="7">
        <f>Table1_1[[#This Row],[Units Sold]]*Table1_1[[#This Row],[Unit Price]]*(1-Table1_1[[#This Row],[Discount %]])</f>
        <v>25008</v>
      </c>
      <c r="T1076" s="7">
        <f>Table1_1[[#This Row],[Units Sold]]*Table1_1[[#This Row],[Unit Cost]]</f>
        <v>19270</v>
      </c>
      <c r="U1076" s="7">
        <f>Table1_1[[#This Row],[Calculated sales]]-Table1_1[[#This Row],[Total cost]]</f>
        <v>5738</v>
      </c>
      <c r="V1076" s="4">
        <f>IFERROR(Table1_1[[#This Row],[Profit/Loss]]/Table1_1[[#This Row],[Calculated sales]],0)</f>
        <v>0.22944657709532951</v>
      </c>
    </row>
    <row r="1077" spans="1:22" x14ac:dyDescent="0.25">
      <c r="A1077" s="4" t="s">
        <v>1226</v>
      </c>
      <c r="B1077" s="5">
        <v>45840</v>
      </c>
      <c r="C1077" s="4">
        <f>YEAR(Table1_1[[#This Row],[Order Dates]])</f>
        <v>2025</v>
      </c>
      <c r="D1077" s="6">
        <f>MONTH(Table1_1[[#This Row],[Order Dates]])</f>
        <v>7</v>
      </c>
      <c r="E1077" s="4" t="s">
        <v>42</v>
      </c>
      <c r="F1077" s="4" t="s">
        <v>130</v>
      </c>
      <c r="G1077" s="4" t="s">
        <v>64</v>
      </c>
      <c r="H1077" s="4" t="str">
        <f>TRIM(CLEAN(SUBSTITUTE(Table1_1[[#This Row],[Salesperson]],"   "," ")))</f>
        <v>Aditya Verma</v>
      </c>
      <c r="I1077" s="4" t="s">
        <v>19</v>
      </c>
      <c r="J1077" s="4" t="s">
        <v>59</v>
      </c>
      <c r="K1077" s="4" t="s">
        <v>60</v>
      </c>
      <c r="L1077" s="4" t="s">
        <v>61</v>
      </c>
      <c r="M1077" s="4" t="s">
        <v>23</v>
      </c>
      <c r="N1077" s="4" t="s">
        <v>24</v>
      </c>
      <c r="O1077" s="4">
        <v>7</v>
      </c>
      <c r="P1077" s="7">
        <v>23310</v>
      </c>
      <c r="Q1077" s="8">
        <v>0.08</v>
      </c>
      <c r="R1077" s="7">
        <v>14840</v>
      </c>
      <c r="S1077" s="7">
        <f>Table1_1[[#This Row],[Units Sold]]*Table1_1[[#This Row],[Unit Price]]*(1-Table1_1[[#This Row],[Discount %]])</f>
        <v>150116.4</v>
      </c>
      <c r="T1077" s="7">
        <f>Table1_1[[#This Row],[Units Sold]]*Table1_1[[#This Row],[Unit Cost]]</f>
        <v>103880</v>
      </c>
      <c r="U1077" s="7">
        <f>Table1_1[[#This Row],[Calculated sales]]-Table1_1[[#This Row],[Total cost]]</f>
        <v>46236.399999999994</v>
      </c>
      <c r="V1077" s="4">
        <f>IFERROR(Table1_1[[#This Row],[Profit/Loss]]/Table1_1[[#This Row],[Calculated sales]],0)</f>
        <v>0.30800365582974276</v>
      </c>
    </row>
    <row r="1078" spans="1:22" x14ac:dyDescent="0.25">
      <c r="A1078" s="4" t="s">
        <v>1227</v>
      </c>
      <c r="B1078" s="5">
        <v>45840</v>
      </c>
      <c r="C1078" s="4">
        <f>YEAR(Table1_1[[#This Row],[Order Dates]])</f>
        <v>2025</v>
      </c>
      <c r="D1078" s="6">
        <f>MONTH(Table1_1[[#This Row],[Order Dates]])</f>
        <v>7</v>
      </c>
      <c r="E1078" s="4" t="s">
        <v>37</v>
      </c>
      <c r="F1078" s="4" t="s">
        <v>67</v>
      </c>
      <c r="G1078" s="4" t="s">
        <v>68</v>
      </c>
      <c r="H1078" s="4" t="str">
        <f>TRIM(CLEAN(SUBSTITUTE(Table1_1[[#This Row],[Salesperson]],"   "," ")))</f>
        <v>Ritika Ghosh</v>
      </c>
      <c r="I1078" s="4" t="s">
        <v>45</v>
      </c>
      <c r="J1078" s="4" t="s">
        <v>83</v>
      </c>
      <c r="K1078" s="4" t="s">
        <v>184</v>
      </c>
      <c r="L1078" s="4" t="s">
        <v>1679</v>
      </c>
      <c r="M1078" s="4" t="s">
        <v>40</v>
      </c>
      <c r="N1078" s="4" t="s">
        <v>119</v>
      </c>
      <c r="O1078" s="4">
        <v>14</v>
      </c>
      <c r="P1078" s="7">
        <v>4710</v>
      </c>
      <c r="Q1078" s="8">
        <v>0</v>
      </c>
      <c r="R1078" s="7">
        <v>3200</v>
      </c>
      <c r="S1078" s="7">
        <f>Table1_1[[#This Row],[Units Sold]]*Table1_1[[#This Row],[Unit Price]]*(1-Table1_1[[#This Row],[Discount %]])</f>
        <v>65940</v>
      </c>
      <c r="T1078" s="7">
        <f>Table1_1[[#This Row],[Units Sold]]*Table1_1[[#This Row],[Unit Cost]]</f>
        <v>44800</v>
      </c>
      <c r="U1078" s="7">
        <f>Table1_1[[#This Row],[Calculated sales]]-Table1_1[[#This Row],[Total cost]]</f>
        <v>21140</v>
      </c>
      <c r="V1078" s="4">
        <f>IFERROR(Table1_1[[#This Row],[Profit/Loss]]/Table1_1[[#This Row],[Calculated sales]],0)</f>
        <v>0.3205944798301486</v>
      </c>
    </row>
    <row r="1079" spans="1:22" x14ac:dyDescent="0.25">
      <c r="A1079" s="4" t="s">
        <v>1228</v>
      </c>
      <c r="B1079" s="5">
        <v>45840</v>
      </c>
      <c r="C1079" s="4">
        <f>YEAR(Table1_1[[#This Row],[Order Dates]])</f>
        <v>2025</v>
      </c>
      <c r="D1079" s="6">
        <f>MONTH(Table1_1[[#This Row],[Order Dates]])</f>
        <v>7</v>
      </c>
      <c r="E1079" s="4" t="s">
        <v>16</v>
      </c>
      <c r="F1079" s="4" t="s">
        <v>31</v>
      </c>
      <c r="G1079" s="4" t="s">
        <v>32</v>
      </c>
      <c r="H1079" s="4" t="str">
        <f>TRIM(CLEAN(SUBSTITUTE(Table1_1[[#This Row],[Salesperson]],"   "," ")))</f>
        <v>Neha Deshpande</v>
      </c>
      <c r="I1079" s="4" t="s">
        <v>52</v>
      </c>
      <c r="J1079" s="4" t="s">
        <v>27</v>
      </c>
      <c r="K1079" s="4" t="s">
        <v>28</v>
      </c>
      <c r="L1079" s="4" t="s">
        <v>1668</v>
      </c>
      <c r="M1079" s="4" t="s">
        <v>23</v>
      </c>
      <c r="N1079" s="4" t="s">
        <v>24</v>
      </c>
      <c r="O1079" s="4">
        <v>3</v>
      </c>
      <c r="P1079" s="7">
        <v>29670</v>
      </c>
      <c r="Q1079" s="8">
        <v>0.15</v>
      </c>
      <c r="R1079" s="7">
        <v>18970</v>
      </c>
      <c r="S1079" s="7">
        <f>Table1_1[[#This Row],[Units Sold]]*Table1_1[[#This Row],[Unit Price]]*(1-Table1_1[[#This Row],[Discount %]])</f>
        <v>75658.5</v>
      </c>
      <c r="T1079" s="7">
        <f>Table1_1[[#This Row],[Units Sold]]*Table1_1[[#This Row],[Unit Cost]]</f>
        <v>56910</v>
      </c>
      <c r="U1079" s="7">
        <f>Table1_1[[#This Row],[Calculated sales]]-Table1_1[[#This Row],[Total cost]]</f>
        <v>18748.5</v>
      </c>
      <c r="V1079" s="4">
        <f>IFERROR(Table1_1[[#This Row],[Profit/Loss]]/Table1_1[[#This Row],[Calculated sales]],0)</f>
        <v>0.24780427843533773</v>
      </c>
    </row>
    <row r="1080" spans="1:22" x14ac:dyDescent="0.25">
      <c r="A1080" s="4" t="s">
        <v>1229</v>
      </c>
      <c r="B1080" s="5">
        <v>45844</v>
      </c>
      <c r="C1080" s="4">
        <f>YEAR(Table1_1[[#This Row],[Order Dates]])</f>
        <v>2025</v>
      </c>
      <c r="D1080" s="6">
        <f>MONTH(Table1_1[[#This Row],[Order Dates]])</f>
        <v>7</v>
      </c>
      <c r="E1080" s="4" t="s">
        <v>56</v>
      </c>
      <c r="F1080" s="4" t="s">
        <v>72</v>
      </c>
      <c r="G1080" s="4" t="s">
        <v>58</v>
      </c>
      <c r="H1080" s="4" t="str">
        <f>TRIM(CLEAN(SUBSTITUTE(Table1_1[[#This Row],[Salesperson]],"   "," ")))</f>
        <v>Karthik Raman</v>
      </c>
      <c r="I1080" s="4" t="s">
        <v>52</v>
      </c>
      <c r="J1080" s="4" t="s">
        <v>20</v>
      </c>
      <c r="K1080" s="4" t="s">
        <v>109</v>
      </c>
      <c r="L1080" s="4" t="s">
        <v>171</v>
      </c>
      <c r="M1080" s="4" t="s">
        <v>49</v>
      </c>
      <c r="N1080" s="4" t="s">
        <v>24</v>
      </c>
      <c r="O1080" s="4">
        <v>4</v>
      </c>
      <c r="P1080" s="7">
        <v>22790</v>
      </c>
      <c r="Q1080" s="8">
        <v>0</v>
      </c>
      <c r="R1080" s="7">
        <v>16750</v>
      </c>
      <c r="S1080" s="7">
        <f>Table1_1[[#This Row],[Units Sold]]*Table1_1[[#This Row],[Unit Price]]*(1-Table1_1[[#This Row],[Discount %]])</f>
        <v>91160</v>
      </c>
      <c r="T1080" s="7">
        <f>Table1_1[[#This Row],[Units Sold]]*Table1_1[[#This Row],[Unit Cost]]</f>
        <v>67000</v>
      </c>
      <c r="U1080" s="7">
        <f>Table1_1[[#This Row],[Calculated sales]]-Table1_1[[#This Row],[Total cost]]</f>
        <v>24160</v>
      </c>
      <c r="V1080" s="4">
        <f>IFERROR(Table1_1[[#This Row],[Profit/Loss]]/Table1_1[[#This Row],[Calculated sales]],0)</f>
        <v>0.2650285212812637</v>
      </c>
    </row>
    <row r="1081" spans="1:22" x14ac:dyDescent="0.25">
      <c r="A1081" s="4" t="s">
        <v>1230</v>
      </c>
      <c r="B1081" s="5">
        <v>45845</v>
      </c>
      <c r="C1081" s="4">
        <f>YEAR(Table1_1[[#This Row],[Order Dates]])</f>
        <v>2025</v>
      </c>
      <c r="D1081" s="6">
        <f>MONTH(Table1_1[[#This Row],[Order Dates]])</f>
        <v>7</v>
      </c>
      <c r="E1081" s="4" t="s">
        <v>16</v>
      </c>
      <c r="F1081" s="4" t="s">
        <v>51</v>
      </c>
      <c r="G1081" s="4" t="s">
        <v>18</v>
      </c>
      <c r="H1081" s="4" t="str">
        <f>TRIM(CLEAN(SUBSTITUTE(Table1_1[[#This Row],[Salesperson]],"   "," ")))</f>
        <v>Imran Sheikh</v>
      </c>
      <c r="I1081" s="4" t="s">
        <v>92</v>
      </c>
      <c r="J1081" s="4" t="s">
        <v>59</v>
      </c>
      <c r="K1081" s="4" t="s">
        <v>154</v>
      </c>
      <c r="L1081" s="4" t="s">
        <v>249</v>
      </c>
      <c r="M1081" s="4" t="s">
        <v>40</v>
      </c>
      <c r="N1081" s="4" t="s">
        <v>24</v>
      </c>
      <c r="O1081" s="4">
        <v>8</v>
      </c>
      <c r="P1081" s="7">
        <v>6370</v>
      </c>
      <c r="Q1081" s="8">
        <v>0</v>
      </c>
      <c r="R1081" s="7">
        <v>3720</v>
      </c>
      <c r="S1081" s="7">
        <f>Table1_1[[#This Row],[Units Sold]]*Table1_1[[#This Row],[Unit Price]]*(1-Table1_1[[#This Row],[Discount %]])</f>
        <v>50960</v>
      </c>
      <c r="T1081" s="7">
        <f>Table1_1[[#This Row],[Units Sold]]*Table1_1[[#This Row],[Unit Cost]]</f>
        <v>29760</v>
      </c>
      <c r="U1081" s="7">
        <f>Table1_1[[#This Row],[Calculated sales]]-Table1_1[[#This Row],[Total cost]]</f>
        <v>21200</v>
      </c>
      <c r="V1081" s="4">
        <f>IFERROR(Table1_1[[#This Row],[Profit/Loss]]/Table1_1[[#This Row],[Calculated sales]],0)</f>
        <v>0.41601255886970173</v>
      </c>
    </row>
    <row r="1082" spans="1:22" x14ac:dyDescent="0.25">
      <c r="A1082" s="4" t="s">
        <v>1231</v>
      </c>
      <c r="B1082" s="5">
        <v>45845</v>
      </c>
      <c r="C1082" s="4">
        <f>YEAR(Table1_1[[#This Row],[Order Dates]])</f>
        <v>2025</v>
      </c>
      <c r="D1082" s="6">
        <f>MONTH(Table1_1[[#This Row],[Order Dates]])</f>
        <v>7</v>
      </c>
      <c r="E1082" s="4" t="s">
        <v>56</v>
      </c>
      <c r="F1082" s="4" t="s">
        <v>143</v>
      </c>
      <c r="G1082" s="4" t="s">
        <v>91</v>
      </c>
      <c r="H1082" s="4" t="str">
        <f>TRIM(CLEAN(SUBSTITUTE(Table1_1[[#This Row],[Salesperson]],"   "," ")))</f>
        <v>Anjali Menon</v>
      </c>
      <c r="I1082" s="4" t="s">
        <v>52</v>
      </c>
      <c r="J1082" s="4" t="s">
        <v>20</v>
      </c>
      <c r="K1082" s="4" t="s">
        <v>21</v>
      </c>
      <c r="L1082" s="4" t="s">
        <v>1670</v>
      </c>
      <c r="M1082" s="4" t="s">
        <v>49</v>
      </c>
      <c r="N1082" s="4" t="s">
        <v>24</v>
      </c>
      <c r="O1082" s="4">
        <v>5</v>
      </c>
      <c r="P1082" s="7">
        <v>8290</v>
      </c>
      <c r="Q1082" s="8">
        <v>0</v>
      </c>
      <c r="R1082" s="7">
        <v>4700</v>
      </c>
      <c r="S1082" s="7">
        <f>Table1_1[[#This Row],[Units Sold]]*Table1_1[[#This Row],[Unit Price]]*(1-Table1_1[[#This Row],[Discount %]])</f>
        <v>41450</v>
      </c>
      <c r="T1082" s="7">
        <f>Table1_1[[#This Row],[Units Sold]]*Table1_1[[#This Row],[Unit Cost]]</f>
        <v>23500</v>
      </c>
      <c r="U1082" s="7">
        <f>Table1_1[[#This Row],[Calculated sales]]-Table1_1[[#This Row],[Total cost]]</f>
        <v>17950</v>
      </c>
      <c r="V1082" s="4">
        <f>IFERROR(Table1_1[[#This Row],[Profit/Loss]]/Table1_1[[#This Row],[Calculated sales]],0)</f>
        <v>0.43305186972255733</v>
      </c>
    </row>
    <row r="1083" spans="1:22" x14ac:dyDescent="0.25">
      <c r="A1083" s="4" t="s">
        <v>1232</v>
      </c>
      <c r="B1083" s="5">
        <v>45845</v>
      </c>
      <c r="C1083" s="4">
        <f>YEAR(Table1_1[[#This Row],[Order Dates]])</f>
        <v>2025</v>
      </c>
      <c r="D1083" s="6">
        <f>MONTH(Table1_1[[#This Row],[Order Dates]])</f>
        <v>7</v>
      </c>
      <c r="E1083" s="4" t="s">
        <v>16</v>
      </c>
      <c r="F1083" s="4" t="s">
        <v>17</v>
      </c>
      <c r="G1083" s="4" t="s">
        <v>32</v>
      </c>
      <c r="H1083" s="4" t="str">
        <f>TRIM(CLEAN(SUBSTITUTE(Table1_1[[#This Row],[Salesperson]],"   "," ")))</f>
        <v>Neha Deshpande</v>
      </c>
      <c r="I1083" s="4" t="s">
        <v>52</v>
      </c>
      <c r="J1083" s="4" t="s">
        <v>27</v>
      </c>
      <c r="K1083" s="4" t="s">
        <v>79</v>
      </c>
      <c r="L1083" s="4" t="s">
        <v>80</v>
      </c>
      <c r="M1083" s="4" t="s">
        <v>49</v>
      </c>
      <c r="N1083" s="4" t="s">
        <v>35</v>
      </c>
      <c r="O1083" s="4">
        <v>10</v>
      </c>
      <c r="P1083" s="7">
        <v>4620</v>
      </c>
      <c r="Q1083" s="8">
        <v>0.2</v>
      </c>
      <c r="R1083" s="7">
        <v>2840</v>
      </c>
      <c r="S1083" s="7">
        <f>Table1_1[[#This Row],[Units Sold]]*Table1_1[[#This Row],[Unit Price]]*(1-Table1_1[[#This Row],[Discount %]])</f>
        <v>36960</v>
      </c>
      <c r="T1083" s="7">
        <f>Table1_1[[#This Row],[Units Sold]]*Table1_1[[#This Row],[Unit Cost]]</f>
        <v>28400</v>
      </c>
      <c r="U1083" s="7">
        <f>Table1_1[[#This Row],[Calculated sales]]-Table1_1[[#This Row],[Total cost]]</f>
        <v>8560</v>
      </c>
      <c r="V1083" s="4">
        <f>IFERROR(Table1_1[[#This Row],[Profit/Loss]]/Table1_1[[#This Row],[Calculated sales]],0)</f>
        <v>0.23160173160173161</v>
      </c>
    </row>
    <row r="1084" spans="1:22" x14ac:dyDescent="0.25">
      <c r="A1084" s="4" t="s">
        <v>1233</v>
      </c>
      <c r="B1084" s="5">
        <v>45846</v>
      </c>
      <c r="C1084" s="4">
        <f>YEAR(Table1_1[[#This Row],[Order Dates]])</f>
        <v>2025</v>
      </c>
      <c r="D1084" s="6">
        <f>MONTH(Table1_1[[#This Row],[Order Dates]])</f>
        <v>7</v>
      </c>
      <c r="E1084" s="4" t="s">
        <v>56</v>
      </c>
      <c r="F1084" s="4" t="s">
        <v>57</v>
      </c>
      <c r="G1084" s="4" t="s">
        <v>91</v>
      </c>
      <c r="H1084" s="4" t="str">
        <f>TRIM(CLEAN(SUBSTITUTE(Table1_1[[#This Row],[Salesperson]],"   "," ")))</f>
        <v>Anjali Menon</v>
      </c>
      <c r="I1084" s="4" t="s">
        <v>19</v>
      </c>
      <c r="J1084" s="4" t="s">
        <v>83</v>
      </c>
      <c r="K1084" s="4" t="s">
        <v>84</v>
      </c>
      <c r="L1084" s="4" t="s">
        <v>292</v>
      </c>
      <c r="M1084" s="4" t="s">
        <v>49</v>
      </c>
      <c r="N1084" s="4" t="s">
        <v>35</v>
      </c>
      <c r="O1084" s="4">
        <v>4</v>
      </c>
      <c r="P1084" s="7">
        <v>44410</v>
      </c>
      <c r="Q1084" s="8">
        <v>0.12</v>
      </c>
      <c r="R1084" s="7">
        <v>27770</v>
      </c>
      <c r="S1084" s="7">
        <f>Table1_1[[#This Row],[Units Sold]]*Table1_1[[#This Row],[Unit Price]]*(1-Table1_1[[#This Row],[Discount %]])</f>
        <v>156323.20000000001</v>
      </c>
      <c r="T1084" s="7">
        <f>Table1_1[[#This Row],[Units Sold]]*Table1_1[[#This Row],[Unit Cost]]</f>
        <v>111080</v>
      </c>
      <c r="U1084" s="7">
        <f>Table1_1[[#This Row],[Calculated sales]]-Table1_1[[#This Row],[Total cost]]</f>
        <v>45243.200000000012</v>
      </c>
      <c r="V1084" s="4">
        <f>IFERROR(Table1_1[[#This Row],[Profit/Loss]]/Table1_1[[#This Row],[Calculated sales]],0)</f>
        <v>0.28942089210046884</v>
      </c>
    </row>
    <row r="1085" spans="1:22" x14ac:dyDescent="0.25">
      <c r="A1085" s="4" t="s">
        <v>1234</v>
      </c>
      <c r="B1085" s="5">
        <v>45846</v>
      </c>
      <c r="C1085" s="4">
        <f>YEAR(Table1_1[[#This Row],[Order Dates]])</f>
        <v>2025</v>
      </c>
      <c r="D1085" s="6">
        <f>MONTH(Table1_1[[#This Row],[Order Dates]])</f>
        <v>7</v>
      </c>
      <c r="E1085" s="4" t="s">
        <v>56</v>
      </c>
      <c r="F1085" s="4" t="s">
        <v>143</v>
      </c>
      <c r="G1085" s="4" t="s">
        <v>134</v>
      </c>
      <c r="H1085" s="4" t="str">
        <f>TRIM(CLEAN(SUBSTITUTE(Table1_1[[#This Row],[Salesperson]],"   "," ")))</f>
        <v>Divya Nair</v>
      </c>
      <c r="I1085" s="4" t="s">
        <v>19</v>
      </c>
      <c r="J1085" s="4" t="s">
        <v>83</v>
      </c>
      <c r="K1085" s="4" t="s">
        <v>84</v>
      </c>
      <c r="L1085" s="4" t="s">
        <v>292</v>
      </c>
      <c r="M1085" s="4" t="s">
        <v>23</v>
      </c>
      <c r="N1085" s="4" t="s">
        <v>35</v>
      </c>
      <c r="O1085" s="4">
        <v>1</v>
      </c>
      <c r="P1085" s="7">
        <v>40090</v>
      </c>
      <c r="Q1085" s="8">
        <v>0.15</v>
      </c>
      <c r="R1085" s="7">
        <v>29160</v>
      </c>
      <c r="S1085" s="7">
        <f>Table1_1[[#This Row],[Units Sold]]*Table1_1[[#This Row],[Unit Price]]*(1-Table1_1[[#This Row],[Discount %]])</f>
        <v>34076.5</v>
      </c>
      <c r="T1085" s="7">
        <f>Table1_1[[#This Row],[Units Sold]]*Table1_1[[#This Row],[Unit Cost]]</f>
        <v>29160</v>
      </c>
      <c r="U1085" s="7">
        <f>Table1_1[[#This Row],[Calculated sales]]-Table1_1[[#This Row],[Total cost]]</f>
        <v>4916.5</v>
      </c>
      <c r="V1085" s="4">
        <f>IFERROR(Table1_1[[#This Row],[Profit/Loss]]/Table1_1[[#This Row],[Calculated sales]],0)</f>
        <v>0.14427831496779306</v>
      </c>
    </row>
    <row r="1086" spans="1:22" x14ac:dyDescent="0.25">
      <c r="A1086" s="4" t="s">
        <v>1235</v>
      </c>
      <c r="B1086" s="5">
        <v>45846</v>
      </c>
      <c r="C1086" s="4">
        <f>YEAR(Table1_1[[#This Row],[Order Dates]])</f>
        <v>2025</v>
      </c>
      <c r="D1086" s="6">
        <f>MONTH(Table1_1[[#This Row],[Order Dates]])</f>
        <v>7</v>
      </c>
      <c r="E1086" s="4" t="s">
        <v>42</v>
      </c>
      <c r="F1086" s="4" t="s">
        <v>96</v>
      </c>
      <c r="G1086" s="4" t="s">
        <v>44</v>
      </c>
      <c r="H1086" s="4" t="str">
        <f>TRIM(CLEAN(SUBSTITUTE(Table1_1[[#This Row],[Salesperson]],"   "," ")))</f>
        <v>Simran Kaur</v>
      </c>
      <c r="I1086" s="4" t="s">
        <v>52</v>
      </c>
      <c r="J1086" s="4" t="s">
        <v>46</v>
      </c>
      <c r="K1086" s="4" t="s">
        <v>179</v>
      </c>
      <c r="L1086" s="4" t="s">
        <v>236</v>
      </c>
      <c r="M1086" s="4" t="s">
        <v>40</v>
      </c>
      <c r="N1086" s="4" t="s">
        <v>24</v>
      </c>
      <c r="O1086" s="4">
        <v>23</v>
      </c>
      <c r="P1086" s="7">
        <v>2200</v>
      </c>
      <c r="Q1086" s="8">
        <v>0.05</v>
      </c>
      <c r="R1086" s="7">
        <v>1670</v>
      </c>
      <c r="S1086" s="7">
        <f>Table1_1[[#This Row],[Units Sold]]*Table1_1[[#This Row],[Unit Price]]*(1-Table1_1[[#This Row],[Discount %]])</f>
        <v>48070</v>
      </c>
      <c r="T1086" s="7">
        <f>Table1_1[[#This Row],[Units Sold]]*Table1_1[[#This Row],[Unit Cost]]</f>
        <v>38410</v>
      </c>
      <c r="U1086" s="7">
        <f>Table1_1[[#This Row],[Calculated sales]]-Table1_1[[#This Row],[Total cost]]</f>
        <v>9660</v>
      </c>
      <c r="V1086" s="4">
        <f>IFERROR(Table1_1[[#This Row],[Profit/Loss]]/Table1_1[[#This Row],[Calculated sales]],0)</f>
        <v>0.20095693779904306</v>
      </c>
    </row>
    <row r="1087" spans="1:22" x14ac:dyDescent="0.25">
      <c r="A1087" s="4" t="s">
        <v>1236</v>
      </c>
      <c r="B1087" s="5">
        <v>45846</v>
      </c>
      <c r="C1087" s="4">
        <f>YEAR(Table1_1[[#This Row],[Order Dates]])</f>
        <v>2025</v>
      </c>
      <c r="D1087" s="6">
        <f>MONTH(Table1_1[[#This Row],[Order Dates]])</f>
        <v>7</v>
      </c>
      <c r="E1087" s="4" t="s">
        <v>16</v>
      </c>
      <c r="F1087" s="4" t="s">
        <v>82</v>
      </c>
      <c r="G1087" s="4" t="s">
        <v>32</v>
      </c>
      <c r="H1087" s="4" t="str">
        <f>TRIM(CLEAN(SUBSTITUTE(Table1_1[[#This Row],[Salesperson]],"   "," ")))</f>
        <v>Neha Deshpande</v>
      </c>
      <c r="I1087" s="4" t="s">
        <v>19</v>
      </c>
      <c r="J1087" s="4" t="s">
        <v>59</v>
      </c>
      <c r="K1087" s="4" t="s">
        <v>60</v>
      </c>
      <c r="L1087" s="4" t="s">
        <v>200</v>
      </c>
      <c r="M1087" s="4" t="s">
        <v>49</v>
      </c>
      <c r="N1087" s="4" t="s">
        <v>119</v>
      </c>
      <c r="O1087" s="4">
        <v>6</v>
      </c>
      <c r="P1087" s="7">
        <v>8950</v>
      </c>
      <c r="Q1087" s="8">
        <v>0.05</v>
      </c>
      <c r="R1087" s="7">
        <v>6840</v>
      </c>
      <c r="S1087" s="7">
        <f>Table1_1[[#This Row],[Units Sold]]*Table1_1[[#This Row],[Unit Price]]*(1-Table1_1[[#This Row],[Discount %]])</f>
        <v>51015</v>
      </c>
      <c r="T1087" s="7">
        <f>Table1_1[[#This Row],[Units Sold]]*Table1_1[[#This Row],[Unit Cost]]</f>
        <v>41040</v>
      </c>
      <c r="U1087" s="7">
        <f>Table1_1[[#This Row],[Calculated sales]]-Table1_1[[#This Row],[Total cost]]</f>
        <v>9975</v>
      </c>
      <c r="V1087" s="4">
        <f>IFERROR(Table1_1[[#This Row],[Profit/Loss]]/Table1_1[[#This Row],[Calculated sales]],0)</f>
        <v>0.19553072625698323</v>
      </c>
    </row>
    <row r="1088" spans="1:22" x14ac:dyDescent="0.25">
      <c r="A1088" s="4" t="s">
        <v>1237</v>
      </c>
      <c r="B1088" s="5">
        <v>45847</v>
      </c>
      <c r="C1088" s="4">
        <f>YEAR(Table1_1[[#This Row],[Order Dates]])</f>
        <v>2025</v>
      </c>
      <c r="D1088" s="6">
        <f>MONTH(Table1_1[[#This Row],[Order Dates]])</f>
        <v>7</v>
      </c>
      <c r="E1088" s="4" t="s">
        <v>56</v>
      </c>
      <c r="F1088" s="4" t="s">
        <v>72</v>
      </c>
      <c r="G1088" s="4" t="s">
        <v>134</v>
      </c>
      <c r="H1088" s="4" t="str">
        <f>TRIM(CLEAN(SUBSTITUTE(Table1_1[[#This Row],[Salesperson]],"   "," ")))</f>
        <v>Divya Nair</v>
      </c>
      <c r="I1088" s="4" t="s">
        <v>19</v>
      </c>
      <c r="J1088" s="4" t="s">
        <v>46</v>
      </c>
      <c r="K1088" s="4" t="s">
        <v>179</v>
      </c>
      <c r="L1088" s="4" t="s">
        <v>236</v>
      </c>
      <c r="M1088" s="4" t="s">
        <v>40</v>
      </c>
      <c r="N1088" s="4" t="s">
        <v>24</v>
      </c>
      <c r="O1088" s="4">
        <v>32</v>
      </c>
      <c r="P1088" s="7">
        <v>2120</v>
      </c>
      <c r="Q1088" s="8">
        <v>0.08</v>
      </c>
      <c r="R1088" s="7">
        <v>1550</v>
      </c>
      <c r="S1088" s="7">
        <f>Table1_1[[#This Row],[Units Sold]]*Table1_1[[#This Row],[Unit Price]]*(1-Table1_1[[#This Row],[Discount %]])</f>
        <v>62412.800000000003</v>
      </c>
      <c r="T1088" s="7">
        <f>Table1_1[[#This Row],[Units Sold]]*Table1_1[[#This Row],[Unit Cost]]</f>
        <v>49600</v>
      </c>
      <c r="U1088" s="7">
        <f>Table1_1[[#This Row],[Calculated sales]]-Table1_1[[#This Row],[Total cost]]</f>
        <v>12812.800000000003</v>
      </c>
      <c r="V1088" s="4">
        <f>IFERROR(Table1_1[[#This Row],[Profit/Loss]]/Table1_1[[#This Row],[Calculated sales]],0)</f>
        <v>0.20529122231337166</v>
      </c>
    </row>
    <row r="1089" spans="1:22" x14ac:dyDescent="0.25">
      <c r="A1089" s="4" t="s">
        <v>1238</v>
      </c>
      <c r="B1089" s="5">
        <v>45847</v>
      </c>
      <c r="C1089" s="4">
        <f>YEAR(Table1_1[[#This Row],[Order Dates]])</f>
        <v>2025</v>
      </c>
      <c r="D1089" s="6">
        <f>MONTH(Table1_1[[#This Row],[Order Dates]])</f>
        <v>7</v>
      </c>
      <c r="E1089" s="4" t="s">
        <v>76</v>
      </c>
      <c r="F1089" s="4" t="s">
        <v>77</v>
      </c>
      <c r="G1089" s="4" t="s">
        <v>78</v>
      </c>
      <c r="H1089" s="4" t="str">
        <f>TRIM(CLEAN(SUBSTITUTE(Table1_1[[#This Row],[Salesperson]],"   "," ")))</f>
        <v>Pooja Chouhan</v>
      </c>
      <c r="I1089" s="4" t="s">
        <v>19</v>
      </c>
      <c r="J1089" s="4" t="s">
        <v>59</v>
      </c>
      <c r="K1089" s="4" t="s">
        <v>73</v>
      </c>
      <c r="L1089" s="4" t="s">
        <v>74</v>
      </c>
      <c r="M1089" s="4" t="s">
        <v>40</v>
      </c>
      <c r="N1089" s="4" t="s">
        <v>35</v>
      </c>
      <c r="O1089" s="4">
        <v>3</v>
      </c>
      <c r="P1089" s="7">
        <v>47090</v>
      </c>
      <c r="Q1089" s="8">
        <v>0.15</v>
      </c>
      <c r="R1089" s="7">
        <v>29140</v>
      </c>
      <c r="S1089" s="7">
        <f>Table1_1[[#This Row],[Units Sold]]*Table1_1[[#This Row],[Unit Price]]*(1-Table1_1[[#This Row],[Discount %]])</f>
        <v>120079.5</v>
      </c>
      <c r="T1089" s="7">
        <f>Table1_1[[#This Row],[Units Sold]]*Table1_1[[#This Row],[Unit Cost]]</f>
        <v>87420</v>
      </c>
      <c r="U1089" s="7">
        <f>Table1_1[[#This Row],[Calculated sales]]-Table1_1[[#This Row],[Total cost]]</f>
        <v>32659.5</v>
      </c>
      <c r="V1089" s="4">
        <f>IFERROR(Table1_1[[#This Row],[Profit/Loss]]/Table1_1[[#This Row],[Calculated sales]],0)</f>
        <v>0.27198231171848652</v>
      </c>
    </row>
    <row r="1090" spans="1:22" x14ac:dyDescent="0.25">
      <c r="A1090" s="4" t="s">
        <v>1239</v>
      </c>
      <c r="B1090" s="5">
        <v>45847</v>
      </c>
      <c r="C1090" s="4">
        <f>YEAR(Table1_1[[#This Row],[Order Dates]])</f>
        <v>2025</v>
      </c>
      <c r="D1090" s="6">
        <f>MONTH(Table1_1[[#This Row],[Order Dates]])</f>
        <v>7</v>
      </c>
      <c r="E1090" s="4" t="s">
        <v>56</v>
      </c>
      <c r="F1090" s="4" t="s">
        <v>143</v>
      </c>
      <c r="G1090" s="4" t="s">
        <v>134</v>
      </c>
      <c r="H1090" s="4" t="str">
        <f>TRIM(CLEAN(SUBSTITUTE(Table1_1[[#This Row],[Salesperson]],"   "," ")))</f>
        <v>Divya Nair</v>
      </c>
      <c r="I1090" s="4" t="s">
        <v>19</v>
      </c>
      <c r="J1090" s="4" t="s">
        <v>46</v>
      </c>
      <c r="K1090" s="4" t="s">
        <v>179</v>
      </c>
      <c r="L1090" s="4" t="s">
        <v>180</v>
      </c>
      <c r="M1090" s="4" t="s">
        <v>40</v>
      </c>
      <c r="N1090" s="4" t="s">
        <v>94</v>
      </c>
      <c r="O1090" s="4">
        <v>7</v>
      </c>
      <c r="P1090" s="7">
        <v>3680</v>
      </c>
      <c r="Q1090" s="8">
        <v>0.2</v>
      </c>
      <c r="R1090" s="7">
        <v>2250</v>
      </c>
      <c r="S1090" s="7">
        <f>Table1_1[[#This Row],[Units Sold]]*Table1_1[[#This Row],[Unit Price]]*(1-Table1_1[[#This Row],[Discount %]])</f>
        <v>20608</v>
      </c>
      <c r="T1090" s="7">
        <f>Table1_1[[#This Row],[Units Sold]]*Table1_1[[#This Row],[Unit Cost]]</f>
        <v>15750</v>
      </c>
      <c r="U1090" s="7">
        <f>Table1_1[[#This Row],[Calculated sales]]-Table1_1[[#This Row],[Total cost]]</f>
        <v>4858</v>
      </c>
      <c r="V1090" s="4">
        <f>IFERROR(Table1_1[[#This Row],[Profit/Loss]]/Table1_1[[#This Row],[Calculated sales]],0)</f>
        <v>0.23573369565217392</v>
      </c>
    </row>
    <row r="1091" spans="1:22" x14ac:dyDescent="0.25">
      <c r="A1091" s="4" t="s">
        <v>1240</v>
      </c>
      <c r="B1091" s="5">
        <v>45847</v>
      </c>
      <c r="C1091" s="4">
        <f>YEAR(Table1_1[[#This Row],[Order Dates]])</f>
        <v>2025</v>
      </c>
      <c r="D1091" s="6">
        <f>MONTH(Table1_1[[#This Row],[Order Dates]])</f>
        <v>7</v>
      </c>
      <c r="E1091" s="4" t="s">
        <v>56</v>
      </c>
      <c r="F1091" s="4" t="s">
        <v>103</v>
      </c>
      <c r="G1091" s="4" t="s">
        <v>91</v>
      </c>
      <c r="H1091" s="4" t="str">
        <f>TRIM(CLEAN(SUBSTITUTE(Table1_1[[#This Row],[Salesperson]],"   "," ")))</f>
        <v>Anjali Menon</v>
      </c>
      <c r="I1091" s="4" t="s">
        <v>52</v>
      </c>
      <c r="J1091" s="4" t="s">
        <v>46</v>
      </c>
      <c r="K1091" s="4" t="s">
        <v>179</v>
      </c>
      <c r="L1091" s="4" t="s">
        <v>180</v>
      </c>
      <c r="M1091" s="4" t="s">
        <v>40</v>
      </c>
      <c r="N1091" s="4" t="s">
        <v>24</v>
      </c>
      <c r="O1091" s="4">
        <v>6</v>
      </c>
      <c r="P1091" s="7">
        <v>4050</v>
      </c>
      <c r="Q1091" s="8">
        <v>0</v>
      </c>
      <c r="R1091" s="7">
        <v>2780</v>
      </c>
      <c r="S1091" s="7">
        <f>Table1_1[[#This Row],[Units Sold]]*Table1_1[[#This Row],[Unit Price]]*(1-Table1_1[[#This Row],[Discount %]])</f>
        <v>24300</v>
      </c>
      <c r="T1091" s="7">
        <f>Table1_1[[#This Row],[Units Sold]]*Table1_1[[#This Row],[Unit Cost]]</f>
        <v>16680</v>
      </c>
      <c r="U1091" s="7">
        <f>Table1_1[[#This Row],[Calculated sales]]-Table1_1[[#This Row],[Total cost]]</f>
        <v>7620</v>
      </c>
      <c r="V1091" s="4">
        <f>IFERROR(Table1_1[[#This Row],[Profit/Loss]]/Table1_1[[#This Row],[Calculated sales]],0)</f>
        <v>0.31358024691358027</v>
      </c>
    </row>
    <row r="1092" spans="1:22" x14ac:dyDescent="0.25">
      <c r="A1092" s="4" t="s">
        <v>1241</v>
      </c>
      <c r="B1092" s="5">
        <v>45847</v>
      </c>
      <c r="C1092" s="4">
        <f>YEAR(Table1_1[[#This Row],[Order Dates]])</f>
        <v>2025</v>
      </c>
      <c r="D1092" s="6">
        <f>MONTH(Table1_1[[#This Row],[Order Dates]])</f>
        <v>7</v>
      </c>
      <c r="E1092" s="4" t="s">
        <v>42</v>
      </c>
      <c r="F1092" s="4" t="s">
        <v>130</v>
      </c>
      <c r="G1092" s="4" t="s">
        <v>97</v>
      </c>
      <c r="H1092" s="4" t="str">
        <f>TRIM(CLEAN(SUBSTITUTE(Table1_1[[#This Row],[Salesperson]],"   "," ")))</f>
        <v>Rohit Malhotra</v>
      </c>
      <c r="I1092" s="4" t="s">
        <v>52</v>
      </c>
      <c r="J1092" s="4" t="s">
        <v>46</v>
      </c>
      <c r="K1092" s="4" t="s">
        <v>179</v>
      </c>
      <c r="L1092" s="4" t="s">
        <v>221</v>
      </c>
      <c r="M1092" s="4" t="s">
        <v>23</v>
      </c>
      <c r="N1092" s="4" t="s">
        <v>24</v>
      </c>
      <c r="O1092" s="4">
        <v>28</v>
      </c>
      <c r="P1092" s="7">
        <v>1540</v>
      </c>
      <c r="Q1092" s="8">
        <v>0.15</v>
      </c>
      <c r="R1092" s="7">
        <v>990</v>
      </c>
      <c r="S1092" s="7">
        <f>Table1_1[[#This Row],[Units Sold]]*Table1_1[[#This Row],[Unit Price]]*(1-Table1_1[[#This Row],[Discount %]])</f>
        <v>36652</v>
      </c>
      <c r="T1092" s="7">
        <f>Table1_1[[#This Row],[Units Sold]]*Table1_1[[#This Row],[Unit Cost]]</f>
        <v>27720</v>
      </c>
      <c r="U1092" s="7">
        <f>Table1_1[[#This Row],[Calculated sales]]-Table1_1[[#This Row],[Total cost]]</f>
        <v>8932</v>
      </c>
      <c r="V1092" s="4">
        <f>IFERROR(Table1_1[[#This Row],[Profit/Loss]]/Table1_1[[#This Row],[Calculated sales]],0)</f>
        <v>0.24369747899159663</v>
      </c>
    </row>
    <row r="1093" spans="1:22" x14ac:dyDescent="0.25">
      <c r="A1093" s="4" t="s">
        <v>1242</v>
      </c>
      <c r="B1093" s="5">
        <v>45849</v>
      </c>
      <c r="C1093" s="4">
        <f>YEAR(Table1_1[[#This Row],[Order Dates]])</f>
        <v>2025</v>
      </c>
      <c r="D1093" s="6">
        <f>MONTH(Table1_1[[#This Row],[Order Dates]])</f>
        <v>7</v>
      </c>
      <c r="E1093" s="4" t="s">
        <v>37</v>
      </c>
      <c r="F1093" s="4" t="s">
        <v>67</v>
      </c>
      <c r="G1093" s="4" t="s">
        <v>68</v>
      </c>
      <c r="H1093" s="4" t="str">
        <f>TRIM(CLEAN(SUBSTITUTE(Table1_1[[#This Row],[Salesperson]],"   "," ")))</f>
        <v>Ritika Ghosh</v>
      </c>
      <c r="I1093" s="4" t="s">
        <v>45</v>
      </c>
      <c r="J1093" s="4" t="s">
        <v>46</v>
      </c>
      <c r="K1093" s="4" t="s">
        <v>179</v>
      </c>
      <c r="L1093" s="4" t="s">
        <v>180</v>
      </c>
      <c r="M1093" s="4" t="s">
        <v>23</v>
      </c>
      <c r="N1093" s="4" t="s">
        <v>24</v>
      </c>
      <c r="O1093" s="4">
        <v>8</v>
      </c>
      <c r="P1093" s="7">
        <v>3940</v>
      </c>
      <c r="Q1093" s="8">
        <v>0.1</v>
      </c>
      <c r="R1093" s="7">
        <v>2800</v>
      </c>
      <c r="S1093" s="7">
        <f>Table1_1[[#This Row],[Units Sold]]*Table1_1[[#This Row],[Unit Price]]*(1-Table1_1[[#This Row],[Discount %]])</f>
        <v>28368</v>
      </c>
      <c r="T1093" s="7">
        <f>Table1_1[[#This Row],[Units Sold]]*Table1_1[[#This Row],[Unit Cost]]</f>
        <v>22400</v>
      </c>
      <c r="U1093" s="7">
        <f>Table1_1[[#This Row],[Calculated sales]]-Table1_1[[#This Row],[Total cost]]</f>
        <v>5968</v>
      </c>
      <c r="V1093" s="4">
        <f>IFERROR(Table1_1[[#This Row],[Profit/Loss]]/Table1_1[[#This Row],[Calculated sales]],0)</f>
        <v>0.21037789058093626</v>
      </c>
    </row>
    <row r="1094" spans="1:22" x14ac:dyDescent="0.25">
      <c r="A1094" s="4" t="s">
        <v>1243</v>
      </c>
      <c r="B1094" s="5">
        <v>45849</v>
      </c>
      <c r="C1094" s="4">
        <f>YEAR(Table1_1[[#This Row],[Order Dates]])</f>
        <v>2025</v>
      </c>
      <c r="D1094" s="6">
        <f>MONTH(Table1_1[[#This Row],[Order Dates]])</f>
        <v>7</v>
      </c>
      <c r="E1094" s="4" t="s">
        <v>56</v>
      </c>
      <c r="F1094" s="4" t="s">
        <v>127</v>
      </c>
      <c r="G1094" s="4" t="s">
        <v>134</v>
      </c>
      <c r="H1094" s="4" t="str">
        <f>TRIM(CLEAN(SUBSTITUTE(Table1_1[[#This Row],[Salesperson]],"   "," ")))</f>
        <v>Divya Nair</v>
      </c>
      <c r="I1094" s="4" t="s">
        <v>19</v>
      </c>
      <c r="J1094" s="4" t="s">
        <v>27</v>
      </c>
      <c r="K1094" s="4" t="s">
        <v>79</v>
      </c>
      <c r="L1094" s="4" t="s">
        <v>168</v>
      </c>
      <c r="M1094" s="4" t="s">
        <v>40</v>
      </c>
      <c r="N1094" s="4" t="s">
        <v>24</v>
      </c>
      <c r="O1094" s="4">
        <v>5</v>
      </c>
      <c r="P1094" s="7">
        <v>9720</v>
      </c>
      <c r="Q1094" s="8">
        <v>0.08</v>
      </c>
      <c r="R1094" s="7">
        <v>7580</v>
      </c>
      <c r="S1094" s="7">
        <f>Table1_1[[#This Row],[Units Sold]]*Table1_1[[#This Row],[Unit Price]]*(1-Table1_1[[#This Row],[Discount %]])</f>
        <v>44712</v>
      </c>
      <c r="T1094" s="7">
        <f>Table1_1[[#This Row],[Units Sold]]*Table1_1[[#This Row],[Unit Cost]]</f>
        <v>37900</v>
      </c>
      <c r="U1094" s="7">
        <f>Table1_1[[#This Row],[Calculated sales]]-Table1_1[[#This Row],[Total cost]]</f>
        <v>6812</v>
      </c>
      <c r="V1094" s="4">
        <f>IFERROR(Table1_1[[#This Row],[Profit/Loss]]/Table1_1[[#This Row],[Calculated sales]],0)</f>
        <v>0.15235283592771515</v>
      </c>
    </row>
    <row r="1095" spans="1:22" x14ac:dyDescent="0.25">
      <c r="A1095" s="4" t="s">
        <v>1244</v>
      </c>
      <c r="B1095" s="5">
        <v>45849</v>
      </c>
      <c r="C1095" s="4">
        <f>YEAR(Table1_1[[#This Row],[Order Dates]])</f>
        <v>2025</v>
      </c>
      <c r="D1095" s="6">
        <f>MONTH(Table1_1[[#This Row],[Order Dates]])</f>
        <v>7</v>
      </c>
      <c r="E1095" s="4" t="s">
        <v>56</v>
      </c>
      <c r="F1095" s="4" t="s">
        <v>127</v>
      </c>
      <c r="G1095" s="4" t="s">
        <v>134</v>
      </c>
      <c r="H1095" s="4" t="str">
        <f>TRIM(CLEAN(SUBSTITUTE(Table1_1[[#This Row],[Salesperson]],"   "," ")))</f>
        <v>Divya Nair</v>
      </c>
      <c r="I1095" s="4" t="s">
        <v>19</v>
      </c>
      <c r="J1095" s="4" t="s">
        <v>27</v>
      </c>
      <c r="K1095" s="4" t="s">
        <v>214</v>
      </c>
      <c r="L1095" s="4" t="s">
        <v>1680</v>
      </c>
      <c r="M1095" s="4" t="s">
        <v>40</v>
      </c>
      <c r="N1095" s="4" t="s">
        <v>24</v>
      </c>
      <c r="O1095" s="4">
        <v>4</v>
      </c>
      <c r="P1095" s="7">
        <v>34460</v>
      </c>
      <c r="Q1095" s="8">
        <v>0.1</v>
      </c>
      <c r="R1095" s="7">
        <v>23720</v>
      </c>
      <c r="S1095" s="7">
        <f>Table1_1[[#This Row],[Units Sold]]*Table1_1[[#This Row],[Unit Price]]*(1-Table1_1[[#This Row],[Discount %]])</f>
        <v>124056</v>
      </c>
      <c r="T1095" s="7">
        <f>Table1_1[[#This Row],[Units Sold]]*Table1_1[[#This Row],[Unit Cost]]</f>
        <v>94880</v>
      </c>
      <c r="U1095" s="7">
        <f>Table1_1[[#This Row],[Calculated sales]]-Table1_1[[#This Row],[Total cost]]</f>
        <v>29176</v>
      </c>
      <c r="V1095" s="4">
        <f>IFERROR(Table1_1[[#This Row],[Profit/Loss]]/Table1_1[[#This Row],[Calculated sales]],0)</f>
        <v>0.23518411040175405</v>
      </c>
    </row>
    <row r="1096" spans="1:22" x14ac:dyDescent="0.25">
      <c r="A1096" s="4" t="s">
        <v>1245</v>
      </c>
      <c r="B1096" s="5">
        <v>45850</v>
      </c>
      <c r="C1096" s="4">
        <f>YEAR(Table1_1[[#This Row],[Order Dates]])</f>
        <v>2025</v>
      </c>
      <c r="D1096" s="6">
        <f>MONTH(Table1_1[[#This Row],[Order Dates]])</f>
        <v>7</v>
      </c>
      <c r="E1096" s="4" t="s">
        <v>37</v>
      </c>
      <c r="F1096" s="4" t="s">
        <v>161</v>
      </c>
      <c r="G1096" s="4" t="s">
        <v>39</v>
      </c>
      <c r="H1096" s="4" t="str">
        <f>TRIM(CLEAN(SUBSTITUTE(Table1_1[[#This Row],[Salesperson]],"   "," ")))</f>
        <v>Sourav Das</v>
      </c>
      <c r="I1096" s="4" t="s">
        <v>19</v>
      </c>
      <c r="J1096" s="4" t="s">
        <v>27</v>
      </c>
      <c r="K1096" s="4" t="s">
        <v>53</v>
      </c>
      <c r="L1096" s="4" t="s">
        <v>1676</v>
      </c>
      <c r="M1096" s="4" t="s">
        <v>23</v>
      </c>
      <c r="N1096" s="4" t="s">
        <v>24</v>
      </c>
      <c r="O1096" s="4">
        <v>2</v>
      </c>
      <c r="P1096" s="7">
        <v>36030</v>
      </c>
      <c r="Q1096" s="8">
        <v>0.15</v>
      </c>
      <c r="R1096" s="7">
        <v>20270</v>
      </c>
      <c r="S1096" s="7">
        <f>Table1_1[[#This Row],[Units Sold]]*Table1_1[[#This Row],[Unit Price]]*(1-Table1_1[[#This Row],[Discount %]])</f>
        <v>61251</v>
      </c>
      <c r="T1096" s="7">
        <f>Table1_1[[#This Row],[Units Sold]]*Table1_1[[#This Row],[Unit Cost]]</f>
        <v>40540</v>
      </c>
      <c r="U1096" s="7">
        <f>Table1_1[[#This Row],[Calculated sales]]-Table1_1[[#This Row],[Total cost]]</f>
        <v>20711</v>
      </c>
      <c r="V1096" s="4">
        <f>IFERROR(Table1_1[[#This Row],[Profit/Loss]]/Table1_1[[#This Row],[Calculated sales]],0)</f>
        <v>0.33813325496726582</v>
      </c>
    </row>
    <row r="1097" spans="1:22" x14ac:dyDescent="0.25">
      <c r="A1097" s="4" t="s">
        <v>1246</v>
      </c>
      <c r="B1097" s="5">
        <v>45850</v>
      </c>
      <c r="C1097" s="4">
        <f>YEAR(Table1_1[[#This Row],[Order Dates]])</f>
        <v>2025</v>
      </c>
      <c r="D1097" s="6">
        <f>MONTH(Table1_1[[#This Row],[Order Dates]])</f>
        <v>7</v>
      </c>
      <c r="E1097" s="4" t="s">
        <v>42</v>
      </c>
      <c r="F1097" s="4" t="s">
        <v>43</v>
      </c>
      <c r="G1097" s="4" t="s">
        <v>64</v>
      </c>
      <c r="H1097" s="4" t="str">
        <f>TRIM(CLEAN(SUBSTITUTE(Table1_1[[#This Row],[Salesperson]],"   "," ")))</f>
        <v>Aditya Verma</v>
      </c>
      <c r="I1097" s="4" t="s">
        <v>19</v>
      </c>
      <c r="J1097" s="4" t="s">
        <v>83</v>
      </c>
      <c r="K1097" s="4" t="s">
        <v>136</v>
      </c>
      <c r="L1097" s="4" t="s">
        <v>307</v>
      </c>
      <c r="M1097" s="4" t="s">
        <v>23</v>
      </c>
      <c r="N1097" s="4" t="s">
        <v>119</v>
      </c>
      <c r="O1097" s="4">
        <v>35</v>
      </c>
      <c r="P1097" s="7">
        <v>860</v>
      </c>
      <c r="Q1097" s="8">
        <v>0.05</v>
      </c>
      <c r="R1097" s="7">
        <v>530</v>
      </c>
      <c r="S1097" s="7">
        <f>Table1_1[[#This Row],[Units Sold]]*Table1_1[[#This Row],[Unit Price]]*(1-Table1_1[[#This Row],[Discount %]])</f>
        <v>28595</v>
      </c>
      <c r="T1097" s="7">
        <f>Table1_1[[#This Row],[Units Sold]]*Table1_1[[#This Row],[Unit Cost]]</f>
        <v>18550</v>
      </c>
      <c r="U1097" s="7">
        <f>Table1_1[[#This Row],[Calculated sales]]-Table1_1[[#This Row],[Total cost]]</f>
        <v>10045</v>
      </c>
      <c r="V1097" s="4">
        <f>IFERROR(Table1_1[[#This Row],[Profit/Loss]]/Table1_1[[#This Row],[Calculated sales]],0)</f>
        <v>0.35128518971848227</v>
      </c>
    </row>
    <row r="1098" spans="1:22" x14ac:dyDescent="0.25">
      <c r="A1098" s="4" t="s">
        <v>1247</v>
      </c>
      <c r="B1098" s="5">
        <v>45851</v>
      </c>
      <c r="C1098" s="4">
        <f>YEAR(Table1_1[[#This Row],[Order Dates]])</f>
        <v>2025</v>
      </c>
      <c r="D1098" s="6">
        <f>MONTH(Table1_1[[#This Row],[Order Dates]])</f>
        <v>7</v>
      </c>
      <c r="E1098" s="4" t="s">
        <v>37</v>
      </c>
      <c r="F1098" s="4" t="s">
        <v>161</v>
      </c>
      <c r="G1098" s="4" t="s">
        <v>68</v>
      </c>
      <c r="H1098" s="4" t="str">
        <f>TRIM(CLEAN(SUBSTITUTE(Table1_1[[#This Row],[Salesperson]],"   "," ")))</f>
        <v>Ritika Ghosh</v>
      </c>
      <c r="I1098" s="4" t="s">
        <v>92</v>
      </c>
      <c r="J1098" s="4" t="s">
        <v>27</v>
      </c>
      <c r="K1098" s="4" t="s">
        <v>28</v>
      </c>
      <c r="L1098" s="4" t="s">
        <v>141</v>
      </c>
      <c r="M1098" s="4" t="s">
        <v>23</v>
      </c>
      <c r="N1098" s="4" t="s">
        <v>35</v>
      </c>
      <c r="O1098" s="4">
        <v>13</v>
      </c>
      <c r="P1098" s="7">
        <v>16110</v>
      </c>
      <c r="Q1098" s="8">
        <v>0.1</v>
      </c>
      <c r="R1098" s="7">
        <v>11250</v>
      </c>
      <c r="S1098" s="7">
        <f>Table1_1[[#This Row],[Units Sold]]*Table1_1[[#This Row],[Unit Price]]*(1-Table1_1[[#This Row],[Discount %]])</f>
        <v>188487</v>
      </c>
      <c r="T1098" s="7">
        <f>Table1_1[[#This Row],[Units Sold]]*Table1_1[[#This Row],[Unit Cost]]</f>
        <v>146250</v>
      </c>
      <c r="U1098" s="7">
        <f>Table1_1[[#This Row],[Calculated sales]]-Table1_1[[#This Row],[Total cost]]</f>
        <v>42237</v>
      </c>
      <c r="V1098" s="4">
        <f>IFERROR(Table1_1[[#This Row],[Profit/Loss]]/Table1_1[[#This Row],[Calculated sales]],0)</f>
        <v>0.22408441961514589</v>
      </c>
    </row>
    <row r="1099" spans="1:22" x14ac:dyDescent="0.25">
      <c r="A1099" s="4" t="s">
        <v>1248</v>
      </c>
      <c r="B1099" s="5">
        <v>45852</v>
      </c>
      <c r="C1099" s="4">
        <f>YEAR(Table1_1[[#This Row],[Order Dates]])</f>
        <v>2025</v>
      </c>
      <c r="D1099" s="6">
        <f>MONTH(Table1_1[[#This Row],[Order Dates]])</f>
        <v>7</v>
      </c>
      <c r="E1099" s="4" t="s">
        <v>76</v>
      </c>
      <c r="F1099" s="4" t="s">
        <v>112</v>
      </c>
      <c r="G1099" s="4" t="s">
        <v>78</v>
      </c>
      <c r="H1099" s="4" t="str">
        <f>TRIM(CLEAN(SUBSTITUTE(Table1_1[[#This Row],[Salesperson]],"   "," ")))</f>
        <v>Pooja Chouhan</v>
      </c>
      <c r="I1099" s="4" t="s">
        <v>52</v>
      </c>
      <c r="J1099" s="4" t="s">
        <v>46</v>
      </c>
      <c r="K1099" s="4" t="s">
        <v>179</v>
      </c>
      <c r="L1099" s="4" t="s">
        <v>180</v>
      </c>
      <c r="M1099" s="4" t="s">
        <v>40</v>
      </c>
      <c r="N1099" s="4" t="s">
        <v>24</v>
      </c>
      <c r="O1099" s="4">
        <v>6</v>
      </c>
      <c r="P1099" s="7">
        <v>3660</v>
      </c>
      <c r="Q1099" s="8">
        <v>0.1</v>
      </c>
      <c r="R1099" s="7">
        <v>2550</v>
      </c>
      <c r="S1099" s="7">
        <f>Table1_1[[#This Row],[Units Sold]]*Table1_1[[#This Row],[Unit Price]]*(1-Table1_1[[#This Row],[Discount %]])</f>
        <v>19764</v>
      </c>
      <c r="T1099" s="7">
        <f>Table1_1[[#This Row],[Units Sold]]*Table1_1[[#This Row],[Unit Cost]]</f>
        <v>15300</v>
      </c>
      <c r="U1099" s="7">
        <f>Table1_1[[#This Row],[Calculated sales]]-Table1_1[[#This Row],[Total cost]]</f>
        <v>4464</v>
      </c>
      <c r="V1099" s="4">
        <f>IFERROR(Table1_1[[#This Row],[Profit/Loss]]/Table1_1[[#This Row],[Calculated sales]],0)</f>
        <v>0.22586520947176686</v>
      </c>
    </row>
    <row r="1100" spans="1:22" x14ac:dyDescent="0.25">
      <c r="A1100" s="4" t="s">
        <v>1249</v>
      </c>
      <c r="B1100" s="5">
        <v>45852</v>
      </c>
      <c r="C1100" s="4">
        <f>YEAR(Table1_1[[#This Row],[Order Dates]])</f>
        <v>2025</v>
      </c>
      <c r="D1100" s="6">
        <f>MONTH(Table1_1[[#This Row],[Order Dates]])</f>
        <v>7</v>
      </c>
      <c r="E1100" s="4" t="s">
        <v>42</v>
      </c>
      <c r="F1100" s="4" t="s">
        <v>96</v>
      </c>
      <c r="G1100" s="4" t="s">
        <v>97</v>
      </c>
      <c r="H1100" s="4" t="str">
        <f>TRIM(CLEAN(SUBSTITUTE(Table1_1[[#This Row],[Salesperson]],"   "," ")))</f>
        <v>Rohit Malhotra</v>
      </c>
      <c r="I1100" s="4" t="s">
        <v>19</v>
      </c>
      <c r="J1100" s="4" t="s">
        <v>20</v>
      </c>
      <c r="K1100" s="4" t="s">
        <v>21</v>
      </c>
      <c r="L1100" s="4" t="s">
        <v>1670</v>
      </c>
      <c r="M1100" s="4" t="s">
        <v>23</v>
      </c>
      <c r="N1100" s="4" t="s">
        <v>24</v>
      </c>
      <c r="O1100" s="4">
        <v>12</v>
      </c>
      <c r="P1100" s="7">
        <v>8370</v>
      </c>
      <c r="Q1100" s="8">
        <v>0.18</v>
      </c>
      <c r="R1100" s="7">
        <v>6210</v>
      </c>
      <c r="S1100" s="7">
        <f>Table1_1[[#This Row],[Units Sold]]*Table1_1[[#This Row],[Unit Price]]*(1-Table1_1[[#This Row],[Discount %]])</f>
        <v>82360.800000000003</v>
      </c>
      <c r="T1100" s="7">
        <f>Table1_1[[#This Row],[Units Sold]]*Table1_1[[#This Row],[Unit Cost]]</f>
        <v>74520</v>
      </c>
      <c r="U1100" s="7">
        <f>Table1_1[[#This Row],[Calculated sales]]-Table1_1[[#This Row],[Total cost]]</f>
        <v>7840.8000000000029</v>
      </c>
      <c r="V1100" s="4">
        <f>IFERROR(Table1_1[[#This Row],[Profit/Loss]]/Table1_1[[#This Row],[Calculated sales]],0)</f>
        <v>9.5200629425649122E-2</v>
      </c>
    </row>
    <row r="1101" spans="1:22" x14ac:dyDescent="0.25">
      <c r="A1101" s="4" t="s">
        <v>1250</v>
      </c>
      <c r="B1101" s="5">
        <v>45852</v>
      </c>
      <c r="C1101" s="4">
        <f>YEAR(Table1_1[[#This Row],[Order Dates]])</f>
        <v>2025</v>
      </c>
      <c r="D1101" s="6">
        <f>MONTH(Table1_1[[#This Row],[Order Dates]])</f>
        <v>7</v>
      </c>
      <c r="E1101" s="4" t="s">
        <v>56</v>
      </c>
      <c r="F1101" s="4" t="s">
        <v>57</v>
      </c>
      <c r="G1101" s="4" t="s">
        <v>91</v>
      </c>
      <c r="H1101" s="4" t="str">
        <f>TRIM(CLEAN(SUBSTITUTE(Table1_1[[#This Row],[Salesperson]],"   "," ")))</f>
        <v>Anjali Menon</v>
      </c>
      <c r="I1101" s="4" t="s">
        <v>19</v>
      </c>
      <c r="J1101" s="4" t="s">
        <v>46</v>
      </c>
      <c r="K1101" s="4" t="s">
        <v>100</v>
      </c>
      <c r="L1101" s="4" t="s">
        <v>101</v>
      </c>
      <c r="M1101" s="4" t="s">
        <v>49</v>
      </c>
      <c r="N1101" s="4" t="s">
        <v>119</v>
      </c>
      <c r="O1101" s="4">
        <v>14</v>
      </c>
      <c r="P1101" s="7">
        <v>1940</v>
      </c>
      <c r="Q1101" s="8">
        <v>0.1</v>
      </c>
      <c r="R1101" s="7">
        <v>1100</v>
      </c>
      <c r="S1101" s="7">
        <f>Table1_1[[#This Row],[Units Sold]]*Table1_1[[#This Row],[Unit Price]]*(1-Table1_1[[#This Row],[Discount %]])</f>
        <v>24444</v>
      </c>
      <c r="T1101" s="7">
        <f>Table1_1[[#This Row],[Units Sold]]*Table1_1[[#This Row],[Unit Cost]]</f>
        <v>15400</v>
      </c>
      <c r="U1101" s="7">
        <f>Table1_1[[#This Row],[Calculated sales]]-Table1_1[[#This Row],[Total cost]]</f>
        <v>9044</v>
      </c>
      <c r="V1101" s="4">
        <f>IFERROR(Table1_1[[#This Row],[Profit/Loss]]/Table1_1[[#This Row],[Calculated sales]],0)</f>
        <v>0.36998854524627722</v>
      </c>
    </row>
    <row r="1102" spans="1:22" x14ac:dyDescent="0.25">
      <c r="A1102" s="4" t="s">
        <v>1251</v>
      </c>
      <c r="B1102" s="5">
        <v>45853</v>
      </c>
      <c r="C1102" s="4">
        <f>YEAR(Table1_1[[#This Row],[Order Dates]])</f>
        <v>2025</v>
      </c>
      <c r="D1102" s="6">
        <f>MONTH(Table1_1[[#This Row],[Order Dates]])</f>
        <v>7</v>
      </c>
      <c r="E1102" s="4" t="s">
        <v>37</v>
      </c>
      <c r="F1102" s="4" t="s">
        <v>67</v>
      </c>
      <c r="G1102" s="4" t="s">
        <v>68</v>
      </c>
      <c r="H1102" s="4" t="str">
        <f>TRIM(CLEAN(SUBSTITUTE(Table1_1[[#This Row],[Salesperson]],"   "," ")))</f>
        <v>Ritika Ghosh</v>
      </c>
      <c r="I1102" s="4" t="s">
        <v>19</v>
      </c>
      <c r="J1102" s="4" t="s">
        <v>83</v>
      </c>
      <c r="K1102" s="4" t="s">
        <v>184</v>
      </c>
      <c r="L1102" s="4" t="s">
        <v>1679</v>
      </c>
      <c r="M1102" s="4" t="s">
        <v>23</v>
      </c>
      <c r="N1102" s="4" t="s">
        <v>24</v>
      </c>
      <c r="O1102" s="4">
        <v>15</v>
      </c>
      <c r="P1102" s="7">
        <v>4710</v>
      </c>
      <c r="Q1102" s="8">
        <v>0.15</v>
      </c>
      <c r="R1102" s="7">
        <v>3680</v>
      </c>
      <c r="S1102" s="7">
        <f>Table1_1[[#This Row],[Units Sold]]*Table1_1[[#This Row],[Unit Price]]*(1-Table1_1[[#This Row],[Discount %]])</f>
        <v>60052.5</v>
      </c>
      <c r="T1102" s="7">
        <f>Table1_1[[#This Row],[Units Sold]]*Table1_1[[#This Row],[Unit Cost]]</f>
        <v>55200</v>
      </c>
      <c r="U1102" s="7">
        <f>Table1_1[[#This Row],[Calculated sales]]-Table1_1[[#This Row],[Total cost]]</f>
        <v>4852.5</v>
      </c>
      <c r="V1102" s="4">
        <f>IFERROR(Table1_1[[#This Row],[Profit/Loss]]/Table1_1[[#This Row],[Calculated sales]],0)</f>
        <v>8.0804296240789303E-2</v>
      </c>
    </row>
    <row r="1103" spans="1:22" x14ac:dyDescent="0.25">
      <c r="A1103" s="4" t="s">
        <v>1252</v>
      </c>
      <c r="B1103" s="5">
        <v>45853</v>
      </c>
      <c r="C1103" s="4">
        <f>YEAR(Table1_1[[#This Row],[Order Dates]])</f>
        <v>2025</v>
      </c>
      <c r="D1103" s="6">
        <f>MONTH(Table1_1[[#This Row],[Order Dates]])</f>
        <v>7</v>
      </c>
      <c r="E1103" s="4" t="s">
        <v>37</v>
      </c>
      <c r="F1103" s="4" t="s">
        <v>166</v>
      </c>
      <c r="G1103" s="4" t="s">
        <v>68</v>
      </c>
      <c r="H1103" s="4" t="str">
        <f>TRIM(CLEAN(SUBSTITUTE(Table1_1[[#This Row],[Salesperson]],"   "," ")))</f>
        <v>Ritika Ghosh</v>
      </c>
      <c r="I1103" s="4" t="s">
        <v>92</v>
      </c>
      <c r="J1103" s="4" t="s">
        <v>27</v>
      </c>
      <c r="K1103" s="4" t="s">
        <v>214</v>
      </c>
      <c r="L1103" s="4" t="s">
        <v>1681</v>
      </c>
      <c r="M1103" s="4" t="s">
        <v>23</v>
      </c>
      <c r="N1103" s="4" t="s">
        <v>24</v>
      </c>
      <c r="O1103" s="4">
        <v>11</v>
      </c>
      <c r="P1103" s="7">
        <v>13950</v>
      </c>
      <c r="Q1103" s="8">
        <v>0.12</v>
      </c>
      <c r="R1103" s="7">
        <v>10420</v>
      </c>
      <c r="S1103" s="7">
        <f>Table1_1[[#This Row],[Units Sold]]*Table1_1[[#This Row],[Unit Price]]*(1-Table1_1[[#This Row],[Discount %]])</f>
        <v>135036</v>
      </c>
      <c r="T1103" s="7">
        <f>Table1_1[[#This Row],[Units Sold]]*Table1_1[[#This Row],[Unit Cost]]</f>
        <v>114620</v>
      </c>
      <c r="U1103" s="7">
        <f>Table1_1[[#This Row],[Calculated sales]]-Table1_1[[#This Row],[Total cost]]</f>
        <v>20416</v>
      </c>
      <c r="V1103" s="4">
        <f>IFERROR(Table1_1[[#This Row],[Profit/Loss]]/Table1_1[[#This Row],[Calculated sales]],0)</f>
        <v>0.15118931247963507</v>
      </c>
    </row>
    <row r="1104" spans="1:22" x14ac:dyDescent="0.25">
      <c r="A1104" s="4" t="s">
        <v>1253</v>
      </c>
      <c r="B1104" s="5">
        <v>45854</v>
      </c>
      <c r="C1104" s="4">
        <f>YEAR(Table1_1[[#This Row],[Order Dates]])</f>
        <v>2025</v>
      </c>
      <c r="D1104" s="6">
        <f>MONTH(Table1_1[[#This Row],[Order Dates]])</f>
        <v>7</v>
      </c>
      <c r="E1104" s="4" t="s">
        <v>76</v>
      </c>
      <c r="F1104" s="4" t="s">
        <v>77</v>
      </c>
      <c r="G1104" s="4" t="s">
        <v>170</v>
      </c>
      <c r="H1104" s="4" t="str">
        <f>TRIM(CLEAN(SUBSTITUTE(Table1_1[[#This Row],[Salesperson]],"   "," ")))</f>
        <v>Manish Tiwari</v>
      </c>
      <c r="I1104" s="4" t="s">
        <v>92</v>
      </c>
      <c r="J1104" s="4" t="s">
        <v>59</v>
      </c>
      <c r="K1104" s="4" t="s">
        <v>73</v>
      </c>
      <c r="L1104" s="4" t="s">
        <v>113</v>
      </c>
      <c r="M1104" s="4" t="s">
        <v>40</v>
      </c>
      <c r="N1104" s="4" t="s">
        <v>35</v>
      </c>
      <c r="O1104" s="4">
        <v>7</v>
      </c>
      <c r="P1104" s="7">
        <v>32520</v>
      </c>
      <c r="Q1104" s="8">
        <v>0.1</v>
      </c>
      <c r="R1104" s="7">
        <v>20480</v>
      </c>
      <c r="S1104" s="7">
        <f>Table1_1[[#This Row],[Units Sold]]*Table1_1[[#This Row],[Unit Price]]*(1-Table1_1[[#This Row],[Discount %]])</f>
        <v>204876</v>
      </c>
      <c r="T1104" s="7">
        <f>Table1_1[[#This Row],[Units Sold]]*Table1_1[[#This Row],[Unit Cost]]</f>
        <v>143360</v>
      </c>
      <c r="U1104" s="7">
        <f>Table1_1[[#This Row],[Calculated sales]]-Table1_1[[#This Row],[Total cost]]</f>
        <v>61516</v>
      </c>
      <c r="V1104" s="4">
        <f>IFERROR(Table1_1[[#This Row],[Profit/Loss]]/Table1_1[[#This Row],[Calculated sales]],0)</f>
        <v>0.30025966926335929</v>
      </c>
    </row>
    <row r="1105" spans="1:22" x14ac:dyDescent="0.25">
      <c r="A1105" s="4" t="s">
        <v>1254</v>
      </c>
      <c r="B1105" s="5">
        <v>45855</v>
      </c>
      <c r="C1105" s="4">
        <f>YEAR(Table1_1[[#This Row],[Order Dates]])</f>
        <v>2025</v>
      </c>
      <c r="D1105" s="6">
        <f>MONTH(Table1_1[[#This Row],[Order Dates]])</f>
        <v>7</v>
      </c>
      <c r="E1105" s="4" t="s">
        <v>56</v>
      </c>
      <c r="F1105" s="4" t="s">
        <v>127</v>
      </c>
      <c r="G1105" s="4" t="s">
        <v>91</v>
      </c>
      <c r="H1105" s="4" t="str">
        <f>TRIM(CLEAN(SUBSTITUTE(Table1_1[[#This Row],[Salesperson]],"   "," ")))</f>
        <v>Anjali Menon</v>
      </c>
      <c r="I1105" s="4" t="s">
        <v>19</v>
      </c>
      <c r="J1105" s="4" t="s">
        <v>27</v>
      </c>
      <c r="K1105" s="4" t="s">
        <v>53</v>
      </c>
      <c r="L1105" s="4" t="s">
        <v>1669</v>
      </c>
      <c r="M1105" s="4" t="s">
        <v>49</v>
      </c>
      <c r="N1105" s="4" t="s">
        <v>24</v>
      </c>
      <c r="O1105" s="4">
        <v>1</v>
      </c>
      <c r="P1105" s="7">
        <v>40960</v>
      </c>
      <c r="Q1105" s="8">
        <v>0</v>
      </c>
      <c r="R1105" s="7">
        <v>28830</v>
      </c>
      <c r="S1105" s="7">
        <f>Table1_1[[#This Row],[Units Sold]]*Table1_1[[#This Row],[Unit Price]]*(1-Table1_1[[#This Row],[Discount %]])</f>
        <v>40960</v>
      </c>
      <c r="T1105" s="7">
        <f>Table1_1[[#This Row],[Units Sold]]*Table1_1[[#This Row],[Unit Cost]]</f>
        <v>28830</v>
      </c>
      <c r="U1105" s="7">
        <f>Table1_1[[#This Row],[Calculated sales]]-Table1_1[[#This Row],[Total cost]]</f>
        <v>12130</v>
      </c>
      <c r="V1105" s="4">
        <f>IFERROR(Table1_1[[#This Row],[Profit/Loss]]/Table1_1[[#This Row],[Calculated sales]],0)</f>
        <v>0.296142578125</v>
      </c>
    </row>
    <row r="1106" spans="1:22" x14ac:dyDescent="0.25">
      <c r="A1106" s="4" t="s">
        <v>1255</v>
      </c>
      <c r="B1106" s="5">
        <v>45856</v>
      </c>
      <c r="C1106" s="4">
        <f>YEAR(Table1_1[[#This Row],[Order Dates]])</f>
        <v>2025</v>
      </c>
      <c r="D1106" s="6">
        <f>MONTH(Table1_1[[#This Row],[Order Dates]])</f>
        <v>7</v>
      </c>
      <c r="E1106" s="4" t="s">
        <v>16</v>
      </c>
      <c r="F1106" s="4" t="s">
        <v>51</v>
      </c>
      <c r="G1106" s="4" t="s">
        <v>32</v>
      </c>
      <c r="H1106" s="4" t="str">
        <f>TRIM(CLEAN(SUBSTITUTE(Table1_1[[#This Row],[Salesperson]],"   "," ")))</f>
        <v>Neha Deshpande</v>
      </c>
      <c r="I1106" s="4" t="s">
        <v>52</v>
      </c>
      <c r="J1106" s="4" t="s">
        <v>20</v>
      </c>
      <c r="K1106" s="4" t="s">
        <v>109</v>
      </c>
      <c r="L1106" s="4" t="s">
        <v>159</v>
      </c>
      <c r="M1106" s="4" t="s">
        <v>49</v>
      </c>
      <c r="N1106" s="4" t="s">
        <v>35</v>
      </c>
      <c r="O1106" s="4">
        <v>6</v>
      </c>
      <c r="P1106" s="7">
        <v>19170</v>
      </c>
      <c r="Q1106" s="8">
        <v>0.12</v>
      </c>
      <c r="R1106" s="7">
        <v>14520</v>
      </c>
      <c r="S1106" s="7">
        <f>Table1_1[[#This Row],[Units Sold]]*Table1_1[[#This Row],[Unit Price]]*(1-Table1_1[[#This Row],[Discount %]])</f>
        <v>101217.60000000001</v>
      </c>
      <c r="T1106" s="7">
        <f>Table1_1[[#This Row],[Units Sold]]*Table1_1[[#This Row],[Unit Cost]]</f>
        <v>87120</v>
      </c>
      <c r="U1106" s="7">
        <f>Table1_1[[#This Row],[Calculated sales]]-Table1_1[[#This Row],[Total cost]]</f>
        <v>14097.600000000006</v>
      </c>
      <c r="V1106" s="4">
        <f>IFERROR(Table1_1[[#This Row],[Profit/Loss]]/Table1_1[[#This Row],[Calculated sales]],0)</f>
        <v>0.13928012519561819</v>
      </c>
    </row>
    <row r="1107" spans="1:22" x14ac:dyDescent="0.25">
      <c r="A1107" s="4" t="s">
        <v>1256</v>
      </c>
      <c r="B1107" s="5">
        <v>45858</v>
      </c>
      <c r="C1107" s="4">
        <f>YEAR(Table1_1[[#This Row],[Order Dates]])</f>
        <v>2025</v>
      </c>
      <c r="D1107" s="6">
        <f>MONTH(Table1_1[[#This Row],[Order Dates]])</f>
        <v>7</v>
      </c>
      <c r="E1107" s="4" t="s">
        <v>56</v>
      </c>
      <c r="F1107" s="4" t="s">
        <v>133</v>
      </c>
      <c r="G1107" s="4" t="s">
        <v>58</v>
      </c>
      <c r="H1107" s="4" t="str">
        <f>TRIM(CLEAN(SUBSTITUTE(Table1_1[[#This Row],[Salesperson]],"   "," ")))</f>
        <v>Karthik Raman</v>
      </c>
      <c r="I1107" s="4" t="s">
        <v>19</v>
      </c>
      <c r="J1107" s="4" t="s">
        <v>20</v>
      </c>
      <c r="K1107" s="4" t="s">
        <v>21</v>
      </c>
      <c r="L1107" s="4" t="s">
        <v>1682</v>
      </c>
      <c r="M1107" s="4" t="s">
        <v>49</v>
      </c>
      <c r="N1107" s="4" t="s">
        <v>24</v>
      </c>
      <c r="O1107" s="4">
        <v>4</v>
      </c>
      <c r="P1107" s="7">
        <v>9600</v>
      </c>
      <c r="Q1107" s="8">
        <v>0.18</v>
      </c>
      <c r="R1107" s="7">
        <v>6670</v>
      </c>
      <c r="S1107" s="7">
        <f>Table1_1[[#This Row],[Units Sold]]*Table1_1[[#This Row],[Unit Price]]*(1-Table1_1[[#This Row],[Discount %]])</f>
        <v>31488.000000000004</v>
      </c>
      <c r="T1107" s="7">
        <f>Table1_1[[#This Row],[Units Sold]]*Table1_1[[#This Row],[Unit Cost]]</f>
        <v>26680</v>
      </c>
      <c r="U1107" s="7">
        <f>Table1_1[[#This Row],[Calculated sales]]-Table1_1[[#This Row],[Total cost]]</f>
        <v>4808.0000000000036</v>
      </c>
      <c r="V1107" s="4">
        <f>IFERROR(Table1_1[[#This Row],[Profit/Loss]]/Table1_1[[#This Row],[Calculated sales]],0)</f>
        <v>0.15269308943089441</v>
      </c>
    </row>
    <row r="1108" spans="1:22" x14ac:dyDescent="0.25">
      <c r="A1108" s="4" t="s">
        <v>1257</v>
      </c>
      <c r="B1108" s="5">
        <v>45858</v>
      </c>
      <c r="C1108" s="4">
        <f>YEAR(Table1_1[[#This Row],[Order Dates]])</f>
        <v>2025</v>
      </c>
      <c r="D1108" s="6">
        <f>MONTH(Table1_1[[#This Row],[Order Dates]])</f>
        <v>7</v>
      </c>
      <c r="E1108" s="4" t="s">
        <v>16</v>
      </c>
      <c r="F1108" s="4" t="s">
        <v>153</v>
      </c>
      <c r="G1108" s="4" t="s">
        <v>32</v>
      </c>
      <c r="H1108" s="4" t="str">
        <f>TRIM(CLEAN(SUBSTITUTE(Table1_1[[#This Row],[Salesperson]],"   "," ")))</f>
        <v>Neha Deshpande</v>
      </c>
      <c r="I1108" s="4" t="s">
        <v>52</v>
      </c>
      <c r="J1108" s="4" t="s">
        <v>27</v>
      </c>
      <c r="K1108" s="4" t="s">
        <v>79</v>
      </c>
      <c r="L1108" s="4" t="s">
        <v>262</v>
      </c>
      <c r="M1108" s="4" t="s">
        <v>23</v>
      </c>
      <c r="N1108" s="4" t="s">
        <v>24</v>
      </c>
      <c r="O1108" s="4">
        <v>26</v>
      </c>
      <c r="P1108" s="7">
        <v>2750</v>
      </c>
      <c r="Q1108" s="8">
        <v>0.1</v>
      </c>
      <c r="R1108" s="7">
        <v>1570</v>
      </c>
      <c r="S1108" s="7">
        <f>Table1_1[[#This Row],[Units Sold]]*Table1_1[[#This Row],[Unit Price]]*(1-Table1_1[[#This Row],[Discount %]])</f>
        <v>64350</v>
      </c>
      <c r="T1108" s="7">
        <f>Table1_1[[#This Row],[Units Sold]]*Table1_1[[#This Row],[Unit Cost]]</f>
        <v>40820</v>
      </c>
      <c r="U1108" s="7">
        <f>Table1_1[[#This Row],[Calculated sales]]-Table1_1[[#This Row],[Total cost]]</f>
        <v>23530</v>
      </c>
      <c r="V1108" s="4">
        <f>IFERROR(Table1_1[[#This Row],[Profit/Loss]]/Table1_1[[#This Row],[Calculated sales]],0)</f>
        <v>0.36565656565656568</v>
      </c>
    </row>
    <row r="1109" spans="1:22" x14ac:dyDescent="0.25">
      <c r="A1109" s="4" t="s">
        <v>1258</v>
      </c>
      <c r="B1109" s="5">
        <v>45858</v>
      </c>
      <c r="C1109" s="4">
        <f>YEAR(Table1_1[[#This Row],[Order Dates]])</f>
        <v>2025</v>
      </c>
      <c r="D1109" s="6">
        <f>MONTH(Table1_1[[#This Row],[Order Dates]])</f>
        <v>7</v>
      </c>
      <c r="E1109" s="4" t="s">
        <v>16</v>
      </c>
      <c r="F1109" s="4" t="s">
        <v>82</v>
      </c>
      <c r="G1109" s="4" t="s">
        <v>26</v>
      </c>
      <c r="H1109" s="4" t="str">
        <f>TRIM(CLEAN(SUBSTITUTE(Table1_1[[#This Row],[Salesperson]],"   "," ")))</f>
        <v>Prateek Shah</v>
      </c>
      <c r="I1109" s="4" t="s">
        <v>19</v>
      </c>
      <c r="J1109" s="4" t="s">
        <v>83</v>
      </c>
      <c r="K1109" s="4" t="s">
        <v>184</v>
      </c>
      <c r="L1109" s="4" t="s">
        <v>196</v>
      </c>
      <c r="M1109" s="4" t="s">
        <v>23</v>
      </c>
      <c r="N1109" s="4" t="s">
        <v>24</v>
      </c>
      <c r="O1109" s="4">
        <v>15</v>
      </c>
      <c r="P1109" s="7">
        <v>3130</v>
      </c>
      <c r="Q1109" s="8">
        <v>0.15</v>
      </c>
      <c r="R1109" s="7">
        <v>2220</v>
      </c>
      <c r="S1109" s="7">
        <f>Table1_1[[#This Row],[Units Sold]]*Table1_1[[#This Row],[Unit Price]]*(1-Table1_1[[#This Row],[Discount %]])</f>
        <v>39907.5</v>
      </c>
      <c r="T1109" s="7">
        <f>Table1_1[[#This Row],[Units Sold]]*Table1_1[[#This Row],[Unit Cost]]</f>
        <v>33300</v>
      </c>
      <c r="U1109" s="7">
        <f>Table1_1[[#This Row],[Calculated sales]]-Table1_1[[#This Row],[Total cost]]</f>
        <v>6607.5</v>
      </c>
      <c r="V1109" s="4">
        <f>IFERROR(Table1_1[[#This Row],[Profit/Loss]]/Table1_1[[#This Row],[Calculated sales]],0)</f>
        <v>0.16557038150723549</v>
      </c>
    </row>
    <row r="1110" spans="1:22" x14ac:dyDescent="0.25">
      <c r="A1110" s="4" t="s">
        <v>1259</v>
      </c>
      <c r="B1110" s="5">
        <v>45858</v>
      </c>
      <c r="C1110" s="4">
        <f>YEAR(Table1_1[[#This Row],[Order Dates]])</f>
        <v>2025</v>
      </c>
      <c r="D1110" s="6">
        <f>MONTH(Table1_1[[#This Row],[Order Dates]])</f>
        <v>7</v>
      </c>
      <c r="E1110" s="4" t="s">
        <v>42</v>
      </c>
      <c r="F1110" s="4" t="s">
        <v>130</v>
      </c>
      <c r="G1110" s="4" t="s">
        <v>64</v>
      </c>
      <c r="H1110" s="4" t="str">
        <f>TRIM(CLEAN(SUBSTITUTE(Table1_1[[#This Row],[Salesperson]],"   "," ")))</f>
        <v>Aditya Verma</v>
      </c>
      <c r="I1110" s="4" t="s">
        <v>19</v>
      </c>
      <c r="J1110" s="4" t="s">
        <v>20</v>
      </c>
      <c r="K1110" s="4" t="s">
        <v>87</v>
      </c>
      <c r="L1110" s="4" t="s">
        <v>1674</v>
      </c>
      <c r="M1110" s="4" t="s">
        <v>23</v>
      </c>
      <c r="N1110" s="4" t="s">
        <v>24</v>
      </c>
      <c r="O1110" s="4">
        <v>1</v>
      </c>
      <c r="P1110" s="7">
        <v>51970</v>
      </c>
      <c r="Q1110" s="8">
        <v>0.15</v>
      </c>
      <c r="R1110" s="7">
        <v>35150</v>
      </c>
      <c r="S1110" s="7">
        <f>Table1_1[[#This Row],[Units Sold]]*Table1_1[[#This Row],[Unit Price]]*(1-Table1_1[[#This Row],[Discount %]])</f>
        <v>44174.5</v>
      </c>
      <c r="T1110" s="7">
        <f>Table1_1[[#This Row],[Units Sold]]*Table1_1[[#This Row],[Unit Cost]]</f>
        <v>35150</v>
      </c>
      <c r="U1110" s="7">
        <f>Table1_1[[#This Row],[Calculated sales]]-Table1_1[[#This Row],[Total cost]]</f>
        <v>9024.5</v>
      </c>
      <c r="V1110" s="4">
        <f>IFERROR(Table1_1[[#This Row],[Profit/Loss]]/Table1_1[[#This Row],[Calculated sales]],0)</f>
        <v>0.20429206895380819</v>
      </c>
    </row>
    <row r="1111" spans="1:22" x14ac:dyDescent="0.25">
      <c r="A1111" s="4" t="s">
        <v>1260</v>
      </c>
      <c r="B1111" s="5">
        <v>45858</v>
      </c>
      <c r="C1111" s="4">
        <f>YEAR(Table1_1[[#This Row],[Order Dates]])</f>
        <v>2025</v>
      </c>
      <c r="D1111" s="6">
        <f>MONTH(Table1_1[[#This Row],[Order Dates]])</f>
        <v>7</v>
      </c>
      <c r="E1111" s="4" t="s">
        <v>76</v>
      </c>
      <c r="F1111" s="4" t="s">
        <v>217</v>
      </c>
      <c r="G1111" s="4" t="s">
        <v>78</v>
      </c>
      <c r="H1111" s="4" t="str">
        <f>TRIM(CLEAN(SUBSTITUTE(Table1_1[[#This Row],[Salesperson]],"   "," ")))</f>
        <v>Pooja Chouhan</v>
      </c>
      <c r="I1111" s="4" t="s">
        <v>19</v>
      </c>
      <c r="J1111" s="4" t="s">
        <v>46</v>
      </c>
      <c r="K1111" s="4" t="s">
        <v>47</v>
      </c>
      <c r="L1111" s="4" t="s">
        <v>1673</v>
      </c>
      <c r="M1111" s="4" t="s">
        <v>23</v>
      </c>
      <c r="N1111" s="4" t="s">
        <v>94</v>
      </c>
      <c r="O1111" s="4">
        <v>18</v>
      </c>
      <c r="P1111" s="7">
        <v>1260</v>
      </c>
      <c r="Q1111" s="8">
        <v>0.18</v>
      </c>
      <c r="R1111" s="7">
        <v>760</v>
      </c>
      <c r="S1111" s="7">
        <f>Table1_1[[#This Row],[Units Sold]]*Table1_1[[#This Row],[Unit Price]]*(1-Table1_1[[#This Row],[Discount %]])</f>
        <v>18597.600000000002</v>
      </c>
      <c r="T1111" s="7">
        <f>Table1_1[[#This Row],[Units Sold]]*Table1_1[[#This Row],[Unit Cost]]</f>
        <v>13680</v>
      </c>
      <c r="U1111" s="7">
        <f>Table1_1[[#This Row],[Calculated sales]]-Table1_1[[#This Row],[Total cost]]</f>
        <v>4917.6000000000022</v>
      </c>
      <c r="V1111" s="4">
        <f>IFERROR(Table1_1[[#This Row],[Profit/Loss]]/Table1_1[[#This Row],[Calculated sales]],0)</f>
        <v>0.2644212156407279</v>
      </c>
    </row>
    <row r="1112" spans="1:22" x14ac:dyDescent="0.25">
      <c r="A1112" s="4" t="s">
        <v>1261</v>
      </c>
      <c r="B1112" s="5">
        <v>45859</v>
      </c>
      <c r="C1112" s="4">
        <f>YEAR(Table1_1[[#This Row],[Order Dates]])</f>
        <v>2025</v>
      </c>
      <c r="D1112" s="6">
        <f>MONTH(Table1_1[[#This Row],[Order Dates]])</f>
        <v>7</v>
      </c>
      <c r="E1112" s="4" t="s">
        <v>56</v>
      </c>
      <c r="F1112" s="4" t="s">
        <v>103</v>
      </c>
      <c r="G1112" s="4" t="s">
        <v>134</v>
      </c>
      <c r="H1112" s="4" t="str">
        <f>TRIM(CLEAN(SUBSTITUTE(Table1_1[[#This Row],[Salesperson]],"   "," ")))</f>
        <v>Divya Nair</v>
      </c>
      <c r="I1112" s="4" t="s">
        <v>52</v>
      </c>
      <c r="J1112" s="4" t="s">
        <v>59</v>
      </c>
      <c r="K1112" s="4" t="s">
        <v>69</v>
      </c>
      <c r="L1112" s="4" t="s">
        <v>70</v>
      </c>
      <c r="M1112" s="4" t="s">
        <v>40</v>
      </c>
      <c r="N1112" s="4" t="s">
        <v>24</v>
      </c>
      <c r="O1112" s="4">
        <v>8</v>
      </c>
      <c r="P1112" s="7">
        <v>27790</v>
      </c>
      <c r="Q1112" s="8">
        <v>0.1</v>
      </c>
      <c r="R1112" s="7">
        <v>21650</v>
      </c>
      <c r="S1112" s="7">
        <f>Table1_1[[#This Row],[Units Sold]]*Table1_1[[#This Row],[Unit Price]]*(1-Table1_1[[#This Row],[Discount %]])</f>
        <v>200088</v>
      </c>
      <c r="T1112" s="7">
        <f>Table1_1[[#This Row],[Units Sold]]*Table1_1[[#This Row],[Unit Cost]]</f>
        <v>173200</v>
      </c>
      <c r="U1112" s="7">
        <f>Table1_1[[#This Row],[Calculated sales]]-Table1_1[[#This Row],[Total cost]]</f>
        <v>26888</v>
      </c>
      <c r="V1112" s="4">
        <f>IFERROR(Table1_1[[#This Row],[Profit/Loss]]/Table1_1[[#This Row],[Calculated sales]],0)</f>
        <v>0.13438087241613689</v>
      </c>
    </row>
    <row r="1113" spans="1:22" x14ac:dyDescent="0.25">
      <c r="A1113" s="4" t="s">
        <v>1262</v>
      </c>
      <c r="B1113" s="5">
        <v>45860</v>
      </c>
      <c r="C1113" s="4">
        <f>YEAR(Table1_1[[#This Row],[Order Dates]])</f>
        <v>2025</v>
      </c>
      <c r="D1113" s="6">
        <f>MONTH(Table1_1[[#This Row],[Order Dates]])</f>
        <v>7</v>
      </c>
      <c r="E1113" s="4" t="s">
        <v>37</v>
      </c>
      <c r="F1113" s="4" t="s">
        <v>115</v>
      </c>
      <c r="G1113" s="4" t="s">
        <v>39</v>
      </c>
      <c r="H1113" s="4" t="str">
        <f>TRIM(CLEAN(SUBSTITUTE(Table1_1[[#This Row],[Salesperson]],"   "," ")))</f>
        <v>Sourav Das</v>
      </c>
      <c r="I1113" s="4" t="s">
        <v>19</v>
      </c>
      <c r="J1113" s="4" t="s">
        <v>27</v>
      </c>
      <c r="K1113" s="4" t="s">
        <v>53</v>
      </c>
      <c r="L1113" s="4" t="s">
        <v>1669</v>
      </c>
      <c r="M1113" s="4" t="s">
        <v>40</v>
      </c>
      <c r="N1113" s="4" t="s">
        <v>24</v>
      </c>
      <c r="O1113" s="4">
        <v>3</v>
      </c>
      <c r="P1113" s="7">
        <v>41560</v>
      </c>
      <c r="Q1113" s="8">
        <v>0</v>
      </c>
      <c r="R1113" s="7">
        <v>25190</v>
      </c>
      <c r="S1113" s="7">
        <f>Table1_1[[#This Row],[Units Sold]]*Table1_1[[#This Row],[Unit Price]]*(1-Table1_1[[#This Row],[Discount %]])</f>
        <v>124680</v>
      </c>
      <c r="T1113" s="7">
        <f>Table1_1[[#This Row],[Units Sold]]*Table1_1[[#This Row],[Unit Cost]]</f>
        <v>75570</v>
      </c>
      <c r="U1113" s="7">
        <f>Table1_1[[#This Row],[Calculated sales]]-Table1_1[[#This Row],[Total cost]]</f>
        <v>49110</v>
      </c>
      <c r="V1113" s="4">
        <f>IFERROR(Table1_1[[#This Row],[Profit/Loss]]/Table1_1[[#This Row],[Calculated sales]],0)</f>
        <v>0.39388835418671797</v>
      </c>
    </row>
    <row r="1114" spans="1:22" x14ac:dyDescent="0.25">
      <c r="A1114" s="4" t="s">
        <v>1263</v>
      </c>
      <c r="B1114" s="5">
        <v>45860</v>
      </c>
      <c r="C1114" s="4">
        <f>YEAR(Table1_1[[#This Row],[Order Dates]])</f>
        <v>2025</v>
      </c>
      <c r="D1114" s="6">
        <f>MONTH(Table1_1[[#This Row],[Order Dates]])</f>
        <v>7</v>
      </c>
      <c r="E1114" s="4" t="s">
        <v>16</v>
      </c>
      <c r="F1114" s="4" t="s">
        <v>82</v>
      </c>
      <c r="G1114" s="4" t="s">
        <v>18</v>
      </c>
      <c r="H1114" s="4" t="str">
        <f>TRIM(CLEAN(SUBSTITUTE(Table1_1[[#This Row],[Salesperson]],"   "," ")))</f>
        <v>Imran Sheikh</v>
      </c>
      <c r="I1114" s="4" t="s">
        <v>92</v>
      </c>
      <c r="J1114" s="4" t="s">
        <v>20</v>
      </c>
      <c r="K1114" s="4" t="s">
        <v>87</v>
      </c>
      <c r="L1114" s="4" t="s">
        <v>1672</v>
      </c>
      <c r="M1114" s="4" t="s">
        <v>23</v>
      </c>
      <c r="N1114" s="4" t="s">
        <v>24</v>
      </c>
      <c r="O1114" s="4">
        <v>3</v>
      </c>
      <c r="P1114" s="7">
        <v>32030</v>
      </c>
      <c r="Q1114" s="8">
        <v>0.05</v>
      </c>
      <c r="R1114" s="7">
        <v>20250</v>
      </c>
      <c r="S1114" s="7">
        <f>Table1_1[[#This Row],[Units Sold]]*Table1_1[[#This Row],[Unit Price]]*(1-Table1_1[[#This Row],[Discount %]])</f>
        <v>91285.5</v>
      </c>
      <c r="T1114" s="7">
        <f>Table1_1[[#This Row],[Units Sold]]*Table1_1[[#This Row],[Unit Cost]]</f>
        <v>60750</v>
      </c>
      <c r="U1114" s="7">
        <f>Table1_1[[#This Row],[Calculated sales]]-Table1_1[[#This Row],[Total cost]]</f>
        <v>30535.5</v>
      </c>
      <c r="V1114" s="4">
        <f>IFERROR(Table1_1[[#This Row],[Profit/Loss]]/Table1_1[[#This Row],[Calculated sales]],0)</f>
        <v>0.33450548005981234</v>
      </c>
    </row>
    <row r="1115" spans="1:22" x14ac:dyDescent="0.25">
      <c r="A1115" s="4" t="s">
        <v>1264</v>
      </c>
      <c r="B1115" s="5">
        <v>45860</v>
      </c>
      <c r="C1115" s="4">
        <f>YEAR(Table1_1[[#This Row],[Order Dates]])</f>
        <v>2025</v>
      </c>
      <c r="D1115" s="6">
        <f>MONTH(Table1_1[[#This Row],[Order Dates]])</f>
        <v>7</v>
      </c>
      <c r="E1115" s="4" t="s">
        <v>16</v>
      </c>
      <c r="F1115" s="4" t="s">
        <v>51</v>
      </c>
      <c r="G1115" s="4" t="s">
        <v>26</v>
      </c>
      <c r="H1115" s="4" t="str">
        <f>TRIM(CLEAN(SUBSTITUTE(Table1_1[[#This Row],[Salesperson]],"   "," ")))</f>
        <v>Prateek Shah</v>
      </c>
      <c r="I1115" s="4" t="s">
        <v>19</v>
      </c>
      <c r="J1115" s="4" t="s">
        <v>27</v>
      </c>
      <c r="K1115" s="4" t="s">
        <v>53</v>
      </c>
      <c r="L1115" s="4" t="s">
        <v>1676</v>
      </c>
      <c r="M1115" s="4" t="s">
        <v>23</v>
      </c>
      <c r="N1115" s="4" t="s">
        <v>24</v>
      </c>
      <c r="O1115" s="4">
        <v>1</v>
      </c>
      <c r="P1115" s="7">
        <v>35680</v>
      </c>
      <c r="Q1115" s="8">
        <v>0.08</v>
      </c>
      <c r="R1115" s="7">
        <v>23000</v>
      </c>
      <c r="S1115" s="7">
        <f>Table1_1[[#This Row],[Units Sold]]*Table1_1[[#This Row],[Unit Price]]*(1-Table1_1[[#This Row],[Discount %]])</f>
        <v>32825.599999999999</v>
      </c>
      <c r="T1115" s="7">
        <f>Table1_1[[#This Row],[Units Sold]]*Table1_1[[#This Row],[Unit Cost]]</f>
        <v>23000</v>
      </c>
      <c r="U1115" s="7">
        <f>Table1_1[[#This Row],[Calculated sales]]-Table1_1[[#This Row],[Total cost]]</f>
        <v>9825.5999999999985</v>
      </c>
      <c r="V1115" s="4">
        <f>IFERROR(Table1_1[[#This Row],[Profit/Loss]]/Table1_1[[#This Row],[Calculated sales]],0)</f>
        <v>0.29932735426008966</v>
      </c>
    </row>
    <row r="1116" spans="1:22" x14ac:dyDescent="0.25">
      <c r="A1116" s="4" t="s">
        <v>1265</v>
      </c>
      <c r="B1116" s="5">
        <v>45860</v>
      </c>
      <c r="C1116" s="4">
        <f>YEAR(Table1_1[[#This Row],[Order Dates]])</f>
        <v>2025</v>
      </c>
      <c r="D1116" s="6">
        <f>MONTH(Table1_1[[#This Row],[Order Dates]])</f>
        <v>7</v>
      </c>
      <c r="E1116" s="4" t="s">
        <v>42</v>
      </c>
      <c r="F1116" s="4" t="s">
        <v>96</v>
      </c>
      <c r="G1116" s="4" t="s">
        <v>97</v>
      </c>
      <c r="H1116" s="4" t="str">
        <f>TRIM(CLEAN(SUBSTITUTE(Table1_1[[#This Row],[Salesperson]],"   "," ")))</f>
        <v>Rohit Malhotra</v>
      </c>
      <c r="I1116" s="4" t="s">
        <v>52</v>
      </c>
      <c r="J1116" s="4" t="s">
        <v>27</v>
      </c>
      <c r="K1116" s="4" t="s">
        <v>79</v>
      </c>
      <c r="L1116" s="4" t="s">
        <v>262</v>
      </c>
      <c r="M1116" s="4" t="s">
        <v>23</v>
      </c>
      <c r="N1116" s="4" t="s">
        <v>94</v>
      </c>
      <c r="O1116" s="4">
        <v>29</v>
      </c>
      <c r="P1116" s="7">
        <v>2520</v>
      </c>
      <c r="Q1116" s="8">
        <v>0.18</v>
      </c>
      <c r="R1116" s="7">
        <v>1580</v>
      </c>
      <c r="S1116" s="7">
        <f>Table1_1[[#This Row],[Units Sold]]*Table1_1[[#This Row],[Unit Price]]*(1-Table1_1[[#This Row],[Discount %]])</f>
        <v>59925.600000000006</v>
      </c>
      <c r="T1116" s="7">
        <f>Table1_1[[#This Row],[Units Sold]]*Table1_1[[#This Row],[Unit Cost]]</f>
        <v>45820</v>
      </c>
      <c r="U1116" s="7">
        <f>Table1_1[[#This Row],[Calculated sales]]-Table1_1[[#This Row],[Total cost]]</f>
        <v>14105.600000000006</v>
      </c>
      <c r="V1116" s="4">
        <f>IFERROR(Table1_1[[#This Row],[Profit/Loss]]/Table1_1[[#This Row],[Calculated sales]],0)</f>
        <v>0.23538521099496718</v>
      </c>
    </row>
    <row r="1117" spans="1:22" x14ac:dyDescent="0.25">
      <c r="A1117" s="4" t="s">
        <v>1266</v>
      </c>
      <c r="B1117" s="5">
        <v>45861</v>
      </c>
      <c r="C1117" s="4">
        <f>YEAR(Table1_1[[#This Row],[Order Dates]])</f>
        <v>2025</v>
      </c>
      <c r="D1117" s="6">
        <f>MONTH(Table1_1[[#This Row],[Order Dates]])</f>
        <v>7</v>
      </c>
      <c r="E1117" s="4" t="s">
        <v>16</v>
      </c>
      <c r="F1117" s="4" t="s">
        <v>153</v>
      </c>
      <c r="G1117" s="4" t="s">
        <v>32</v>
      </c>
      <c r="H1117" s="4" t="str">
        <f>TRIM(CLEAN(SUBSTITUTE(Table1_1[[#This Row],[Salesperson]],"   "," ")))</f>
        <v>Neha Deshpande</v>
      </c>
      <c r="I1117" s="4" t="s">
        <v>92</v>
      </c>
      <c r="J1117" s="4" t="s">
        <v>20</v>
      </c>
      <c r="K1117" s="4" t="s">
        <v>87</v>
      </c>
      <c r="L1117" s="4" t="s">
        <v>1674</v>
      </c>
      <c r="M1117" s="4" t="s">
        <v>23</v>
      </c>
      <c r="N1117" s="4" t="s">
        <v>94</v>
      </c>
      <c r="O1117" s="4">
        <v>7</v>
      </c>
      <c r="P1117" s="7">
        <v>52550</v>
      </c>
      <c r="Q1117" s="8">
        <v>0.15</v>
      </c>
      <c r="R1117" s="7">
        <v>39310</v>
      </c>
      <c r="S1117" s="7">
        <f>Table1_1[[#This Row],[Units Sold]]*Table1_1[[#This Row],[Unit Price]]*(1-Table1_1[[#This Row],[Discount %]])</f>
        <v>312672.5</v>
      </c>
      <c r="T1117" s="7">
        <f>Table1_1[[#This Row],[Units Sold]]*Table1_1[[#This Row],[Unit Cost]]</f>
        <v>275170</v>
      </c>
      <c r="U1117" s="7">
        <f>Table1_1[[#This Row],[Calculated sales]]-Table1_1[[#This Row],[Total cost]]</f>
        <v>37502.5</v>
      </c>
      <c r="V1117" s="4">
        <f>IFERROR(Table1_1[[#This Row],[Profit/Loss]]/Table1_1[[#This Row],[Calculated sales]],0)</f>
        <v>0.11994179213074382</v>
      </c>
    </row>
    <row r="1118" spans="1:22" x14ac:dyDescent="0.25">
      <c r="A1118" s="4" t="s">
        <v>1267</v>
      </c>
      <c r="B1118" s="5">
        <v>45861</v>
      </c>
      <c r="C1118" s="4">
        <f>YEAR(Table1_1[[#This Row],[Order Dates]])</f>
        <v>2025</v>
      </c>
      <c r="D1118" s="6">
        <f>MONTH(Table1_1[[#This Row],[Order Dates]])</f>
        <v>7</v>
      </c>
      <c r="E1118" s="4" t="s">
        <v>16</v>
      </c>
      <c r="F1118" s="4" t="s">
        <v>51</v>
      </c>
      <c r="G1118" s="4" t="s">
        <v>26</v>
      </c>
      <c r="H1118" s="4" t="str">
        <f>TRIM(CLEAN(SUBSTITUTE(Table1_1[[#This Row],[Salesperson]],"   "," ")))</f>
        <v>Prateek Shah</v>
      </c>
      <c r="I1118" s="4" t="s">
        <v>52</v>
      </c>
      <c r="J1118" s="4" t="s">
        <v>27</v>
      </c>
      <c r="K1118" s="4" t="s">
        <v>214</v>
      </c>
      <c r="L1118" s="4" t="s">
        <v>1680</v>
      </c>
      <c r="M1118" s="4" t="s">
        <v>23</v>
      </c>
      <c r="N1118" s="4" t="s">
        <v>24</v>
      </c>
      <c r="O1118" s="4">
        <v>1</v>
      </c>
      <c r="P1118" s="7">
        <v>33870</v>
      </c>
      <c r="Q1118" s="8">
        <v>0.1</v>
      </c>
      <c r="R1118" s="7">
        <v>24070</v>
      </c>
      <c r="S1118" s="7">
        <f>Table1_1[[#This Row],[Units Sold]]*Table1_1[[#This Row],[Unit Price]]*(1-Table1_1[[#This Row],[Discount %]])</f>
        <v>30483</v>
      </c>
      <c r="T1118" s="7">
        <f>Table1_1[[#This Row],[Units Sold]]*Table1_1[[#This Row],[Unit Cost]]</f>
        <v>24070</v>
      </c>
      <c r="U1118" s="7">
        <f>Table1_1[[#This Row],[Calculated sales]]-Table1_1[[#This Row],[Total cost]]</f>
        <v>6413</v>
      </c>
      <c r="V1118" s="4">
        <f>IFERROR(Table1_1[[#This Row],[Profit/Loss]]/Table1_1[[#This Row],[Calculated sales]],0)</f>
        <v>0.21037955581799692</v>
      </c>
    </row>
    <row r="1119" spans="1:22" x14ac:dyDescent="0.25">
      <c r="A1119" s="4" t="s">
        <v>1268</v>
      </c>
      <c r="B1119" s="5">
        <v>45862</v>
      </c>
      <c r="C1119" s="4">
        <f>YEAR(Table1_1[[#This Row],[Order Dates]])</f>
        <v>2025</v>
      </c>
      <c r="D1119" s="6">
        <f>MONTH(Table1_1[[#This Row],[Order Dates]])</f>
        <v>7</v>
      </c>
      <c r="E1119" s="4" t="s">
        <v>76</v>
      </c>
      <c r="F1119" s="4" t="s">
        <v>112</v>
      </c>
      <c r="G1119" s="4" t="s">
        <v>170</v>
      </c>
      <c r="H1119" s="4" t="str">
        <f>TRIM(CLEAN(SUBSTITUTE(Table1_1[[#This Row],[Salesperson]],"   "," ")))</f>
        <v>Manish Tiwari</v>
      </c>
      <c r="I1119" s="4" t="s">
        <v>19</v>
      </c>
      <c r="J1119" s="4" t="s">
        <v>83</v>
      </c>
      <c r="K1119" s="4" t="s">
        <v>84</v>
      </c>
      <c r="L1119" s="4" t="s">
        <v>292</v>
      </c>
      <c r="M1119" s="4" t="s">
        <v>40</v>
      </c>
      <c r="N1119" s="4" t="s">
        <v>24</v>
      </c>
      <c r="O1119" s="4">
        <v>4</v>
      </c>
      <c r="P1119" s="7">
        <v>42350</v>
      </c>
      <c r="Q1119" s="8">
        <v>0.1</v>
      </c>
      <c r="R1119" s="7">
        <v>24780</v>
      </c>
      <c r="S1119" s="7">
        <f>Table1_1[[#This Row],[Units Sold]]*Table1_1[[#This Row],[Unit Price]]*(1-Table1_1[[#This Row],[Discount %]])</f>
        <v>152460</v>
      </c>
      <c r="T1119" s="7">
        <f>Table1_1[[#This Row],[Units Sold]]*Table1_1[[#This Row],[Unit Cost]]</f>
        <v>99120</v>
      </c>
      <c r="U1119" s="7">
        <f>Table1_1[[#This Row],[Calculated sales]]-Table1_1[[#This Row],[Total cost]]</f>
        <v>53340</v>
      </c>
      <c r="V1119" s="4">
        <f>IFERROR(Table1_1[[#This Row],[Profit/Loss]]/Table1_1[[#This Row],[Calculated sales]],0)</f>
        <v>0.34986225895316803</v>
      </c>
    </row>
    <row r="1120" spans="1:22" x14ac:dyDescent="0.25">
      <c r="A1120" s="4" t="s">
        <v>1269</v>
      </c>
      <c r="B1120" s="5">
        <v>45862</v>
      </c>
      <c r="C1120" s="4">
        <f>YEAR(Table1_1[[#This Row],[Order Dates]])</f>
        <v>2025</v>
      </c>
      <c r="D1120" s="6">
        <f>MONTH(Table1_1[[#This Row],[Order Dates]])</f>
        <v>7</v>
      </c>
      <c r="E1120" s="4" t="s">
        <v>16</v>
      </c>
      <c r="F1120" s="4" t="s">
        <v>31</v>
      </c>
      <c r="G1120" s="4" t="s">
        <v>32</v>
      </c>
      <c r="H1120" s="4" t="str">
        <f>TRIM(CLEAN(SUBSTITUTE(Table1_1[[#This Row],[Salesperson]],"   "," ")))</f>
        <v>Neha Deshpande</v>
      </c>
      <c r="I1120" s="4" t="s">
        <v>19</v>
      </c>
      <c r="J1120" s="4" t="s">
        <v>27</v>
      </c>
      <c r="K1120" s="4" t="s">
        <v>79</v>
      </c>
      <c r="L1120" s="4" t="s">
        <v>80</v>
      </c>
      <c r="M1120" s="4" t="s">
        <v>23</v>
      </c>
      <c r="N1120" s="4" t="s">
        <v>24</v>
      </c>
      <c r="O1120" s="4">
        <v>13</v>
      </c>
      <c r="P1120" s="7">
        <v>4330</v>
      </c>
      <c r="Q1120" s="8">
        <v>0.1</v>
      </c>
      <c r="R1120" s="7">
        <v>2510</v>
      </c>
      <c r="S1120" s="7">
        <f>Table1_1[[#This Row],[Units Sold]]*Table1_1[[#This Row],[Unit Price]]*(1-Table1_1[[#This Row],[Discount %]])</f>
        <v>50661</v>
      </c>
      <c r="T1120" s="7">
        <f>Table1_1[[#This Row],[Units Sold]]*Table1_1[[#This Row],[Unit Cost]]</f>
        <v>32630</v>
      </c>
      <c r="U1120" s="7">
        <f>Table1_1[[#This Row],[Calculated sales]]-Table1_1[[#This Row],[Total cost]]</f>
        <v>18031</v>
      </c>
      <c r="V1120" s="4">
        <f>IFERROR(Table1_1[[#This Row],[Profit/Loss]]/Table1_1[[#This Row],[Calculated sales]],0)</f>
        <v>0.35591480626122657</v>
      </c>
    </row>
    <row r="1121" spans="1:22" x14ac:dyDescent="0.25">
      <c r="A1121" s="4" t="s">
        <v>1270</v>
      </c>
      <c r="B1121" s="5">
        <v>45864</v>
      </c>
      <c r="C1121" s="4">
        <f>YEAR(Table1_1[[#This Row],[Order Dates]])</f>
        <v>2025</v>
      </c>
      <c r="D1121" s="6">
        <f>MONTH(Table1_1[[#This Row],[Order Dates]])</f>
        <v>7</v>
      </c>
      <c r="E1121" s="4" t="s">
        <v>16</v>
      </c>
      <c r="F1121" s="4" t="s">
        <v>17</v>
      </c>
      <c r="G1121" s="4" t="s">
        <v>32</v>
      </c>
      <c r="H1121" s="4" t="str">
        <f>TRIM(CLEAN(SUBSTITUTE(Table1_1[[#This Row],[Salesperson]],"   "," ")))</f>
        <v>Neha Deshpande</v>
      </c>
      <c r="I1121" s="4" t="s">
        <v>19</v>
      </c>
      <c r="J1121" s="4" t="s">
        <v>59</v>
      </c>
      <c r="K1121" s="4" t="s">
        <v>69</v>
      </c>
      <c r="L1121" s="4" t="s">
        <v>70</v>
      </c>
      <c r="M1121" s="4" t="s">
        <v>49</v>
      </c>
      <c r="N1121" s="4" t="s">
        <v>94</v>
      </c>
      <c r="O1121" s="4">
        <v>3</v>
      </c>
      <c r="P1121" s="7">
        <v>29500</v>
      </c>
      <c r="Q1121" s="8">
        <v>0.25</v>
      </c>
      <c r="R1121" s="7">
        <v>18520</v>
      </c>
      <c r="S1121" s="7">
        <f>Table1_1[[#This Row],[Units Sold]]*Table1_1[[#This Row],[Unit Price]]*(1-Table1_1[[#This Row],[Discount %]])</f>
        <v>66375</v>
      </c>
      <c r="T1121" s="7">
        <f>Table1_1[[#This Row],[Units Sold]]*Table1_1[[#This Row],[Unit Cost]]</f>
        <v>55560</v>
      </c>
      <c r="U1121" s="7">
        <f>Table1_1[[#This Row],[Calculated sales]]-Table1_1[[#This Row],[Total cost]]</f>
        <v>10815</v>
      </c>
      <c r="V1121" s="4">
        <f>IFERROR(Table1_1[[#This Row],[Profit/Loss]]/Table1_1[[#This Row],[Calculated sales]],0)</f>
        <v>0.16293785310734463</v>
      </c>
    </row>
    <row r="1122" spans="1:22" x14ac:dyDescent="0.25">
      <c r="A1122" s="4" t="s">
        <v>1271</v>
      </c>
      <c r="B1122" s="5">
        <v>45864</v>
      </c>
      <c r="C1122" s="4">
        <f>YEAR(Table1_1[[#This Row],[Order Dates]])</f>
        <v>2025</v>
      </c>
      <c r="D1122" s="6">
        <f>MONTH(Table1_1[[#This Row],[Order Dates]])</f>
        <v>7</v>
      </c>
      <c r="E1122" s="4" t="s">
        <v>56</v>
      </c>
      <c r="F1122" s="4" t="s">
        <v>133</v>
      </c>
      <c r="G1122" s="4" t="s">
        <v>91</v>
      </c>
      <c r="H1122" s="4" t="str">
        <f>TRIM(CLEAN(SUBSTITUTE(Table1_1[[#This Row],[Salesperson]],"   "," ")))</f>
        <v>Anjali Menon</v>
      </c>
      <c r="I1122" s="4" t="s">
        <v>52</v>
      </c>
      <c r="J1122" s="4" t="s">
        <v>20</v>
      </c>
      <c r="K1122" s="4" t="s">
        <v>87</v>
      </c>
      <c r="L1122" s="4" t="s">
        <v>1674</v>
      </c>
      <c r="M1122" s="4" t="s">
        <v>23</v>
      </c>
      <c r="N1122" s="4" t="s">
        <v>24</v>
      </c>
      <c r="O1122" s="4">
        <v>1</v>
      </c>
      <c r="P1122" s="7">
        <v>51370</v>
      </c>
      <c r="Q1122" s="8">
        <v>0.05</v>
      </c>
      <c r="R1122" s="7">
        <v>32860</v>
      </c>
      <c r="S1122" s="7">
        <f>Table1_1[[#This Row],[Units Sold]]*Table1_1[[#This Row],[Unit Price]]*(1-Table1_1[[#This Row],[Discount %]])</f>
        <v>48801.5</v>
      </c>
      <c r="T1122" s="7">
        <f>Table1_1[[#This Row],[Units Sold]]*Table1_1[[#This Row],[Unit Cost]]</f>
        <v>32860</v>
      </c>
      <c r="U1122" s="7">
        <f>Table1_1[[#This Row],[Calculated sales]]-Table1_1[[#This Row],[Total cost]]</f>
        <v>15941.5</v>
      </c>
      <c r="V1122" s="4">
        <f>IFERROR(Table1_1[[#This Row],[Profit/Loss]]/Table1_1[[#This Row],[Calculated sales]],0)</f>
        <v>0.32666004118725861</v>
      </c>
    </row>
    <row r="1123" spans="1:22" x14ac:dyDescent="0.25">
      <c r="A1123" s="4" t="s">
        <v>1272</v>
      </c>
      <c r="B1123" s="5">
        <v>45864</v>
      </c>
      <c r="C1123" s="4">
        <f>YEAR(Table1_1[[#This Row],[Order Dates]])</f>
        <v>2025</v>
      </c>
      <c r="D1123" s="6">
        <f>MONTH(Table1_1[[#This Row],[Order Dates]])</f>
        <v>7</v>
      </c>
      <c r="E1123" s="4" t="s">
        <v>42</v>
      </c>
      <c r="F1123" s="4" t="s">
        <v>130</v>
      </c>
      <c r="G1123" s="4" t="s">
        <v>97</v>
      </c>
      <c r="H1123" s="4" t="str">
        <f>TRIM(CLEAN(SUBSTITUTE(Table1_1[[#This Row],[Salesperson]],"   "," ")))</f>
        <v>Rohit Malhotra</v>
      </c>
      <c r="I1123" s="4" t="s">
        <v>19</v>
      </c>
      <c r="J1123" s="4" t="s">
        <v>20</v>
      </c>
      <c r="K1123" s="4" t="s">
        <v>87</v>
      </c>
      <c r="L1123" s="4" t="s">
        <v>1672</v>
      </c>
      <c r="M1123" s="4" t="s">
        <v>40</v>
      </c>
      <c r="N1123" s="4" t="s">
        <v>24</v>
      </c>
      <c r="O1123" s="4">
        <v>2</v>
      </c>
      <c r="P1123" s="7">
        <v>30830</v>
      </c>
      <c r="Q1123" s="8">
        <v>0.2</v>
      </c>
      <c r="R1123" s="7">
        <v>17310</v>
      </c>
      <c r="S1123" s="7">
        <f>Table1_1[[#This Row],[Units Sold]]*Table1_1[[#This Row],[Unit Price]]*(1-Table1_1[[#This Row],[Discount %]])</f>
        <v>49328</v>
      </c>
      <c r="T1123" s="7">
        <f>Table1_1[[#This Row],[Units Sold]]*Table1_1[[#This Row],[Unit Cost]]</f>
        <v>34620</v>
      </c>
      <c r="U1123" s="7">
        <f>Table1_1[[#This Row],[Calculated sales]]-Table1_1[[#This Row],[Total cost]]</f>
        <v>14708</v>
      </c>
      <c r="V1123" s="4">
        <f>IFERROR(Table1_1[[#This Row],[Profit/Loss]]/Table1_1[[#This Row],[Calculated sales]],0)</f>
        <v>0.29816736944534544</v>
      </c>
    </row>
    <row r="1124" spans="1:22" x14ac:dyDescent="0.25">
      <c r="A1124" s="4" t="s">
        <v>1273</v>
      </c>
      <c r="B1124" s="5">
        <v>45865</v>
      </c>
      <c r="C1124" s="4">
        <f>YEAR(Table1_1[[#This Row],[Order Dates]])</f>
        <v>2025</v>
      </c>
      <c r="D1124" s="6">
        <f>MONTH(Table1_1[[#This Row],[Order Dates]])</f>
        <v>7</v>
      </c>
      <c r="E1124" s="4" t="s">
        <v>37</v>
      </c>
      <c r="F1124" s="4" t="s">
        <v>166</v>
      </c>
      <c r="G1124" s="4" t="s">
        <v>68</v>
      </c>
      <c r="H1124" s="4" t="str">
        <f>TRIM(CLEAN(SUBSTITUTE(Table1_1[[#This Row],[Salesperson]],"   "," ")))</f>
        <v>Ritika Ghosh</v>
      </c>
      <c r="I1124" s="4" t="s">
        <v>45</v>
      </c>
      <c r="J1124" s="4" t="s">
        <v>46</v>
      </c>
      <c r="K1124" s="4" t="s">
        <v>100</v>
      </c>
      <c r="L1124" s="4" t="s">
        <v>101</v>
      </c>
      <c r="M1124" s="4" t="s">
        <v>40</v>
      </c>
      <c r="N1124" s="4" t="s">
        <v>35</v>
      </c>
      <c r="O1124" s="4">
        <v>79</v>
      </c>
      <c r="P1124" s="7">
        <v>1960</v>
      </c>
      <c r="Q1124" s="8">
        <v>0.1</v>
      </c>
      <c r="R1124" s="7">
        <v>1220</v>
      </c>
      <c r="S1124" s="7">
        <f>Table1_1[[#This Row],[Units Sold]]*Table1_1[[#This Row],[Unit Price]]*(1-Table1_1[[#This Row],[Discount %]])</f>
        <v>139356</v>
      </c>
      <c r="T1124" s="7">
        <f>Table1_1[[#This Row],[Units Sold]]*Table1_1[[#This Row],[Unit Cost]]</f>
        <v>96380</v>
      </c>
      <c r="U1124" s="7">
        <f>Table1_1[[#This Row],[Calculated sales]]-Table1_1[[#This Row],[Total cost]]</f>
        <v>42976</v>
      </c>
      <c r="V1124" s="4">
        <f>IFERROR(Table1_1[[#This Row],[Profit/Loss]]/Table1_1[[#This Row],[Calculated sales]],0)</f>
        <v>0.30839002267573695</v>
      </c>
    </row>
    <row r="1125" spans="1:22" x14ac:dyDescent="0.25">
      <c r="A1125" s="4" t="s">
        <v>1274</v>
      </c>
      <c r="B1125" s="5">
        <v>45865</v>
      </c>
      <c r="C1125" s="4">
        <f>YEAR(Table1_1[[#This Row],[Order Dates]])</f>
        <v>2025</v>
      </c>
      <c r="D1125" s="6">
        <f>MONTH(Table1_1[[#This Row],[Order Dates]])</f>
        <v>7</v>
      </c>
      <c r="E1125" s="4" t="s">
        <v>42</v>
      </c>
      <c r="F1125" s="4" t="s">
        <v>43</v>
      </c>
      <c r="G1125" s="4" t="s">
        <v>64</v>
      </c>
      <c r="H1125" s="4" t="str">
        <f>TRIM(CLEAN(SUBSTITUTE(Table1_1[[#This Row],[Salesperson]],"   "," ")))</f>
        <v>Aditya Verma</v>
      </c>
      <c r="I1125" s="4" t="s">
        <v>19</v>
      </c>
      <c r="J1125" s="4" t="s">
        <v>46</v>
      </c>
      <c r="K1125" s="4" t="s">
        <v>47</v>
      </c>
      <c r="L1125" s="4" t="s">
        <v>1673</v>
      </c>
      <c r="M1125" s="4" t="s">
        <v>23</v>
      </c>
      <c r="N1125" s="4" t="s">
        <v>119</v>
      </c>
      <c r="O1125" s="4">
        <v>26</v>
      </c>
      <c r="P1125" s="7">
        <v>1210</v>
      </c>
      <c r="Q1125" s="8">
        <v>0</v>
      </c>
      <c r="R1125" s="7">
        <v>760</v>
      </c>
      <c r="S1125" s="7">
        <f>Table1_1[[#This Row],[Units Sold]]*Table1_1[[#This Row],[Unit Price]]*(1-Table1_1[[#This Row],[Discount %]])</f>
        <v>31460</v>
      </c>
      <c r="T1125" s="7">
        <f>Table1_1[[#This Row],[Units Sold]]*Table1_1[[#This Row],[Unit Cost]]</f>
        <v>19760</v>
      </c>
      <c r="U1125" s="7">
        <f>Table1_1[[#This Row],[Calculated sales]]-Table1_1[[#This Row],[Total cost]]</f>
        <v>11700</v>
      </c>
      <c r="V1125" s="4">
        <f>IFERROR(Table1_1[[#This Row],[Profit/Loss]]/Table1_1[[#This Row],[Calculated sales]],0)</f>
        <v>0.37190082644628097</v>
      </c>
    </row>
    <row r="1126" spans="1:22" x14ac:dyDescent="0.25">
      <c r="A1126" s="4" t="s">
        <v>1275</v>
      </c>
      <c r="B1126" s="5">
        <v>45865</v>
      </c>
      <c r="C1126" s="4">
        <f>YEAR(Table1_1[[#This Row],[Order Dates]])</f>
        <v>2025</v>
      </c>
      <c r="D1126" s="6">
        <f>MONTH(Table1_1[[#This Row],[Order Dates]])</f>
        <v>7</v>
      </c>
      <c r="E1126" s="4" t="s">
        <v>42</v>
      </c>
      <c r="F1126" s="4" t="s">
        <v>265</v>
      </c>
      <c r="G1126" s="4" t="s">
        <v>64</v>
      </c>
      <c r="H1126" s="4" t="str">
        <f>TRIM(CLEAN(SUBSTITUTE(Table1_1[[#This Row],[Salesperson]],"   "," ")))</f>
        <v>Aditya Verma</v>
      </c>
      <c r="I1126" s="4" t="s">
        <v>45</v>
      </c>
      <c r="J1126" s="4" t="s">
        <v>46</v>
      </c>
      <c r="K1126" s="4" t="s">
        <v>100</v>
      </c>
      <c r="L1126" s="4" t="s">
        <v>177</v>
      </c>
      <c r="M1126" s="4" t="s">
        <v>23</v>
      </c>
      <c r="N1126" s="4" t="s">
        <v>94</v>
      </c>
      <c r="O1126" s="4">
        <v>33</v>
      </c>
      <c r="P1126" s="7">
        <v>2380</v>
      </c>
      <c r="Q1126" s="8">
        <v>0.2</v>
      </c>
      <c r="R1126" s="7">
        <v>1380</v>
      </c>
      <c r="S1126" s="7">
        <f>Table1_1[[#This Row],[Units Sold]]*Table1_1[[#This Row],[Unit Price]]*(1-Table1_1[[#This Row],[Discount %]])</f>
        <v>62832</v>
      </c>
      <c r="T1126" s="7">
        <f>Table1_1[[#This Row],[Units Sold]]*Table1_1[[#This Row],[Unit Cost]]</f>
        <v>45540</v>
      </c>
      <c r="U1126" s="7">
        <f>Table1_1[[#This Row],[Calculated sales]]-Table1_1[[#This Row],[Total cost]]</f>
        <v>17292</v>
      </c>
      <c r="V1126" s="4">
        <f>IFERROR(Table1_1[[#This Row],[Profit/Loss]]/Table1_1[[#This Row],[Calculated sales]],0)</f>
        <v>0.27521008403361347</v>
      </c>
    </row>
    <row r="1127" spans="1:22" x14ac:dyDescent="0.25">
      <c r="A1127" s="4" t="s">
        <v>1276</v>
      </c>
      <c r="B1127" s="5">
        <v>45866</v>
      </c>
      <c r="C1127" s="4">
        <f>YEAR(Table1_1[[#This Row],[Order Dates]])</f>
        <v>2025</v>
      </c>
      <c r="D1127" s="6">
        <f>MONTH(Table1_1[[#This Row],[Order Dates]])</f>
        <v>7</v>
      </c>
      <c r="E1127" s="4" t="s">
        <v>56</v>
      </c>
      <c r="F1127" s="4" t="s">
        <v>143</v>
      </c>
      <c r="G1127" s="4" t="s">
        <v>58</v>
      </c>
      <c r="H1127" s="4" t="str">
        <f>TRIM(CLEAN(SUBSTITUTE(Table1_1[[#This Row],[Salesperson]],"   "," ")))</f>
        <v>Karthik Raman</v>
      </c>
      <c r="I1127" s="4" t="s">
        <v>52</v>
      </c>
      <c r="J1127" s="4" t="s">
        <v>59</v>
      </c>
      <c r="K1127" s="4" t="s">
        <v>60</v>
      </c>
      <c r="L1127" s="4" t="s">
        <v>61</v>
      </c>
      <c r="M1127" s="4" t="s">
        <v>49</v>
      </c>
      <c r="N1127" s="4" t="s">
        <v>24</v>
      </c>
      <c r="O1127" s="4">
        <v>1</v>
      </c>
      <c r="P1127" s="7">
        <v>24200</v>
      </c>
      <c r="Q1127" s="8">
        <v>0.15</v>
      </c>
      <c r="R1127" s="7">
        <v>16070</v>
      </c>
      <c r="S1127" s="7">
        <f>Table1_1[[#This Row],[Units Sold]]*Table1_1[[#This Row],[Unit Price]]*(1-Table1_1[[#This Row],[Discount %]])</f>
        <v>20570</v>
      </c>
      <c r="T1127" s="7">
        <f>Table1_1[[#This Row],[Units Sold]]*Table1_1[[#This Row],[Unit Cost]]</f>
        <v>16070</v>
      </c>
      <c r="U1127" s="7">
        <f>Table1_1[[#This Row],[Calculated sales]]-Table1_1[[#This Row],[Total cost]]</f>
        <v>4500</v>
      </c>
      <c r="V1127" s="4">
        <f>IFERROR(Table1_1[[#This Row],[Profit/Loss]]/Table1_1[[#This Row],[Calculated sales]],0)</f>
        <v>0.21876519202722411</v>
      </c>
    </row>
    <row r="1128" spans="1:22" x14ac:dyDescent="0.25">
      <c r="A1128" s="4" t="s">
        <v>1277</v>
      </c>
      <c r="B1128" s="5">
        <v>45867</v>
      </c>
      <c r="C1128" s="4">
        <f>YEAR(Table1_1[[#This Row],[Order Dates]])</f>
        <v>2025</v>
      </c>
      <c r="D1128" s="6">
        <f>MONTH(Table1_1[[#This Row],[Order Dates]])</f>
        <v>7</v>
      </c>
      <c r="E1128" s="4" t="s">
        <v>42</v>
      </c>
      <c r="F1128" s="4" t="s">
        <v>96</v>
      </c>
      <c r="G1128" s="4" t="s">
        <v>44</v>
      </c>
      <c r="H1128" s="4" t="str">
        <f>TRIM(CLEAN(SUBSTITUTE(Table1_1[[#This Row],[Salesperson]],"   "," ")))</f>
        <v>Simran Kaur</v>
      </c>
      <c r="I1128" s="4" t="s">
        <v>19</v>
      </c>
      <c r="J1128" s="4" t="s">
        <v>27</v>
      </c>
      <c r="K1128" s="4" t="s">
        <v>214</v>
      </c>
      <c r="L1128" s="4" t="s">
        <v>1680</v>
      </c>
      <c r="M1128" s="4" t="s">
        <v>40</v>
      </c>
      <c r="N1128" s="4" t="s">
        <v>24</v>
      </c>
      <c r="O1128" s="4">
        <v>2</v>
      </c>
      <c r="P1128" s="7">
        <v>33680</v>
      </c>
      <c r="Q1128" s="8">
        <v>0.05</v>
      </c>
      <c r="R1128" s="7">
        <v>22780</v>
      </c>
      <c r="S1128" s="7">
        <f>Table1_1[[#This Row],[Units Sold]]*Table1_1[[#This Row],[Unit Price]]*(1-Table1_1[[#This Row],[Discount %]])</f>
        <v>63992</v>
      </c>
      <c r="T1128" s="7">
        <f>Table1_1[[#This Row],[Units Sold]]*Table1_1[[#This Row],[Unit Cost]]</f>
        <v>45560</v>
      </c>
      <c r="U1128" s="7">
        <f>Table1_1[[#This Row],[Calculated sales]]-Table1_1[[#This Row],[Total cost]]</f>
        <v>18432</v>
      </c>
      <c r="V1128" s="4">
        <f>IFERROR(Table1_1[[#This Row],[Profit/Loss]]/Table1_1[[#This Row],[Calculated sales]],0)</f>
        <v>0.28803600450056255</v>
      </c>
    </row>
    <row r="1129" spans="1:22" x14ac:dyDescent="0.25">
      <c r="A1129" s="4" t="s">
        <v>1278</v>
      </c>
      <c r="B1129" s="5">
        <v>45868</v>
      </c>
      <c r="C1129" s="4">
        <f>YEAR(Table1_1[[#This Row],[Order Dates]])</f>
        <v>2025</v>
      </c>
      <c r="D1129" s="6">
        <f>MONTH(Table1_1[[#This Row],[Order Dates]])</f>
        <v>7</v>
      </c>
      <c r="E1129" s="4" t="s">
        <v>42</v>
      </c>
      <c r="F1129" s="4" t="s">
        <v>130</v>
      </c>
      <c r="G1129" s="4" t="s">
        <v>64</v>
      </c>
      <c r="H1129" s="4" t="str">
        <f>TRIM(CLEAN(SUBSTITUTE(Table1_1[[#This Row],[Salesperson]],"   "," ")))</f>
        <v>Aditya Verma</v>
      </c>
      <c r="I1129" s="4" t="s">
        <v>92</v>
      </c>
      <c r="J1129" s="4" t="s">
        <v>59</v>
      </c>
      <c r="K1129" s="4" t="s">
        <v>69</v>
      </c>
      <c r="L1129" s="4" t="s">
        <v>121</v>
      </c>
      <c r="M1129" s="4" t="s">
        <v>23</v>
      </c>
      <c r="N1129" s="4" t="s">
        <v>119</v>
      </c>
      <c r="O1129" s="4">
        <v>5</v>
      </c>
      <c r="P1129" s="7">
        <v>3420</v>
      </c>
      <c r="Q1129" s="8">
        <v>0.05</v>
      </c>
      <c r="R1129" s="7">
        <v>2030</v>
      </c>
      <c r="S1129" s="7">
        <f>Table1_1[[#This Row],[Units Sold]]*Table1_1[[#This Row],[Unit Price]]*(1-Table1_1[[#This Row],[Discount %]])</f>
        <v>16245</v>
      </c>
      <c r="T1129" s="7">
        <f>Table1_1[[#This Row],[Units Sold]]*Table1_1[[#This Row],[Unit Cost]]</f>
        <v>10150</v>
      </c>
      <c r="U1129" s="7">
        <f>Table1_1[[#This Row],[Calculated sales]]-Table1_1[[#This Row],[Total cost]]</f>
        <v>6095</v>
      </c>
      <c r="V1129" s="4">
        <f>IFERROR(Table1_1[[#This Row],[Profit/Loss]]/Table1_1[[#This Row],[Calculated sales]],0)</f>
        <v>0.3751923668821176</v>
      </c>
    </row>
    <row r="1130" spans="1:22" x14ac:dyDescent="0.25">
      <c r="A1130" s="4" t="s">
        <v>1279</v>
      </c>
      <c r="B1130" s="5">
        <v>45869</v>
      </c>
      <c r="C1130" s="4">
        <f>YEAR(Table1_1[[#This Row],[Order Dates]])</f>
        <v>2025</v>
      </c>
      <c r="D1130" s="6">
        <f>MONTH(Table1_1[[#This Row],[Order Dates]])</f>
        <v>7</v>
      </c>
      <c r="E1130" s="4" t="s">
        <v>42</v>
      </c>
      <c r="F1130" s="4" t="s">
        <v>43</v>
      </c>
      <c r="G1130" s="4" t="s">
        <v>44</v>
      </c>
      <c r="H1130" s="4" t="str">
        <f>TRIM(CLEAN(SUBSTITUTE(Table1_1[[#This Row],[Salesperson]],"   "," ")))</f>
        <v>Simran Kaur</v>
      </c>
      <c r="I1130" s="4" t="s">
        <v>52</v>
      </c>
      <c r="J1130" s="4" t="s">
        <v>27</v>
      </c>
      <c r="K1130" s="4" t="s">
        <v>79</v>
      </c>
      <c r="L1130" s="4" t="s">
        <v>168</v>
      </c>
      <c r="M1130" s="4" t="s">
        <v>23</v>
      </c>
      <c r="N1130" s="4" t="s">
        <v>24</v>
      </c>
      <c r="O1130" s="4">
        <v>8</v>
      </c>
      <c r="P1130" s="7">
        <v>9040</v>
      </c>
      <c r="Q1130" s="8">
        <v>0.05</v>
      </c>
      <c r="R1130" s="7">
        <v>5960</v>
      </c>
      <c r="S1130" s="7">
        <f>Table1_1[[#This Row],[Units Sold]]*Table1_1[[#This Row],[Unit Price]]*(1-Table1_1[[#This Row],[Discount %]])</f>
        <v>68704</v>
      </c>
      <c r="T1130" s="7">
        <f>Table1_1[[#This Row],[Units Sold]]*Table1_1[[#This Row],[Unit Cost]]</f>
        <v>47680</v>
      </c>
      <c r="U1130" s="7">
        <f>Table1_1[[#This Row],[Calculated sales]]-Table1_1[[#This Row],[Total cost]]</f>
        <v>21024</v>
      </c>
      <c r="V1130" s="4">
        <f>IFERROR(Table1_1[[#This Row],[Profit/Loss]]/Table1_1[[#This Row],[Calculated sales]],0)</f>
        <v>0.30600838379133677</v>
      </c>
    </row>
    <row r="1131" spans="1:22" x14ac:dyDescent="0.25">
      <c r="A1131" s="4" t="s">
        <v>1280</v>
      </c>
      <c r="B1131" s="5">
        <v>45870</v>
      </c>
      <c r="C1131" s="4">
        <f>YEAR(Table1_1[[#This Row],[Order Dates]])</f>
        <v>2025</v>
      </c>
      <c r="D1131" s="6">
        <f>MONTH(Table1_1[[#This Row],[Order Dates]])</f>
        <v>8</v>
      </c>
      <c r="E1131" s="4" t="s">
        <v>76</v>
      </c>
      <c r="F1131" s="4" t="s">
        <v>217</v>
      </c>
      <c r="G1131" s="4" t="s">
        <v>78</v>
      </c>
      <c r="H1131" s="4" t="str">
        <f>TRIM(CLEAN(SUBSTITUTE(Table1_1[[#This Row],[Salesperson]],"   "," ")))</f>
        <v>Pooja Chouhan</v>
      </c>
      <c r="I1131" s="4" t="s">
        <v>19</v>
      </c>
      <c r="J1131" s="4" t="s">
        <v>59</v>
      </c>
      <c r="K1131" s="4" t="s">
        <v>73</v>
      </c>
      <c r="L1131" s="4" t="s">
        <v>113</v>
      </c>
      <c r="M1131" s="4" t="s">
        <v>49</v>
      </c>
      <c r="N1131" s="4" t="s">
        <v>35</v>
      </c>
      <c r="O1131" s="4">
        <v>3</v>
      </c>
      <c r="P1131" s="7">
        <v>31710</v>
      </c>
      <c r="Q1131" s="8">
        <v>0.18</v>
      </c>
      <c r="R1131" s="7">
        <v>23830</v>
      </c>
      <c r="S1131" s="7">
        <f>Table1_1[[#This Row],[Units Sold]]*Table1_1[[#This Row],[Unit Price]]*(1-Table1_1[[#This Row],[Discount %]])</f>
        <v>78006.600000000006</v>
      </c>
      <c r="T1131" s="7">
        <f>Table1_1[[#This Row],[Units Sold]]*Table1_1[[#This Row],[Unit Cost]]</f>
        <v>71490</v>
      </c>
      <c r="U1131" s="7">
        <f>Table1_1[[#This Row],[Calculated sales]]-Table1_1[[#This Row],[Total cost]]</f>
        <v>6516.6000000000058</v>
      </c>
      <c r="V1131" s="4">
        <f>IFERROR(Table1_1[[#This Row],[Profit/Loss]]/Table1_1[[#This Row],[Calculated sales]],0)</f>
        <v>8.3539085154333156E-2</v>
      </c>
    </row>
    <row r="1132" spans="1:22" x14ac:dyDescent="0.25">
      <c r="A1132" s="4" t="s">
        <v>1281</v>
      </c>
      <c r="B1132" s="5">
        <v>45870</v>
      </c>
      <c r="C1132" s="4">
        <f>YEAR(Table1_1[[#This Row],[Order Dates]])</f>
        <v>2025</v>
      </c>
      <c r="D1132" s="6">
        <f>MONTH(Table1_1[[#This Row],[Order Dates]])</f>
        <v>8</v>
      </c>
      <c r="E1132" s="4" t="s">
        <v>56</v>
      </c>
      <c r="F1132" s="4" t="s">
        <v>133</v>
      </c>
      <c r="G1132" s="4" t="s">
        <v>91</v>
      </c>
      <c r="H1132" s="4" t="str">
        <f>TRIM(CLEAN(SUBSTITUTE(Table1_1[[#This Row],[Salesperson]],"   "," ")))</f>
        <v>Anjali Menon</v>
      </c>
      <c r="I1132" s="4" t="s">
        <v>19</v>
      </c>
      <c r="J1132" s="4" t="s">
        <v>27</v>
      </c>
      <c r="K1132" s="4" t="s">
        <v>214</v>
      </c>
      <c r="L1132" s="4" t="s">
        <v>1680</v>
      </c>
      <c r="M1132" s="4" t="s">
        <v>40</v>
      </c>
      <c r="N1132" s="4" t="s">
        <v>24</v>
      </c>
      <c r="O1132" s="4">
        <v>2</v>
      </c>
      <c r="P1132" s="7">
        <v>32310</v>
      </c>
      <c r="Q1132" s="8">
        <v>0.08</v>
      </c>
      <c r="R1132" s="7">
        <v>21130</v>
      </c>
      <c r="S1132" s="7">
        <f>Table1_1[[#This Row],[Units Sold]]*Table1_1[[#This Row],[Unit Price]]*(1-Table1_1[[#This Row],[Discount %]])</f>
        <v>59450.400000000001</v>
      </c>
      <c r="T1132" s="7">
        <f>Table1_1[[#This Row],[Units Sold]]*Table1_1[[#This Row],[Unit Cost]]</f>
        <v>42260</v>
      </c>
      <c r="U1132" s="7">
        <f>Table1_1[[#This Row],[Calculated sales]]-Table1_1[[#This Row],[Total cost]]</f>
        <v>17190.400000000001</v>
      </c>
      <c r="V1132" s="4">
        <f>IFERROR(Table1_1[[#This Row],[Profit/Loss]]/Table1_1[[#This Row],[Calculated sales]],0)</f>
        <v>0.28915532948474698</v>
      </c>
    </row>
    <row r="1133" spans="1:22" x14ac:dyDescent="0.25">
      <c r="A1133" s="4" t="s">
        <v>1282</v>
      </c>
      <c r="B1133" s="5">
        <v>45870</v>
      </c>
      <c r="C1133" s="4">
        <f>YEAR(Table1_1[[#This Row],[Order Dates]])</f>
        <v>2025</v>
      </c>
      <c r="D1133" s="6">
        <f>MONTH(Table1_1[[#This Row],[Order Dates]])</f>
        <v>8</v>
      </c>
      <c r="E1133" s="4" t="s">
        <v>56</v>
      </c>
      <c r="F1133" s="4" t="s">
        <v>133</v>
      </c>
      <c r="G1133" s="4" t="s">
        <v>91</v>
      </c>
      <c r="H1133" s="4" t="str">
        <f>TRIM(CLEAN(SUBSTITUTE(Table1_1[[#This Row],[Salesperson]],"   "," ")))</f>
        <v>Anjali Menon</v>
      </c>
      <c r="I1133" s="4" t="s">
        <v>92</v>
      </c>
      <c r="J1133" s="4" t="s">
        <v>59</v>
      </c>
      <c r="K1133" s="4" t="s">
        <v>69</v>
      </c>
      <c r="L1133" s="4" t="s">
        <v>70</v>
      </c>
      <c r="M1133" s="4" t="s">
        <v>23</v>
      </c>
      <c r="N1133" s="4" t="s">
        <v>24</v>
      </c>
      <c r="O1133" s="4">
        <v>5</v>
      </c>
      <c r="P1133" s="7">
        <v>30130</v>
      </c>
      <c r="Q1133" s="8">
        <v>0</v>
      </c>
      <c r="R1133" s="7">
        <v>20510</v>
      </c>
      <c r="S1133" s="7">
        <f>Table1_1[[#This Row],[Units Sold]]*Table1_1[[#This Row],[Unit Price]]*(1-Table1_1[[#This Row],[Discount %]])</f>
        <v>150650</v>
      </c>
      <c r="T1133" s="7">
        <f>Table1_1[[#This Row],[Units Sold]]*Table1_1[[#This Row],[Unit Cost]]</f>
        <v>102550</v>
      </c>
      <c r="U1133" s="7">
        <f>Table1_1[[#This Row],[Calculated sales]]-Table1_1[[#This Row],[Total cost]]</f>
        <v>48100</v>
      </c>
      <c r="V1133" s="4">
        <f>IFERROR(Table1_1[[#This Row],[Profit/Loss]]/Table1_1[[#This Row],[Calculated sales]],0)</f>
        <v>0.31928310653833386</v>
      </c>
    </row>
    <row r="1134" spans="1:22" x14ac:dyDescent="0.25">
      <c r="A1134" s="4" t="s">
        <v>1283</v>
      </c>
      <c r="B1134" s="5">
        <v>45870</v>
      </c>
      <c r="C1134" s="4">
        <f>YEAR(Table1_1[[#This Row],[Order Dates]])</f>
        <v>2025</v>
      </c>
      <c r="D1134" s="6">
        <f>MONTH(Table1_1[[#This Row],[Order Dates]])</f>
        <v>8</v>
      </c>
      <c r="E1134" s="4" t="s">
        <v>42</v>
      </c>
      <c r="F1134" s="4" t="s">
        <v>265</v>
      </c>
      <c r="G1134" s="4" t="s">
        <v>64</v>
      </c>
      <c r="H1134" s="4" t="str">
        <f>TRIM(CLEAN(SUBSTITUTE(Table1_1[[#This Row],[Salesperson]],"   "," ")))</f>
        <v>Aditya Verma</v>
      </c>
      <c r="I1134" s="4" t="s">
        <v>92</v>
      </c>
      <c r="J1134" s="4" t="s">
        <v>20</v>
      </c>
      <c r="K1134" s="4" t="s">
        <v>33</v>
      </c>
      <c r="L1134" s="4" t="s">
        <v>34</v>
      </c>
      <c r="M1134" s="4" t="s">
        <v>40</v>
      </c>
      <c r="N1134" s="4" t="s">
        <v>119</v>
      </c>
      <c r="O1134" s="4">
        <v>6</v>
      </c>
      <c r="P1134" s="7">
        <v>57110</v>
      </c>
      <c r="Q1134" s="8">
        <v>0.2</v>
      </c>
      <c r="R1134" s="7">
        <v>39180</v>
      </c>
      <c r="S1134" s="7">
        <f>Table1_1[[#This Row],[Units Sold]]*Table1_1[[#This Row],[Unit Price]]*(1-Table1_1[[#This Row],[Discount %]])</f>
        <v>274128</v>
      </c>
      <c r="T1134" s="7">
        <f>Table1_1[[#This Row],[Units Sold]]*Table1_1[[#This Row],[Unit Cost]]</f>
        <v>235080</v>
      </c>
      <c r="U1134" s="7">
        <f>Table1_1[[#This Row],[Calculated sales]]-Table1_1[[#This Row],[Total cost]]</f>
        <v>39048</v>
      </c>
      <c r="V1134" s="4">
        <f>IFERROR(Table1_1[[#This Row],[Profit/Loss]]/Table1_1[[#This Row],[Calculated sales]],0)</f>
        <v>0.14244440553318158</v>
      </c>
    </row>
    <row r="1135" spans="1:22" x14ac:dyDescent="0.25">
      <c r="A1135" s="4" t="s">
        <v>1284</v>
      </c>
      <c r="B1135" s="5">
        <v>45870</v>
      </c>
      <c r="C1135" s="4">
        <f>YEAR(Table1_1[[#This Row],[Order Dates]])</f>
        <v>2025</v>
      </c>
      <c r="D1135" s="6">
        <f>MONTH(Table1_1[[#This Row],[Order Dates]])</f>
        <v>8</v>
      </c>
      <c r="E1135" s="4" t="s">
        <v>76</v>
      </c>
      <c r="F1135" s="4" t="s">
        <v>99</v>
      </c>
      <c r="G1135" s="4" t="s">
        <v>170</v>
      </c>
      <c r="H1135" s="4" t="str">
        <f>TRIM(CLEAN(SUBSTITUTE(Table1_1[[#This Row],[Salesperson]],"   "," ")))</f>
        <v>Manish Tiwari</v>
      </c>
      <c r="I1135" s="4" t="s">
        <v>19</v>
      </c>
      <c r="J1135" s="4" t="s">
        <v>46</v>
      </c>
      <c r="K1135" s="4" t="s">
        <v>100</v>
      </c>
      <c r="L1135" s="4" t="s">
        <v>177</v>
      </c>
      <c r="M1135" s="4" t="s">
        <v>23</v>
      </c>
      <c r="N1135" s="4" t="s">
        <v>35</v>
      </c>
      <c r="O1135" s="4">
        <v>13</v>
      </c>
      <c r="P1135" s="7">
        <v>2560</v>
      </c>
      <c r="Q1135" s="8">
        <v>0.18</v>
      </c>
      <c r="R1135" s="7">
        <v>1610</v>
      </c>
      <c r="S1135" s="7">
        <f>Table1_1[[#This Row],[Units Sold]]*Table1_1[[#This Row],[Unit Price]]*(1-Table1_1[[#This Row],[Discount %]])</f>
        <v>27289.600000000002</v>
      </c>
      <c r="T1135" s="7">
        <f>Table1_1[[#This Row],[Units Sold]]*Table1_1[[#This Row],[Unit Cost]]</f>
        <v>20930</v>
      </c>
      <c r="U1135" s="7">
        <f>Table1_1[[#This Row],[Calculated sales]]-Table1_1[[#This Row],[Total cost]]</f>
        <v>6359.6000000000022</v>
      </c>
      <c r="V1135" s="4">
        <f>IFERROR(Table1_1[[#This Row],[Profit/Loss]]/Table1_1[[#This Row],[Calculated sales]],0)</f>
        <v>0.23304115853658544</v>
      </c>
    </row>
    <row r="1136" spans="1:22" x14ac:dyDescent="0.25">
      <c r="A1136" s="4" t="s">
        <v>1285</v>
      </c>
      <c r="B1136" s="5">
        <v>45871</v>
      </c>
      <c r="C1136" s="4">
        <f>YEAR(Table1_1[[#This Row],[Order Dates]])</f>
        <v>2025</v>
      </c>
      <c r="D1136" s="6">
        <f>MONTH(Table1_1[[#This Row],[Order Dates]])</f>
        <v>8</v>
      </c>
      <c r="E1136" s="4" t="s">
        <v>56</v>
      </c>
      <c r="F1136" s="4" t="s">
        <v>133</v>
      </c>
      <c r="G1136" s="4" t="s">
        <v>58</v>
      </c>
      <c r="H1136" s="4" t="str">
        <f>TRIM(CLEAN(SUBSTITUTE(Table1_1[[#This Row],[Salesperson]],"   "," ")))</f>
        <v>Karthik Raman</v>
      </c>
      <c r="I1136" s="4" t="s">
        <v>92</v>
      </c>
      <c r="J1136" s="4" t="s">
        <v>20</v>
      </c>
      <c r="K1136" s="4" t="s">
        <v>33</v>
      </c>
      <c r="L1136" s="4" t="s">
        <v>1677</v>
      </c>
      <c r="M1136" s="4" t="s">
        <v>40</v>
      </c>
      <c r="N1136" s="4" t="s">
        <v>24</v>
      </c>
      <c r="O1136" s="4">
        <v>4</v>
      </c>
      <c r="P1136" s="7">
        <v>60610</v>
      </c>
      <c r="Q1136" s="8">
        <v>0</v>
      </c>
      <c r="R1136" s="7">
        <v>44860</v>
      </c>
      <c r="S1136" s="7">
        <f>Table1_1[[#This Row],[Units Sold]]*Table1_1[[#This Row],[Unit Price]]*(1-Table1_1[[#This Row],[Discount %]])</f>
        <v>242440</v>
      </c>
      <c r="T1136" s="7">
        <f>Table1_1[[#This Row],[Units Sold]]*Table1_1[[#This Row],[Unit Cost]]</f>
        <v>179440</v>
      </c>
      <c r="U1136" s="7">
        <f>Table1_1[[#This Row],[Calculated sales]]-Table1_1[[#This Row],[Total cost]]</f>
        <v>63000</v>
      </c>
      <c r="V1136" s="4">
        <f>IFERROR(Table1_1[[#This Row],[Profit/Loss]]/Table1_1[[#This Row],[Calculated sales]],0)</f>
        <v>0.25985810922290054</v>
      </c>
    </row>
    <row r="1137" spans="1:22" x14ac:dyDescent="0.25">
      <c r="A1137" s="4" t="s">
        <v>1286</v>
      </c>
      <c r="B1137" s="5">
        <v>45871</v>
      </c>
      <c r="C1137" s="4">
        <f>YEAR(Table1_1[[#This Row],[Order Dates]])</f>
        <v>2025</v>
      </c>
      <c r="D1137" s="6">
        <f>MONTH(Table1_1[[#This Row],[Order Dates]])</f>
        <v>8</v>
      </c>
      <c r="E1137" s="4" t="s">
        <v>37</v>
      </c>
      <c r="F1137" s="4" t="s">
        <v>67</v>
      </c>
      <c r="G1137" s="4" t="s">
        <v>68</v>
      </c>
      <c r="H1137" s="4" t="str">
        <f>TRIM(CLEAN(SUBSTITUTE(Table1_1[[#This Row],[Salesperson]],"   "," ")))</f>
        <v>Ritika Ghosh</v>
      </c>
      <c r="I1137" s="4" t="s">
        <v>52</v>
      </c>
      <c r="J1137" s="4" t="s">
        <v>83</v>
      </c>
      <c r="K1137" s="4" t="s">
        <v>136</v>
      </c>
      <c r="L1137" s="4" t="s">
        <v>137</v>
      </c>
      <c r="M1137" s="4" t="s">
        <v>40</v>
      </c>
      <c r="N1137" s="4" t="s">
        <v>24</v>
      </c>
      <c r="O1137" s="4">
        <v>14</v>
      </c>
      <c r="P1137" s="7">
        <v>1640</v>
      </c>
      <c r="Q1137" s="8">
        <v>0.12</v>
      </c>
      <c r="R1137" s="7">
        <v>1050</v>
      </c>
      <c r="S1137" s="7">
        <f>Table1_1[[#This Row],[Units Sold]]*Table1_1[[#This Row],[Unit Price]]*(1-Table1_1[[#This Row],[Discount %]])</f>
        <v>20204.8</v>
      </c>
      <c r="T1137" s="7">
        <f>Table1_1[[#This Row],[Units Sold]]*Table1_1[[#This Row],[Unit Cost]]</f>
        <v>14700</v>
      </c>
      <c r="U1137" s="7">
        <f>Table1_1[[#This Row],[Calculated sales]]-Table1_1[[#This Row],[Total cost]]</f>
        <v>5504.7999999999993</v>
      </c>
      <c r="V1137" s="4">
        <f>IFERROR(Table1_1[[#This Row],[Profit/Loss]]/Table1_1[[#This Row],[Calculated sales]],0)</f>
        <v>0.27245011086474497</v>
      </c>
    </row>
    <row r="1138" spans="1:22" x14ac:dyDescent="0.25">
      <c r="A1138" s="4" t="s">
        <v>1287</v>
      </c>
      <c r="B1138" s="5">
        <v>45871</v>
      </c>
      <c r="C1138" s="4">
        <f>YEAR(Table1_1[[#This Row],[Order Dates]])</f>
        <v>2025</v>
      </c>
      <c r="D1138" s="6">
        <f>MONTH(Table1_1[[#This Row],[Order Dates]])</f>
        <v>8</v>
      </c>
      <c r="E1138" s="4" t="s">
        <v>42</v>
      </c>
      <c r="F1138" s="4" t="s">
        <v>96</v>
      </c>
      <c r="G1138" s="4" t="s">
        <v>44</v>
      </c>
      <c r="H1138" s="4" t="str">
        <f>TRIM(CLEAN(SUBSTITUTE(Table1_1[[#This Row],[Salesperson]],"   "," ")))</f>
        <v>Simran Kaur</v>
      </c>
      <c r="I1138" s="4" t="s">
        <v>45</v>
      </c>
      <c r="J1138" s="4" t="s">
        <v>27</v>
      </c>
      <c r="K1138" s="4" t="s">
        <v>214</v>
      </c>
      <c r="L1138" s="4" t="s">
        <v>1680</v>
      </c>
      <c r="M1138" s="4" t="s">
        <v>23</v>
      </c>
      <c r="N1138" s="4" t="s">
        <v>24</v>
      </c>
      <c r="O1138" s="4">
        <v>5</v>
      </c>
      <c r="P1138" s="7">
        <v>33910</v>
      </c>
      <c r="Q1138" s="8">
        <v>0.12</v>
      </c>
      <c r="R1138" s="7">
        <v>25150</v>
      </c>
      <c r="S1138" s="7">
        <f>Table1_1[[#This Row],[Units Sold]]*Table1_1[[#This Row],[Unit Price]]*(1-Table1_1[[#This Row],[Discount %]])</f>
        <v>149204</v>
      </c>
      <c r="T1138" s="7">
        <f>Table1_1[[#This Row],[Units Sold]]*Table1_1[[#This Row],[Unit Cost]]</f>
        <v>125750</v>
      </c>
      <c r="U1138" s="7">
        <f>Table1_1[[#This Row],[Calculated sales]]-Table1_1[[#This Row],[Total cost]]</f>
        <v>23454</v>
      </c>
      <c r="V1138" s="4">
        <f>IFERROR(Table1_1[[#This Row],[Profit/Loss]]/Table1_1[[#This Row],[Calculated sales]],0)</f>
        <v>0.15719417709980965</v>
      </c>
    </row>
    <row r="1139" spans="1:22" x14ac:dyDescent="0.25">
      <c r="A1139" s="4" t="s">
        <v>1288</v>
      </c>
      <c r="B1139" s="5">
        <v>45872</v>
      </c>
      <c r="C1139" s="4">
        <f>YEAR(Table1_1[[#This Row],[Order Dates]])</f>
        <v>2025</v>
      </c>
      <c r="D1139" s="6">
        <f>MONTH(Table1_1[[#This Row],[Order Dates]])</f>
        <v>8</v>
      </c>
      <c r="E1139" s="4" t="s">
        <v>56</v>
      </c>
      <c r="F1139" s="4" t="s">
        <v>143</v>
      </c>
      <c r="G1139" s="4" t="s">
        <v>91</v>
      </c>
      <c r="H1139" s="4" t="str">
        <f>TRIM(CLEAN(SUBSTITUTE(Table1_1[[#This Row],[Salesperson]],"   "," ")))</f>
        <v>Anjali Menon</v>
      </c>
      <c r="I1139" s="4" t="s">
        <v>19</v>
      </c>
      <c r="J1139" s="4" t="s">
        <v>59</v>
      </c>
      <c r="K1139" s="4" t="s">
        <v>154</v>
      </c>
      <c r="L1139" s="4" t="s">
        <v>155</v>
      </c>
      <c r="M1139" s="4" t="s">
        <v>49</v>
      </c>
      <c r="N1139" s="4" t="s">
        <v>24</v>
      </c>
      <c r="O1139" s="4">
        <v>8</v>
      </c>
      <c r="P1139" s="7">
        <v>12410</v>
      </c>
      <c r="Q1139" s="8">
        <v>0.08</v>
      </c>
      <c r="R1139" s="7">
        <v>8190</v>
      </c>
      <c r="S1139" s="7">
        <f>Table1_1[[#This Row],[Units Sold]]*Table1_1[[#This Row],[Unit Price]]*(1-Table1_1[[#This Row],[Discount %]])</f>
        <v>91337.600000000006</v>
      </c>
      <c r="T1139" s="7">
        <f>Table1_1[[#This Row],[Units Sold]]*Table1_1[[#This Row],[Unit Cost]]</f>
        <v>65520</v>
      </c>
      <c r="U1139" s="7">
        <f>Table1_1[[#This Row],[Calculated sales]]-Table1_1[[#This Row],[Total cost]]</f>
        <v>25817.600000000006</v>
      </c>
      <c r="V1139" s="4">
        <f>IFERROR(Table1_1[[#This Row],[Profit/Loss]]/Table1_1[[#This Row],[Calculated sales]],0)</f>
        <v>0.28266124794170205</v>
      </c>
    </row>
    <row r="1140" spans="1:22" x14ac:dyDescent="0.25">
      <c r="A1140" s="4" t="s">
        <v>1289</v>
      </c>
      <c r="B1140" s="5">
        <v>45872</v>
      </c>
      <c r="C1140" s="4">
        <f>YEAR(Table1_1[[#This Row],[Order Dates]])</f>
        <v>2025</v>
      </c>
      <c r="D1140" s="6">
        <f>MONTH(Table1_1[[#This Row],[Order Dates]])</f>
        <v>8</v>
      </c>
      <c r="E1140" s="4" t="s">
        <v>56</v>
      </c>
      <c r="F1140" s="4" t="s">
        <v>57</v>
      </c>
      <c r="G1140" s="4" t="s">
        <v>91</v>
      </c>
      <c r="H1140" s="4" t="str">
        <f>TRIM(CLEAN(SUBSTITUTE(Table1_1[[#This Row],[Salesperson]],"   "," ")))</f>
        <v>Anjali Menon</v>
      </c>
      <c r="I1140" s="4" t="s">
        <v>19</v>
      </c>
      <c r="J1140" s="4" t="s">
        <v>27</v>
      </c>
      <c r="K1140" s="4" t="s">
        <v>79</v>
      </c>
      <c r="L1140" s="4" t="s">
        <v>262</v>
      </c>
      <c r="M1140" s="4" t="s">
        <v>49</v>
      </c>
      <c r="N1140" s="4" t="s">
        <v>24</v>
      </c>
      <c r="O1140" s="4">
        <v>37</v>
      </c>
      <c r="P1140" s="7">
        <v>2660</v>
      </c>
      <c r="Q1140" s="8">
        <v>0.12</v>
      </c>
      <c r="R1140" s="7">
        <v>1500</v>
      </c>
      <c r="S1140" s="7">
        <f>Table1_1[[#This Row],[Units Sold]]*Table1_1[[#This Row],[Unit Price]]*(1-Table1_1[[#This Row],[Discount %]])</f>
        <v>86609.600000000006</v>
      </c>
      <c r="T1140" s="7">
        <f>Table1_1[[#This Row],[Units Sold]]*Table1_1[[#This Row],[Unit Cost]]</f>
        <v>55500</v>
      </c>
      <c r="U1140" s="7">
        <f>Table1_1[[#This Row],[Calculated sales]]-Table1_1[[#This Row],[Total cost]]</f>
        <v>31109.600000000006</v>
      </c>
      <c r="V1140" s="4">
        <f>IFERROR(Table1_1[[#This Row],[Profit/Loss]]/Table1_1[[#This Row],[Calculated sales]],0)</f>
        <v>0.35919343814080662</v>
      </c>
    </row>
    <row r="1141" spans="1:22" x14ac:dyDescent="0.25">
      <c r="A1141" s="4" t="s">
        <v>1290</v>
      </c>
      <c r="B1141" s="5">
        <v>45872</v>
      </c>
      <c r="C1141" s="4">
        <f>YEAR(Table1_1[[#This Row],[Order Dates]])</f>
        <v>2025</v>
      </c>
      <c r="D1141" s="6">
        <f>MONTH(Table1_1[[#This Row],[Order Dates]])</f>
        <v>8</v>
      </c>
      <c r="E1141" s="4" t="s">
        <v>42</v>
      </c>
      <c r="F1141" s="4" t="s">
        <v>146</v>
      </c>
      <c r="G1141" s="4" t="s">
        <v>64</v>
      </c>
      <c r="H1141" s="4" t="str">
        <f>TRIM(CLEAN(SUBSTITUTE(Table1_1[[#This Row],[Salesperson]],"   "," ")))</f>
        <v>Aditya Verma</v>
      </c>
      <c r="I1141" s="4" t="s">
        <v>19</v>
      </c>
      <c r="J1141" s="4" t="s">
        <v>46</v>
      </c>
      <c r="K1141" s="4" t="s">
        <v>100</v>
      </c>
      <c r="L1141" s="4" t="s">
        <v>101</v>
      </c>
      <c r="M1141" s="4" t="s">
        <v>40</v>
      </c>
      <c r="N1141" s="4" t="s">
        <v>94</v>
      </c>
      <c r="O1141" s="4">
        <v>20</v>
      </c>
      <c r="P1141" s="7">
        <v>1820</v>
      </c>
      <c r="Q1141" s="8">
        <v>0.12</v>
      </c>
      <c r="R1141" s="7">
        <v>1080</v>
      </c>
      <c r="S1141" s="7">
        <f>Table1_1[[#This Row],[Units Sold]]*Table1_1[[#This Row],[Unit Price]]*(1-Table1_1[[#This Row],[Discount %]])</f>
        <v>32032</v>
      </c>
      <c r="T1141" s="7">
        <f>Table1_1[[#This Row],[Units Sold]]*Table1_1[[#This Row],[Unit Cost]]</f>
        <v>21600</v>
      </c>
      <c r="U1141" s="7">
        <f>Table1_1[[#This Row],[Calculated sales]]-Table1_1[[#This Row],[Total cost]]</f>
        <v>10432</v>
      </c>
      <c r="V1141" s="4">
        <f>IFERROR(Table1_1[[#This Row],[Profit/Loss]]/Table1_1[[#This Row],[Calculated sales]],0)</f>
        <v>0.32567432567432569</v>
      </c>
    </row>
    <row r="1142" spans="1:22" x14ac:dyDescent="0.25">
      <c r="A1142" s="4" t="s">
        <v>1291</v>
      </c>
      <c r="B1142" s="5">
        <v>45874</v>
      </c>
      <c r="C1142" s="4">
        <f>YEAR(Table1_1[[#This Row],[Order Dates]])</f>
        <v>2025</v>
      </c>
      <c r="D1142" s="6">
        <f>MONTH(Table1_1[[#This Row],[Order Dates]])</f>
        <v>8</v>
      </c>
      <c r="E1142" s="4" t="s">
        <v>16</v>
      </c>
      <c r="F1142" s="4" t="s">
        <v>191</v>
      </c>
      <c r="G1142" s="4" t="s">
        <v>18</v>
      </c>
      <c r="H1142" s="4" t="str">
        <f>TRIM(CLEAN(SUBSTITUTE(Table1_1[[#This Row],[Salesperson]],"   "," ")))</f>
        <v>Imran Sheikh</v>
      </c>
      <c r="I1142" s="4" t="s">
        <v>92</v>
      </c>
      <c r="J1142" s="4" t="s">
        <v>27</v>
      </c>
      <c r="K1142" s="4" t="s">
        <v>79</v>
      </c>
      <c r="L1142" s="4" t="s">
        <v>80</v>
      </c>
      <c r="M1142" s="4" t="s">
        <v>40</v>
      </c>
      <c r="N1142" s="4" t="s">
        <v>24</v>
      </c>
      <c r="O1142" s="4">
        <v>12</v>
      </c>
      <c r="P1142" s="7">
        <v>4480</v>
      </c>
      <c r="Q1142" s="8">
        <v>0.05</v>
      </c>
      <c r="R1142" s="7">
        <v>3260</v>
      </c>
      <c r="S1142" s="7">
        <f>Table1_1[[#This Row],[Units Sold]]*Table1_1[[#This Row],[Unit Price]]*(1-Table1_1[[#This Row],[Discount %]])</f>
        <v>51072</v>
      </c>
      <c r="T1142" s="7">
        <f>Table1_1[[#This Row],[Units Sold]]*Table1_1[[#This Row],[Unit Cost]]</f>
        <v>39120</v>
      </c>
      <c r="U1142" s="7">
        <f>Table1_1[[#This Row],[Calculated sales]]-Table1_1[[#This Row],[Total cost]]</f>
        <v>11952</v>
      </c>
      <c r="V1142" s="4">
        <f>IFERROR(Table1_1[[#This Row],[Profit/Loss]]/Table1_1[[#This Row],[Calculated sales]],0)</f>
        <v>0.23402255639097744</v>
      </c>
    </row>
    <row r="1143" spans="1:22" x14ac:dyDescent="0.25">
      <c r="A1143" s="4" t="s">
        <v>1292</v>
      </c>
      <c r="B1143" s="5">
        <v>45875</v>
      </c>
      <c r="C1143" s="4">
        <f>YEAR(Table1_1[[#This Row],[Order Dates]])</f>
        <v>2025</v>
      </c>
      <c r="D1143" s="6">
        <f>MONTH(Table1_1[[#This Row],[Order Dates]])</f>
        <v>8</v>
      </c>
      <c r="E1143" s="4" t="s">
        <v>56</v>
      </c>
      <c r="F1143" s="4" t="s">
        <v>133</v>
      </c>
      <c r="G1143" s="4" t="s">
        <v>134</v>
      </c>
      <c r="H1143" s="4" t="str">
        <f>TRIM(CLEAN(SUBSTITUTE(Table1_1[[#This Row],[Salesperson]],"   "," ")))</f>
        <v>Divya Nair</v>
      </c>
      <c r="I1143" s="4" t="s">
        <v>92</v>
      </c>
      <c r="J1143" s="4" t="s">
        <v>27</v>
      </c>
      <c r="K1143" s="4" t="s">
        <v>79</v>
      </c>
      <c r="L1143" s="4" t="s">
        <v>262</v>
      </c>
      <c r="M1143" s="4" t="s">
        <v>23</v>
      </c>
      <c r="N1143" s="4" t="s">
        <v>24</v>
      </c>
      <c r="O1143" s="4">
        <v>60</v>
      </c>
      <c r="P1143" s="7">
        <v>2800</v>
      </c>
      <c r="Q1143" s="8">
        <v>0.25</v>
      </c>
      <c r="R1143" s="7">
        <v>2030</v>
      </c>
      <c r="S1143" s="7">
        <f>Table1_1[[#This Row],[Units Sold]]*Table1_1[[#This Row],[Unit Price]]*(1-Table1_1[[#This Row],[Discount %]])</f>
        <v>126000</v>
      </c>
      <c r="T1143" s="7">
        <f>Table1_1[[#This Row],[Units Sold]]*Table1_1[[#This Row],[Unit Cost]]</f>
        <v>121800</v>
      </c>
      <c r="U1143" s="7">
        <f>Table1_1[[#This Row],[Calculated sales]]-Table1_1[[#This Row],[Total cost]]</f>
        <v>4200</v>
      </c>
      <c r="V1143" s="4">
        <f>IFERROR(Table1_1[[#This Row],[Profit/Loss]]/Table1_1[[#This Row],[Calculated sales]],0)</f>
        <v>3.3333333333333333E-2</v>
      </c>
    </row>
    <row r="1144" spans="1:22" x14ac:dyDescent="0.25">
      <c r="A1144" s="4" t="s">
        <v>1293</v>
      </c>
      <c r="B1144" s="5">
        <v>45875</v>
      </c>
      <c r="C1144" s="4">
        <f>YEAR(Table1_1[[#This Row],[Order Dates]])</f>
        <v>2025</v>
      </c>
      <c r="D1144" s="6">
        <f>MONTH(Table1_1[[#This Row],[Order Dates]])</f>
        <v>8</v>
      </c>
      <c r="E1144" s="4" t="s">
        <v>56</v>
      </c>
      <c r="F1144" s="4" t="s">
        <v>143</v>
      </c>
      <c r="G1144" s="4" t="s">
        <v>58</v>
      </c>
      <c r="H1144" s="4" t="str">
        <f>TRIM(CLEAN(SUBSTITUTE(Table1_1[[#This Row],[Salesperson]],"   "," ")))</f>
        <v>Karthik Raman</v>
      </c>
      <c r="I1144" s="4" t="s">
        <v>92</v>
      </c>
      <c r="J1144" s="4" t="s">
        <v>83</v>
      </c>
      <c r="K1144" s="4" t="s">
        <v>184</v>
      </c>
      <c r="L1144" s="4" t="s">
        <v>196</v>
      </c>
      <c r="M1144" s="4" t="s">
        <v>23</v>
      </c>
      <c r="N1144" s="4" t="s">
        <v>24</v>
      </c>
      <c r="O1144" s="4">
        <v>19</v>
      </c>
      <c r="P1144" s="7">
        <v>3290</v>
      </c>
      <c r="Q1144" s="8">
        <v>0.15</v>
      </c>
      <c r="R1144" s="7">
        <v>2470</v>
      </c>
      <c r="S1144" s="7">
        <f>Table1_1[[#This Row],[Units Sold]]*Table1_1[[#This Row],[Unit Price]]*(1-Table1_1[[#This Row],[Discount %]])</f>
        <v>53133.5</v>
      </c>
      <c r="T1144" s="7">
        <f>Table1_1[[#This Row],[Units Sold]]*Table1_1[[#This Row],[Unit Cost]]</f>
        <v>46930</v>
      </c>
      <c r="U1144" s="7">
        <f>Table1_1[[#This Row],[Calculated sales]]-Table1_1[[#This Row],[Total cost]]</f>
        <v>6203.5</v>
      </c>
      <c r="V1144" s="4">
        <f>IFERROR(Table1_1[[#This Row],[Profit/Loss]]/Table1_1[[#This Row],[Calculated sales]],0)</f>
        <v>0.11675308421240836</v>
      </c>
    </row>
    <row r="1145" spans="1:22" x14ac:dyDescent="0.25">
      <c r="A1145" s="4" t="s">
        <v>1294</v>
      </c>
      <c r="B1145" s="5">
        <v>45876</v>
      </c>
      <c r="C1145" s="4">
        <f>YEAR(Table1_1[[#This Row],[Order Dates]])</f>
        <v>2025</v>
      </c>
      <c r="D1145" s="6">
        <f>MONTH(Table1_1[[#This Row],[Order Dates]])</f>
        <v>8</v>
      </c>
      <c r="E1145" s="4" t="s">
        <v>16</v>
      </c>
      <c r="F1145" s="4" t="s">
        <v>153</v>
      </c>
      <c r="G1145" s="4" t="s">
        <v>18</v>
      </c>
      <c r="H1145" s="4" t="str">
        <f>TRIM(CLEAN(SUBSTITUTE(Table1_1[[#This Row],[Salesperson]],"   "," ")))</f>
        <v>Imran Sheikh</v>
      </c>
      <c r="I1145" s="4" t="s">
        <v>45</v>
      </c>
      <c r="J1145" s="4" t="s">
        <v>46</v>
      </c>
      <c r="K1145" s="4" t="s">
        <v>100</v>
      </c>
      <c r="L1145" s="4" t="s">
        <v>101</v>
      </c>
      <c r="M1145" s="4" t="s">
        <v>23</v>
      </c>
      <c r="N1145" s="4" t="s">
        <v>24</v>
      </c>
      <c r="O1145" s="4">
        <v>14</v>
      </c>
      <c r="P1145" s="7">
        <v>1830</v>
      </c>
      <c r="Q1145" s="8">
        <v>0.05</v>
      </c>
      <c r="R1145" s="7">
        <v>1400</v>
      </c>
      <c r="S1145" s="7">
        <f>Table1_1[[#This Row],[Units Sold]]*Table1_1[[#This Row],[Unit Price]]*(1-Table1_1[[#This Row],[Discount %]])</f>
        <v>24339</v>
      </c>
      <c r="T1145" s="7">
        <f>Table1_1[[#This Row],[Units Sold]]*Table1_1[[#This Row],[Unit Cost]]</f>
        <v>19600</v>
      </c>
      <c r="U1145" s="7">
        <f>Table1_1[[#This Row],[Calculated sales]]-Table1_1[[#This Row],[Total cost]]</f>
        <v>4739</v>
      </c>
      <c r="V1145" s="4">
        <f>IFERROR(Table1_1[[#This Row],[Profit/Loss]]/Table1_1[[#This Row],[Calculated sales]],0)</f>
        <v>0.19470808167960885</v>
      </c>
    </row>
    <row r="1146" spans="1:22" x14ac:dyDescent="0.25">
      <c r="A1146" s="4" t="s">
        <v>1295</v>
      </c>
      <c r="B1146" s="5">
        <v>45876</v>
      </c>
      <c r="C1146" s="4">
        <f>YEAR(Table1_1[[#This Row],[Order Dates]])</f>
        <v>2025</v>
      </c>
      <c r="D1146" s="6">
        <f>MONTH(Table1_1[[#This Row],[Order Dates]])</f>
        <v>8</v>
      </c>
      <c r="E1146" s="4" t="s">
        <v>56</v>
      </c>
      <c r="F1146" s="4" t="s">
        <v>143</v>
      </c>
      <c r="G1146" s="4" t="s">
        <v>134</v>
      </c>
      <c r="H1146" s="4" t="str">
        <f>TRIM(CLEAN(SUBSTITUTE(Table1_1[[#This Row],[Salesperson]],"   "," ")))</f>
        <v>Divya Nair</v>
      </c>
      <c r="I1146" s="4" t="s">
        <v>19</v>
      </c>
      <c r="J1146" s="4" t="s">
        <v>83</v>
      </c>
      <c r="K1146" s="4" t="s">
        <v>184</v>
      </c>
      <c r="L1146" s="4" t="s">
        <v>1679</v>
      </c>
      <c r="M1146" s="4" t="s">
        <v>23</v>
      </c>
      <c r="N1146" s="4" t="s">
        <v>24</v>
      </c>
      <c r="O1146" s="4">
        <v>11</v>
      </c>
      <c r="P1146" s="7">
        <v>4520</v>
      </c>
      <c r="Q1146" s="8">
        <v>0.1</v>
      </c>
      <c r="R1146" s="7">
        <v>2970</v>
      </c>
      <c r="S1146" s="7">
        <f>Table1_1[[#This Row],[Units Sold]]*Table1_1[[#This Row],[Unit Price]]*(1-Table1_1[[#This Row],[Discount %]])</f>
        <v>44748</v>
      </c>
      <c r="T1146" s="7">
        <f>Table1_1[[#This Row],[Units Sold]]*Table1_1[[#This Row],[Unit Cost]]</f>
        <v>32670</v>
      </c>
      <c r="U1146" s="7">
        <f>Table1_1[[#This Row],[Calculated sales]]-Table1_1[[#This Row],[Total cost]]</f>
        <v>12078</v>
      </c>
      <c r="V1146" s="4">
        <f>IFERROR(Table1_1[[#This Row],[Profit/Loss]]/Table1_1[[#This Row],[Calculated sales]],0)</f>
        <v>0.26991150442477874</v>
      </c>
    </row>
    <row r="1147" spans="1:22" x14ac:dyDescent="0.25">
      <c r="A1147" s="4" t="s">
        <v>1296</v>
      </c>
      <c r="B1147" s="5">
        <v>45877</v>
      </c>
      <c r="C1147" s="4">
        <f>YEAR(Table1_1[[#This Row],[Order Dates]])</f>
        <v>2025</v>
      </c>
      <c r="D1147" s="6">
        <f>MONTH(Table1_1[[#This Row],[Order Dates]])</f>
        <v>8</v>
      </c>
      <c r="E1147" s="4" t="s">
        <v>16</v>
      </c>
      <c r="F1147" s="4" t="s">
        <v>31</v>
      </c>
      <c r="G1147" s="4" t="s">
        <v>26</v>
      </c>
      <c r="H1147" s="4" t="str">
        <f>TRIM(CLEAN(SUBSTITUTE(Table1_1[[#This Row],[Salesperson]],"   "," ")))</f>
        <v>Prateek Shah</v>
      </c>
      <c r="I1147" s="4" t="s">
        <v>19</v>
      </c>
      <c r="J1147" s="4" t="s">
        <v>59</v>
      </c>
      <c r="K1147" s="4" t="s">
        <v>154</v>
      </c>
      <c r="L1147" s="4" t="s">
        <v>155</v>
      </c>
      <c r="M1147" s="4" t="s">
        <v>23</v>
      </c>
      <c r="N1147" s="4" t="s">
        <v>24</v>
      </c>
      <c r="O1147" s="4">
        <v>4</v>
      </c>
      <c r="P1147" s="7">
        <v>12160</v>
      </c>
      <c r="Q1147" s="8">
        <v>0</v>
      </c>
      <c r="R1147" s="7">
        <v>6980</v>
      </c>
      <c r="S1147" s="7">
        <f>Table1_1[[#This Row],[Units Sold]]*Table1_1[[#This Row],[Unit Price]]*(1-Table1_1[[#This Row],[Discount %]])</f>
        <v>48640</v>
      </c>
      <c r="T1147" s="7">
        <f>Table1_1[[#This Row],[Units Sold]]*Table1_1[[#This Row],[Unit Cost]]</f>
        <v>27920</v>
      </c>
      <c r="U1147" s="7">
        <f>Table1_1[[#This Row],[Calculated sales]]-Table1_1[[#This Row],[Total cost]]</f>
        <v>20720</v>
      </c>
      <c r="V1147" s="4">
        <f>IFERROR(Table1_1[[#This Row],[Profit/Loss]]/Table1_1[[#This Row],[Calculated sales]],0)</f>
        <v>0.42598684210526316</v>
      </c>
    </row>
    <row r="1148" spans="1:22" x14ac:dyDescent="0.25">
      <c r="A1148" s="4" t="s">
        <v>1297</v>
      </c>
      <c r="B1148" s="5">
        <v>45878</v>
      </c>
      <c r="C1148" s="4">
        <f>YEAR(Table1_1[[#This Row],[Order Dates]])</f>
        <v>2025</v>
      </c>
      <c r="D1148" s="6">
        <f>MONTH(Table1_1[[#This Row],[Order Dates]])</f>
        <v>8</v>
      </c>
      <c r="E1148" s="4" t="s">
        <v>76</v>
      </c>
      <c r="F1148" s="4" t="s">
        <v>217</v>
      </c>
      <c r="G1148" s="4" t="s">
        <v>170</v>
      </c>
      <c r="H1148" s="4" t="str">
        <f>TRIM(CLEAN(SUBSTITUTE(Table1_1[[#This Row],[Salesperson]],"   "," ")))</f>
        <v>Manish Tiwari</v>
      </c>
      <c r="I1148" s="4" t="s">
        <v>92</v>
      </c>
      <c r="J1148" s="4" t="s">
        <v>20</v>
      </c>
      <c r="K1148" s="4" t="s">
        <v>33</v>
      </c>
      <c r="L1148" s="4" t="s">
        <v>1677</v>
      </c>
      <c r="M1148" s="4" t="s">
        <v>49</v>
      </c>
      <c r="N1148" s="4" t="s">
        <v>24</v>
      </c>
      <c r="O1148" s="4">
        <v>6</v>
      </c>
      <c r="P1148" s="7">
        <v>64910</v>
      </c>
      <c r="Q1148" s="8">
        <v>0.1</v>
      </c>
      <c r="R1148" s="7">
        <v>44220</v>
      </c>
      <c r="S1148" s="7">
        <f>Table1_1[[#This Row],[Units Sold]]*Table1_1[[#This Row],[Unit Price]]*(1-Table1_1[[#This Row],[Discount %]])</f>
        <v>350514</v>
      </c>
      <c r="T1148" s="7">
        <f>Table1_1[[#This Row],[Units Sold]]*Table1_1[[#This Row],[Unit Cost]]</f>
        <v>265320</v>
      </c>
      <c r="U1148" s="7">
        <f>Table1_1[[#This Row],[Calculated sales]]-Table1_1[[#This Row],[Total cost]]</f>
        <v>85194</v>
      </c>
      <c r="V1148" s="4">
        <f>IFERROR(Table1_1[[#This Row],[Profit/Loss]]/Table1_1[[#This Row],[Calculated sales]],0)</f>
        <v>0.24305448569814614</v>
      </c>
    </row>
    <row r="1149" spans="1:22" x14ac:dyDescent="0.25">
      <c r="A1149" s="4" t="s">
        <v>1298</v>
      </c>
      <c r="B1149" s="5">
        <v>45878</v>
      </c>
      <c r="C1149" s="4">
        <f>YEAR(Table1_1[[#This Row],[Order Dates]])</f>
        <v>2025</v>
      </c>
      <c r="D1149" s="6">
        <f>MONTH(Table1_1[[#This Row],[Order Dates]])</f>
        <v>8</v>
      </c>
      <c r="E1149" s="4" t="s">
        <v>37</v>
      </c>
      <c r="F1149" s="4" t="s">
        <v>67</v>
      </c>
      <c r="G1149" s="4" t="s">
        <v>68</v>
      </c>
      <c r="H1149" s="4" t="str">
        <f>TRIM(CLEAN(SUBSTITUTE(Table1_1[[#This Row],[Salesperson]],"   "," ")))</f>
        <v>Ritika Ghosh</v>
      </c>
      <c r="I1149" s="4" t="s">
        <v>52</v>
      </c>
      <c r="J1149" s="4" t="s">
        <v>20</v>
      </c>
      <c r="K1149" s="4" t="s">
        <v>87</v>
      </c>
      <c r="L1149" s="4" t="s">
        <v>1674</v>
      </c>
      <c r="M1149" s="4" t="s">
        <v>23</v>
      </c>
      <c r="N1149" s="4" t="s">
        <v>24</v>
      </c>
      <c r="O1149" s="4">
        <v>2</v>
      </c>
      <c r="P1149" s="7">
        <v>51560</v>
      </c>
      <c r="Q1149" s="8">
        <v>0.1</v>
      </c>
      <c r="R1149" s="7">
        <v>40120</v>
      </c>
      <c r="S1149" s="7">
        <f>Table1_1[[#This Row],[Units Sold]]*Table1_1[[#This Row],[Unit Price]]*(1-Table1_1[[#This Row],[Discount %]])</f>
        <v>92808</v>
      </c>
      <c r="T1149" s="7">
        <f>Table1_1[[#This Row],[Units Sold]]*Table1_1[[#This Row],[Unit Cost]]</f>
        <v>80240</v>
      </c>
      <c r="U1149" s="7">
        <f>Table1_1[[#This Row],[Calculated sales]]-Table1_1[[#This Row],[Total cost]]</f>
        <v>12568</v>
      </c>
      <c r="V1149" s="4">
        <f>IFERROR(Table1_1[[#This Row],[Profit/Loss]]/Table1_1[[#This Row],[Calculated sales]],0)</f>
        <v>0.13541936039996552</v>
      </c>
    </row>
    <row r="1150" spans="1:22" x14ac:dyDescent="0.25">
      <c r="A1150" s="4" t="s">
        <v>1299</v>
      </c>
      <c r="B1150" s="5">
        <v>45880</v>
      </c>
      <c r="C1150" s="4">
        <f>YEAR(Table1_1[[#This Row],[Order Dates]])</f>
        <v>2025</v>
      </c>
      <c r="D1150" s="6">
        <f>MONTH(Table1_1[[#This Row],[Order Dates]])</f>
        <v>8</v>
      </c>
      <c r="E1150" s="4" t="s">
        <v>56</v>
      </c>
      <c r="F1150" s="4" t="s">
        <v>72</v>
      </c>
      <c r="G1150" s="4" t="s">
        <v>58</v>
      </c>
      <c r="H1150" s="4" t="str">
        <f>TRIM(CLEAN(SUBSTITUTE(Table1_1[[#This Row],[Salesperson]],"   "," ")))</f>
        <v>Karthik Raman</v>
      </c>
      <c r="I1150" s="4" t="s">
        <v>52</v>
      </c>
      <c r="J1150" s="4" t="s">
        <v>59</v>
      </c>
      <c r="K1150" s="4" t="s">
        <v>60</v>
      </c>
      <c r="L1150" s="4" t="s">
        <v>61</v>
      </c>
      <c r="M1150" s="4" t="s">
        <v>49</v>
      </c>
      <c r="N1150" s="4" t="s">
        <v>119</v>
      </c>
      <c r="O1150" s="4">
        <v>6</v>
      </c>
      <c r="P1150" s="7">
        <v>24670</v>
      </c>
      <c r="Q1150" s="8">
        <v>0.08</v>
      </c>
      <c r="R1150" s="7">
        <v>18380</v>
      </c>
      <c r="S1150" s="7">
        <f>Table1_1[[#This Row],[Units Sold]]*Table1_1[[#This Row],[Unit Price]]*(1-Table1_1[[#This Row],[Discount %]])</f>
        <v>136178.4</v>
      </c>
      <c r="T1150" s="7">
        <f>Table1_1[[#This Row],[Units Sold]]*Table1_1[[#This Row],[Unit Cost]]</f>
        <v>110280</v>
      </c>
      <c r="U1150" s="7">
        <f>Table1_1[[#This Row],[Calculated sales]]-Table1_1[[#This Row],[Total cost]]</f>
        <v>25898.399999999994</v>
      </c>
      <c r="V1150" s="4">
        <f>IFERROR(Table1_1[[#This Row],[Profit/Loss]]/Table1_1[[#This Row],[Calculated sales]],0)</f>
        <v>0.19017994043108155</v>
      </c>
    </row>
    <row r="1151" spans="1:22" x14ac:dyDescent="0.25">
      <c r="A1151" s="4" t="s">
        <v>1300</v>
      </c>
      <c r="B1151" s="5">
        <v>45880</v>
      </c>
      <c r="C1151" s="4">
        <f>YEAR(Table1_1[[#This Row],[Order Dates]])</f>
        <v>2025</v>
      </c>
      <c r="D1151" s="6">
        <f>MONTH(Table1_1[[#This Row],[Order Dates]])</f>
        <v>8</v>
      </c>
      <c r="E1151" s="4" t="s">
        <v>16</v>
      </c>
      <c r="F1151" s="4" t="s">
        <v>82</v>
      </c>
      <c r="G1151" s="4" t="s">
        <v>26</v>
      </c>
      <c r="H1151" s="4" t="str">
        <f>TRIM(CLEAN(SUBSTITUTE(Table1_1[[#This Row],[Salesperson]],"   "," ")))</f>
        <v>Prateek Shah</v>
      </c>
      <c r="I1151" s="4" t="s">
        <v>52</v>
      </c>
      <c r="J1151" s="4" t="s">
        <v>20</v>
      </c>
      <c r="K1151" s="4" t="s">
        <v>87</v>
      </c>
      <c r="L1151" s="4" t="s">
        <v>1672</v>
      </c>
      <c r="M1151" s="4" t="s">
        <v>40</v>
      </c>
      <c r="N1151" s="4" t="s">
        <v>24</v>
      </c>
      <c r="O1151" s="4">
        <v>3</v>
      </c>
      <c r="P1151" s="7">
        <v>30580</v>
      </c>
      <c r="Q1151" s="8">
        <v>0</v>
      </c>
      <c r="R1151" s="7">
        <v>23340</v>
      </c>
      <c r="S1151" s="7">
        <f>Table1_1[[#This Row],[Units Sold]]*Table1_1[[#This Row],[Unit Price]]*(1-Table1_1[[#This Row],[Discount %]])</f>
        <v>91740</v>
      </c>
      <c r="T1151" s="7">
        <f>Table1_1[[#This Row],[Units Sold]]*Table1_1[[#This Row],[Unit Cost]]</f>
        <v>70020</v>
      </c>
      <c r="U1151" s="7">
        <f>Table1_1[[#This Row],[Calculated sales]]-Table1_1[[#This Row],[Total cost]]</f>
        <v>21720</v>
      </c>
      <c r="V1151" s="4">
        <f>IFERROR(Table1_1[[#This Row],[Profit/Loss]]/Table1_1[[#This Row],[Calculated sales]],0)</f>
        <v>0.23675604970569</v>
      </c>
    </row>
    <row r="1152" spans="1:22" x14ac:dyDescent="0.25">
      <c r="A1152" s="4" t="s">
        <v>1301</v>
      </c>
      <c r="B1152" s="5">
        <v>45881</v>
      </c>
      <c r="C1152" s="4">
        <f>YEAR(Table1_1[[#This Row],[Order Dates]])</f>
        <v>2025</v>
      </c>
      <c r="D1152" s="6">
        <f>MONTH(Table1_1[[#This Row],[Order Dates]])</f>
        <v>8</v>
      </c>
      <c r="E1152" s="4" t="s">
        <v>76</v>
      </c>
      <c r="F1152" s="4" t="s">
        <v>112</v>
      </c>
      <c r="G1152" s="4" t="s">
        <v>170</v>
      </c>
      <c r="H1152" s="4" t="str">
        <f>TRIM(CLEAN(SUBSTITUTE(Table1_1[[#This Row],[Salesperson]],"   "," ")))</f>
        <v>Manish Tiwari</v>
      </c>
      <c r="I1152" s="4" t="s">
        <v>92</v>
      </c>
      <c r="J1152" s="4" t="s">
        <v>20</v>
      </c>
      <c r="K1152" s="4" t="s">
        <v>109</v>
      </c>
      <c r="L1152" s="4" t="s">
        <v>159</v>
      </c>
      <c r="M1152" s="4" t="s">
        <v>40</v>
      </c>
      <c r="N1152" s="4" t="s">
        <v>24</v>
      </c>
      <c r="O1152" s="4">
        <v>2</v>
      </c>
      <c r="P1152" s="7">
        <v>19220</v>
      </c>
      <c r="Q1152" s="8">
        <v>0.25</v>
      </c>
      <c r="R1152" s="7">
        <v>14510</v>
      </c>
      <c r="S1152" s="7">
        <f>Table1_1[[#This Row],[Units Sold]]*Table1_1[[#This Row],[Unit Price]]*(1-Table1_1[[#This Row],[Discount %]])</f>
        <v>28830</v>
      </c>
      <c r="T1152" s="7">
        <f>Table1_1[[#This Row],[Units Sold]]*Table1_1[[#This Row],[Unit Cost]]</f>
        <v>29020</v>
      </c>
      <c r="U1152" s="7">
        <f>Table1_1[[#This Row],[Calculated sales]]-Table1_1[[#This Row],[Total cost]]</f>
        <v>-190</v>
      </c>
      <c r="V1152" s="4">
        <f>IFERROR(Table1_1[[#This Row],[Profit/Loss]]/Table1_1[[#This Row],[Calculated sales]],0)</f>
        <v>-6.5903572667360385E-3</v>
      </c>
    </row>
    <row r="1153" spans="1:22" x14ac:dyDescent="0.25">
      <c r="A1153" s="4" t="s">
        <v>1302</v>
      </c>
      <c r="B1153" s="5">
        <v>45881</v>
      </c>
      <c r="C1153" s="4">
        <f>YEAR(Table1_1[[#This Row],[Order Dates]])</f>
        <v>2025</v>
      </c>
      <c r="D1153" s="6">
        <f>MONTH(Table1_1[[#This Row],[Order Dates]])</f>
        <v>8</v>
      </c>
      <c r="E1153" s="4" t="s">
        <v>42</v>
      </c>
      <c r="F1153" s="4" t="s">
        <v>146</v>
      </c>
      <c r="G1153" s="4" t="s">
        <v>44</v>
      </c>
      <c r="H1153" s="4" t="str">
        <f>TRIM(CLEAN(SUBSTITUTE(Table1_1[[#This Row],[Salesperson]],"   "," ")))</f>
        <v>Simran Kaur</v>
      </c>
      <c r="I1153" s="4" t="s">
        <v>52</v>
      </c>
      <c r="J1153" s="4" t="s">
        <v>83</v>
      </c>
      <c r="K1153" s="4" t="s">
        <v>184</v>
      </c>
      <c r="L1153" s="4" t="s">
        <v>196</v>
      </c>
      <c r="M1153" s="4" t="s">
        <v>49</v>
      </c>
      <c r="N1153" s="4" t="s">
        <v>24</v>
      </c>
      <c r="O1153" s="4">
        <v>14</v>
      </c>
      <c r="P1153" s="7">
        <v>3180</v>
      </c>
      <c r="Q1153" s="8">
        <v>0.12</v>
      </c>
      <c r="R1153" s="7">
        <v>1820</v>
      </c>
      <c r="S1153" s="7">
        <f>Table1_1[[#This Row],[Units Sold]]*Table1_1[[#This Row],[Unit Price]]*(1-Table1_1[[#This Row],[Discount %]])</f>
        <v>39177.599999999999</v>
      </c>
      <c r="T1153" s="7">
        <f>Table1_1[[#This Row],[Units Sold]]*Table1_1[[#This Row],[Unit Cost]]</f>
        <v>25480</v>
      </c>
      <c r="U1153" s="7">
        <f>Table1_1[[#This Row],[Calculated sales]]-Table1_1[[#This Row],[Total cost]]</f>
        <v>13697.599999999999</v>
      </c>
      <c r="V1153" s="4">
        <f>IFERROR(Table1_1[[#This Row],[Profit/Loss]]/Table1_1[[#This Row],[Calculated sales]],0)</f>
        <v>0.34962835906232131</v>
      </c>
    </row>
    <row r="1154" spans="1:22" x14ac:dyDescent="0.25">
      <c r="A1154" s="4" t="s">
        <v>1303</v>
      </c>
      <c r="B1154" s="5">
        <v>45881</v>
      </c>
      <c r="C1154" s="4">
        <f>YEAR(Table1_1[[#This Row],[Order Dates]])</f>
        <v>2025</v>
      </c>
      <c r="D1154" s="6">
        <f>MONTH(Table1_1[[#This Row],[Order Dates]])</f>
        <v>8</v>
      </c>
      <c r="E1154" s="4" t="s">
        <v>16</v>
      </c>
      <c r="F1154" s="4" t="s">
        <v>153</v>
      </c>
      <c r="G1154" s="4" t="s">
        <v>18</v>
      </c>
      <c r="H1154" s="4" t="str">
        <f>TRIM(CLEAN(SUBSTITUTE(Table1_1[[#This Row],[Salesperson]],"   "," ")))</f>
        <v>Imran Sheikh</v>
      </c>
      <c r="I1154" s="4" t="s">
        <v>19</v>
      </c>
      <c r="J1154" s="4" t="s">
        <v>46</v>
      </c>
      <c r="K1154" s="4" t="s">
        <v>100</v>
      </c>
      <c r="L1154" s="4" t="s">
        <v>177</v>
      </c>
      <c r="M1154" s="4" t="s">
        <v>49</v>
      </c>
      <c r="N1154" s="4" t="s">
        <v>24</v>
      </c>
      <c r="O1154" s="4">
        <v>8</v>
      </c>
      <c r="P1154" s="7">
        <v>2520</v>
      </c>
      <c r="Q1154" s="8">
        <v>0.1</v>
      </c>
      <c r="R1154" s="7">
        <v>1940</v>
      </c>
      <c r="S1154" s="7">
        <f>Table1_1[[#This Row],[Units Sold]]*Table1_1[[#This Row],[Unit Price]]*(1-Table1_1[[#This Row],[Discount %]])</f>
        <v>18144</v>
      </c>
      <c r="T1154" s="7">
        <f>Table1_1[[#This Row],[Units Sold]]*Table1_1[[#This Row],[Unit Cost]]</f>
        <v>15520</v>
      </c>
      <c r="U1154" s="7">
        <f>Table1_1[[#This Row],[Calculated sales]]-Table1_1[[#This Row],[Total cost]]</f>
        <v>2624</v>
      </c>
      <c r="V1154" s="4">
        <f>IFERROR(Table1_1[[#This Row],[Profit/Loss]]/Table1_1[[#This Row],[Calculated sales]],0)</f>
        <v>0.14462081128747795</v>
      </c>
    </row>
    <row r="1155" spans="1:22" x14ac:dyDescent="0.25">
      <c r="A1155" s="4" t="s">
        <v>1304</v>
      </c>
      <c r="B1155" s="5">
        <v>45881</v>
      </c>
      <c r="C1155" s="4">
        <f>YEAR(Table1_1[[#This Row],[Order Dates]])</f>
        <v>2025</v>
      </c>
      <c r="D1155" s="6">
        <f>MONTH(Table1_1[[#This Row],[Order Dates]])</f>
        <v>8</v>
      </c>
      <c r="E1155" s="4" t="s">
        <v>56</v>
      </c>
      <c r="F1155" s="4" t="s">
        <v>143</v>
      </c>
      <c r="G1155" s="4" t="s">
        <v>91</v>
      </c>
      <c r="H1155" s="4" t="str">
        <f>TRIM(CLEAN(SUBSTITUTE(Table1_1[[#This Row],[Salesperson]],"   "," ")))</f>
        <v>Anjali Menon</v>
      </c>
      <c r="I1155" s="4" t="s">
        <v>19</v>
      </c>
      <c r="J1155" s="4" t="s">
        <v>20</v>
      </c>
      <c r="K1155" s="4" t="s">
        <v>33</v>
      </c>
      <c r="L1155" s="4" t="s">
        <v>1678</v>
      </c>
      <c r="M1155" s="4" t="s">
        <v>23</v>
      </c>
      <c r="N1155" s="4" t="s">
        <v>24</v>
      </c>
      <c r="O1155" s="4">
        <v>4</v>
      </c>
      <c r="P1155" s="7">
        <v>101070</v>
      </c>
      <c r="Q1155" s="8">
        <v>0</v>
      </c>
      <c r="R1155" s="7">
        <v>63390</v>
      </c>
      <c r="S1155" s="7">
        <f>Table1_1[[#This Row],[Units Sold]]*Table1_1[[#This Row],[Unit Price]]*(1-Table1_1[[#This Row],[Discount %]])</f>
        <v>404280</v>
      </c>
      <c r="T1155" s="7">
        <f>Table1_1[[#This Row],[Units Sold]]*Table1_1[[#This Row],[Unit Cost]]</f>
        <v>253560</v>
      </c>
      <c r="U1155" s="7">
        <f>Table1_1[[#This Row],[Calculated sales]]-Table1_1[[#This Row],[Total cost]]</f>
        <v>150720</v>
      </c>
      <c r="V1155" s="4">
        <f>IFERROR(Table1_1[[#This Row],[Profit/Loss]]/Table1_1[[#This Row],[Calculated sales]],0)</f>
        <v>0.37281092312258829</v>
      </c>
    </row>
    <row r="1156" spans="1:22" x14ac:dyDescent="0.25">
      <c r="A1156" s="4" t="s">
        <v>1305</v>
      </c>
      <c r="B1156" s="5">
        <v>45882</v>
      </c>
      <c r="C1156" s="4">
        <f>YEAR(Table1_1[[#This Row],[Order Dates]])</f>
        <v>2025</v>
      </c>
      <c r="D1156" s="6">
        <f>MONTH(Table1_1[[#This Row],[Order Dates]])</f>
        <v>8</v>
      </c>
      <c r="E1156" s="4" t="s">
        <v>42</v>
      </c>
      <c r="F1156" s="4" t="s">
        <v>96</v>
      </c>
      <c r="G1156" s="4" t="s">
        <v>44</v>
      </c>
      <c r="H1156" s="4" t="str">
        <f>TRIM(CLEAN(SUBSTITUTE(Table1_1[[#This Row],[Salesperson]],"   "," ")))</f>
        <v>Simran Kaur</v>
      </c>
      <c r="I1156" s="4" t="s">
        <v>92</v>
      </c>
      <c r="J1156" s="4" t="s">
        <v>46</v>
      </c>
      <c r="K1156" s="4" t="s">
        <v>47</v>
      </c>
      <c r="L1156" s="4" t="s">
        <v>48</v>
      </c>
      <c r="M1156" s="4" t="s">
        <v>23</v>
      </c>
      <c r="N1156" s="4" t="s">
        <v>24</v>
      </c>
      <c r="O1156" s="4">
        <v>41</v>
      </c>
      <c r="P1156" s="7">
        <v>1810</v>
      </c>
      <c r="Q1156" s="8">
        <v>0.25</v>
      </c>
      <c r="R1156" s="7">
        <v>1030</v>
      </c>
      <c r="S1156" s="7">
        <f>Table1_1[[#This Row],[Units Sold]]*Table1_1[[#This Row],[Unit Price]]*(1-Table1_1[[#This Row],[Discount %]])</f>
        <v>55657.5</v>
      </c>
      <c r="T1156" s="7">
        <f>Table1_1[[#This Row],[Units Sold]]*Table1_1[[#This Row],[Unit Cost]]</f>
        <v>42230</v>
      </c>
      <c r="U1156" s="7">
        <f>Table1_1[[#This Row],[Calculated sales]]-Table1_1[[#This Row],[Total cost]]</f>
        <v>13427.5</v>
      </c>
      <c r="V1156" s="4">
        <f>IFERROR(Table1_1[[#This Row],[Profit/Loss]]/Table1_1[[#This Row],[Calculated sales]],0)</f>
        <v>0.24125230202578268</v>
      </c>
    </row>
    <row r="1157" spans="1:22" x14ac:dyDescent="0.25">
      <c r="A1157" s="4" t="s">
        <v>1306</v>
      </c>
      <c r="B1157" s="5">
        <v>45883</v>
      </c>
      <c r="C1157" s="4">
        <f>YEAR(Table1_1[[#This Row],[Order Dates]])</f>
        <v>2025</v>
      </c>
      <c r="D1157" s="6">
        <f>MONTH(Table1_1[[#This Row],[Order Dates]])</f>
        <v>8</v>
      </c>
      <c r="E1157" s="4" t="s">
        <v>56</v>
      </c>
      <c r="F1157" s="4" t="s">
        <v>143</v>
      </c>
      <c r="G1157" s="4" t="s">
        <v>134</v>
      </c>
      <c r="H1157" s="4" t="str">
        <f>TRIM(CLEAN(SUBSTITUTE(Table1_1[[#This Row],[Salesperson]],"   "," ")))</f>
        <v>Divya Nair</v>
      </c>
      <c r="I1157" s="4" t="s">
        <v>92</v>
      </c>
      <c r="J1157" s="4" t="s">
        <v>83</v>
      </c>
      <c r="K1157" s="4" t="s">
        <v>184</v>
      </c>
      <c r="L1157" s="4" t="s">
        <v>1679</v>
      </c>
      <c r="M1157" s="4" t="s">
        <v>49</v>
      </c>
      <c r="N1157" s="4" t="s">
        <v>24</v>
      </c>
      <c r="O1157" s="4">
        <v>4</v>
      </c>
      <c r="P1157" s="7">
        <v>4350</v>
      </c>
      <c r="Q1157" s="8">
        <v>0.2</v>
      </c>
      <c r="R1157" s="7">
        <v>2450</v>
      </c>
      <c r="S1157" s="7">
        <f>Table1_1[[#This Row],[Units Sold]]*Table1_1[[#This Row],[Unit Price]]*(1-Table1_1[[#This Row],[Discount %]])</f>
        <v>13920</v>
      </c>
      <c r="T1157" s="7">
        <f>Table1_1[[#This Row],[Units Sold]]*Table1_1[[#This Row],[Unit Cost]]</f>
        <v>9800</v>
      </c>
      <c r="U1157" s="7">
        <f>Table1_1[[#This Row],[Calculated sales]]-Table1_1[[#This Row],[Total cost]]</f>
        <v>4120</v>
      </c>
      <c r="V1157" s="4">
        <f>IFERROR(Table1_1[[#This Row],[Profit/Loss]]/Table1_1[[#This Row],[Calculated sales]],0)</f>
        <v>0.29597701149425287</v>
      </c>
    </row>
    <row r="1158" spans="1:22" x14ac:dyDescent="0.25">
      <c r="A1158" s="4" t="s">
        <v>1307</v>
      </c>
      <c r="B1158" s="5">
        <v>45884</v>
      </c>
      <c r="C1158" s="4">
        <f>YEAR(Table1_1[[#This Row],[Order Dates]])</f>
        <v>2025</v>
      </c>
      <c r="D1158" s="6">
        <f>MONTH(Table1_1[[#This Row],[Order Dates]])</f>
        <v>8</v>
      </c>
      <c r="E1158" s="4" t="s">
        <v>76</v>
      </c>
      <c r="F1158" s="4" t="s">
        <v>217</v>
      </c>
      <c r="G1158" s="4" t="s">
        <v>78</v>
      </c>
      <c r="H1158" s="4" t="str">
        <f>TRIM(CLEAN(SUBSTITUTE(Table1_1[[#This Row],[Salesperson]],"   "," ")))</f>
        <v>Pooja Chouhan</v>
      </c>
      <c r="I1158" s="4" t="s">
        <v>19</v>
      </c>
      <c r="J1158" s="4" t="s">
        <v>59</v>
      </c>
      <c r="K1158" s="4" t="s">
        <v>73</v>
      </c>
      <c r="L1158" s="4" t="s">
        <v>113</v>
      </c>
      <c r="M1158" s="4" t="s">
        <v>40</v>
      </c>
      <c r="N1158" s="4" t="s">
        <v>24</v>
      </c>
      <c r="O1158" s="4">
        <v>1</v>
      </c>
      <c r="P1158" s="7">
        <v>32920</v>
      </c>
      <c r="Q1158" s="8">
        <v>0.05</v>
      </c>
      <c r="R1158" s="7">
        <v>21290</v>
      </c>
      <c r="S1158" s="7">
        <f>Table1_1[[#This Row],[Units Sold]]*Table1_1[[#This Row],[Unit Price]]*(1-Table1_1[[#This Row],[Discount %]])</f>
        <v>31274</v>
      </c>
      <c r="T1158" s="7">
        <f>Table1_1[[#This Row],[Units Sold]]*Table1_1[[#This Row],[Unit Cost]]</f>
        <v>21290</v>
      </c>
      <c r="U1158" s="7">
        <f>Table1_1[[#This Row],[Calculated sales]]-Table1_1[[#This Row],[Total cost]]</f>
        <v>9984</v>
      </c>
      <c r="V1158" s="4">
        <f>IFERROR(Table1_1[[#This Row],[Profit/Loss]]/Table1_1[[#This Row],[Calculated sales]],0)</f>
        <v>0.31924282151307798</v>
      </c>
    </row>
    <row r="1159" spans="1:22" x14ac:dyDescent="0.25">
      <c r="A1159" s="4" t="s">
        <v>1308</v>
      </c>
      <c r="B1159" s="5">
        <v>45884</v>
      </c>
      <c r="C1159" s="4">
        <f>YEAR(Table1_1[[#This Row],[Order Dates]])</f>
        <v>2025</v>
      </c>
      <c r="D1159" s="6">
        <f>MONTH(Table1_1[[#This Row],[Order Dates]])</f>
        <v>8</v>
      </c>
      <c r="E1159" s="4" t="s">
        <v>56</v>
      </c>
      <c r="F1159" s="4" t="s">
        <v>57</v>
      </c>
      <c r="G1159" s="4" t="s">
        <v>134</v>
      </c>
      <c r="H1159" s="4" t="str">
        <f>TRIM(CLEAN(SUBSTITUTE(Table1_1[[#This Row],[Salesperson]],"   "," ")))</f>
        <v>Divya Nair</v>
      </c>
      <c r="I1159" s="4" t="s">
        <v>19</v>
      </c>
      <c r="J1159" s="4" t="s">
        <v>20</v>
      </c>
      <c r="K1159" s="4" t="s">
        <v>33</v>
      </c>
      <c r="L1159" s="4" t="s">
        <v>1678</v>
      </c>
      <c r="M1159" s="4" t="s">
        <v>23</v>
      </c>
      <c r="N1159" s="4" t="s">
        <v>35</v>
      </c>
      <c r="O1159" s="4">
        <v>3</v>
      </c>
      <c r="P1159" s="7">
        <v>101120</v>
      </c>
      <c r="Q1159" s="8">
        <v>0.2</v>
      </c>
      <c r="R1159" s="7">
        <v>70470</v>
      </c>
      <c r="S1159" s="7">
        <f>Table1_1[[#This Row],[Units Sold]]*Table1_1[[#This Row],[Unit Price]]*(1-Table1_1[[#This Row],[Discount %]])</f>
        <v>242688</v>
      </c>
      <c r="T1159" s="7">
        <f>Table1_1[[#This Row],[Units Sold]]*Table1_1[[#This Row],[Unit Cost]]</f>
        <v>211410</v>
      </c>
      <c r="U1159" s="7">
        <f>Table1_1[[#This Row],[Calculated sales]]-Table1_1[[#This Row],[Total cost]]</f>
        <v>31278</v>
      </c>
      <c r="V1159" s="4">
        <f>IFERROR(Table1_1[[#This Row],[Profit/Loss]]/Table1_1[[#This Row],[Calculated sales]],0)</f>
        <v>0.12888152689873417</v>
      </c>
    </row>
    <row r="1160" spans="1:22" x14ac:dyDescent="0.25">
      <c r="A1160" s="4" t="s">
        <v>1309</v>
      </c>
      <c r="B1160" s="5">
        <v>45885</v>
      </c>
      <c r="C1160" s="4">
        <f>YEAR(Table1_1[[#This Row],[Order Dates]])</f>
        <v>2025</v>
      </c>
      <c r="D1160" s="6">
        <f>MONTH(Table1_1[[#This Row],[Order Dates]])</f>
        <v>8</v>
      </c>
      <c r="E1160" s="4" t="s">
        <v>42</v>
      </c>
      <c r="F1160" s="4" t="s">
        <v>43</v>
      </c>
      <c r="G1160" s="4" t="s">
        <v>97</v>
      </c>
      <c r="H1160" s="4" t="str">
        <f>TRIM(CLEAN(SUBSTITUTE(Table1_1[[#This Row],[Salesperson]],"   "," ")))</f>
        <v>Rohit Malhotra</v>
      </c>
      <c r="I1160" s="4" t="s">
        <v>45</v>
      </c>
      <c r="J1160" s="4" t="s">
        <v>20</v>
      </c>
      <c r="K1160" s="4" t="s">
        <v>87</v>
      </c>
      <c r="L1160" s="4" t="s">
        <v>1672</v>
      </c>
      <c r="M1160" s="4" t="s">
        <v>49</v>
      </c>
      <c r="N1160" s="4" t="s">
        <v>24</v>
      </c>
      <c r="O1160" s="4">
        <v>2</v>
      </c>
      <c r="P1160" s="7">
        <v>30660</v>
      </c>
      <c r="Q1160" s="8">
        <v>0.05</v>
      </c>
      <c r="R1160" s="7">
        <v>19450</v>
      </c>
      <c r="S1160" s="7">
        <f>Table1_1[[#This Row],[Units Sold]]*Table1_1[[#This Row],[Unit Price]]*(1-Table1_1[[#This Row],[Discount %]])</f>
        <v>58254</v>
      </c>
      <c r="T1160" s="7">
        <f>Table1_1[[#This Row],[Units Sold]]*Table1_1[[#This Row],[Unit Cost]]</f>
        <v>38900</v>
      </c>
      <c r="U1160" s="7">
        <f>Table1_1[[#This Row],[Calculated sales]]-Table1_1[[#This Row],[Total cost]]</f>
        <v>19354</v>
      </c>
      <c r="V1160" s="4">
        <f>IFERROR(Table1_1[[#This Row],[Profit/Loss]]/Table1_1[[#This Row],[Calculated sales]],0)</f>
        <v>0.33223469632986574</v>
      </c>
    </row>
    <row r="1161" spans="1:22" x14ac:dyDescent="0.25">
      <c r="A1161" s="4" t="s">
        <v>1310</v>
      </c>
      <c r="B1161" s="5">
        <v>45886</v>
      </c>
      <c r="C1161" s="4">
        <f>YEAR(Table1_1[[#This Row],[Order Dates]])</f>
        <v>2025</v>
      </c>
      <c r="D1161" s="6">
        <f>MONTH(Table1_1[[#This Row],[Order Dates]])</f>
        <v>8</v>
      </c>
      <c r="E1161" s="4" t="s">
        <v>56</v>
      </c>
      <c r="F1161" s="4" t="s">
        <v>57</v>
      </c>
      <c r="G1161" s="4" t="s">
        <v>91</v>
      </c>
      <c r="H1161" s="4" t="str">
        <f>TRIM(CLEAN(SUBSTITUTE(Table1_1[[#This Row],[Salesperson]],"   "," ")))</f>
        <v>Anjali Menon</v>
      </c>
      <c r="I1161" s="4" t="s">
        <v>19</v>
      </c>
      <c r="J1161" s="4" t="s">
        <v>59</v>
      </c>
      <c r="K1161" s="4" t="s">
        <v>73</v>
      </c>
      <c r="L1161" s="4" t="s">
        <v>113</v>
      </c>
      <c r="M1161" s="4" t="s">
        <v>40</v>
      </c>
      <c r="N1161" s="4" t="s">
        <v>119</v>
      </c>
      <c r="O1161" s="4">
        <v>3</v>
      </c>
      <c r="P1161" s="7">
        <v>32160</v>
      </c>
      <c r="Q1161" s="8">
        <v>0.05</v>
      </c>
      <c r="R1161" s="7">
        <v>23460</v>
      </c>
      <c r="S1161" s="7">
        <f>Table1_1[[#This Row],[Units Sold]]*Table1_1[[#This Row],[Unit Price]]*(1-Table1_1[[#This Row],[Discount %]])</f>
        <v>91656</v>
      </c>
      <c r="T1161" s="7">
        <f>Table1_1[[#This Row],[Units Sold]]*Table1_1[[#This Row],[Unit Cost]]</f>
        <v>70380</v>
      </c>
      <c r="U1161" s="7">
        <f>Table1_1[[#This Row],[Calculated sales]]-Table1_1[[#This Row],[Total cost]]</f>
        <v>21276</v>
      </c>
      <c r="V1161" s="4">
        <f>IFERROR(Table1_1[[#This Row],[Profit/Loss]]/Table1_1[[#This Row],[Calculated sales]],0)</f>
        <v>0.23212882953652789</v>
      </c>
    </row>
    <row r="1162" spans="1:22" x14ac:dyDescent="0.25">
      <c r="A1162" s="4" t="s">
        <v>1311</v>
      </c>
      <c r="B1162" s="5">
        <v>45887</v>
      </c>
      <c r="C1162" s="4">
        <f>YEAR(Table1_1[[#This Row],[Order Dates]])</f>
        <v>2025</v>
      </c>
      <c r="D1162" s="6">
        <f>MONTH(Table1_1[[#This Row],[Order Dates]])</f>
        <v>8</v>
      </c>
      <c r="E1162" s="4" t="s">
        <v>37</v>
      </c>
      <c r="F1162" s="4" t="s">
        <v>166</v>
      </c>
      <c r="G1162" s="4" t="s">
        <v>68</v>
      </c>
      <c r="H1162" s="4" t="str">
        <f>TRIM(CLEAN(SUBSTITUTE(Table1_1[[#This Row],[Salesperson]],"   "," ")))</f>
        <v>Ritika Ghosh</v>
      </c>
      <c r="I1162" s="4" t="s">
        <v>52</v>
      </c>
      <c r="J1162" s="4" t="s">
        <v>20</v>
      </c>
      <c r="K1162" s="4" t="s">
        <v>21</v>
      </c>
      <c r="L1162" s="4" t="s">
        <v>1682</v>
      </c>
      <c r="M1162" s="4" t="s">
        <v>40</v>
      </c>
      <c r="N1162" s="4" t="s">
        <v>24</v>
      </c>
      <c r="O1162" s="4">
        <v>4</v>
      </c>
      <c r="P1162" s="7">
        <v>9070</v>
      </c>
      <c r="Q1162" s="8">
        <v>0.12</v>
      </c>
      <c r="R1162" s="7">
        <v>5860</v>
      </c>
      <c r="S1162" s="7">
        <f>Table1_1[[#This Row],[Units Sold]]*Table1_1[[#This Row],[Unit Price]]*(1-Table1_1[[#This Row],[Discount %]])</f>
        <v>31926.400000000001</v>
      </c>
      <c r="T1162" s="7">
        <f>Table1_1[[#This Row],[Units Sold]]*Table1_1[[#This Row],[Unit Cost]]</f>
        <v>23440</v>
      </c>
      <c r="U1162" s="7">
        <f>Table1_1[[#This Row],[Calculated sales]]-Table1_1[[#This Row],[Total cost]]</f>
        <v>8486.4000000000015</v>
      </c>
      <c r="V1162" s="4">
        <f>IFERROR(Table1_1[[#This Row],[Profit/Loss]]/Table1_1[[#This Row],[Calculated sales]],0)</f>
        <v>0.26581136614212691</v>
      </c>
    </row>
    <row r="1163" spans="1:22" x14ac:dyDescent="0.25">
      <c r="A1163" s="4" t="s">
        <v>1312</v>
      </c>
      <c r="B1163" s="5">
        <v>45887</v>
      </c>
      <c r="C1163" s="4">
        <f>YEAR(Table1_1[[#This Row],[Order Dates]])</f>
        <v>2025</v>
      </c>
      <c r="D1163" s="6">
        <f>MONTH(Table1_1[[#This Row],[Order Dates]])</f>
        <v>8</v>
      </c>
      <c r="E1163" s="4" t="s">
        <v>76</v>
      </c>
      <c r="F1163" s="4" t="s">
        <v>150</v>
      </c>
      <c r="G1163" s="4" t="s">
        <v>78</v>
      </c>
      <c r="H1163" s="4" t="str">
        <f>TRIM(CLEAN(SUBSTITUTE(Table1_1[[#This Row],[Salesperson]],"   "," ")))</f>
        <v>Pooja Chouhan</v>
      </c>
      <c r="I1163" s="4" t="s">
        <v>19</v>
      </c>
      <c r="J1163" s="4" t="s">
        <v>83</v>
      </c>
      <c r="K1163" s="4" t="s">
        <v>184</v>
      </c>
      <c r="L1163" s="4" t="s">
        <v>196</v>
      </c>
      <c r="M1163" s="4" t="s">
        <v>23</v>
      </c>
      <c r="N1163" s="4" t="s">
        <v>35</v>
      </c>
      <c r="O1163" s="4">
        <v>11</v>
      </c>
      <c r="P1163" s="7">
        <v>3360</v>
      </c>
      <c r="Q1163" s="8">
        <v>0.1</v>
      </c>
      <c r="R1163" s="7">
        <v>2460</v>
      </c>
      <c r="S1163" s="7">
        <f>Table1_1[[#This Row],[Units Sold]]*Table1_1[[#This Row],[Unit Price]]*(1-Table1_1[[#This Row],[Discount %]])</f>
        <v>33264</v>
      </c>
      <c r="T1163" s="7">
        <f>Table1_1[[#This Row],[Units Sold]]*Table1_1[[#This Row],[Unit Cost]]</f>
        <v>27060</v>
      </c>
      <c r="U1163" s="7">
        <f>Table1_1[[#This Row],[Calculated sales]]-Table1_1[[#This Row],[Total cost]]</f>
        <v>6204</v>
      </c>
      <c r="V1163" s="4">
        <f>IFERROR(Table1_1[[#This Row],[Profit/Loss]]/Table1_1[[#This Row],[Calculated sales]],0)</f>
        <v>0.18650793650793651</v>
      </c>
    </row>
    <row r="1164" spans="1:22" x14ac:dyDescent="0.25">
      <c r="A1164" s="4" t="s">
        <v>1313</v>
      </c>
      <c r="B1164" s="5">
        <v>45887</v>
      </c>
      <c r="C1164" s="4">
        <f>YEAR(Table1_1[[#This Row],[Order Dates]])</f>
        <v>2025</v>
      </c>
      <c r="D1164" s="6">
        <f>MONTH(Table1_1[[#This Row],[Order Dates]])</f>
        <v>8</v>
      </c>
      <c r="E1164" s="4" t="s">
        <v>56</v>
      </c>
      <c r="F1164" s="4" t="s">
        <v>127</v>
      </c>
      <c r="G1164" s="4" t="s">
        <v>91</v>
      </c>
      <c r="H1164" s="4" t="str">
        <f>TRIM(CLEAN(SUBSTITUTE(Table1_1[[#This Row],[Salesperson]],"   "," ")))</f>
        <v>Anjali Menon</v>
      </c>
      <c r="I1164" s="4" t="s">
        <v>19</v>
      </c>
      <c r="J1164" s="4" t="s">
        <v>59</v>
      </c>
      <c r="K1164" s="4" t="s">
        <v>69</v>
      </c>
      <c r="L1164" s="4" t="s">
        <v>70</v>
      </c>
      <c r="M1164" s="4" t="s">
        <v>23</v>
      </c>
      <c r="N1164" s="4" t="s">
        <v>24</v>
      </c>
      <c r="O1164" s="4">
        <v>5</v>
      </c>
      <c r="P1164" s="7">
        <v>29910</v>
      </c>
      <c r="Q1164" s="8">
        <v>0.15</v>
      </c>
      <c r="R1164" s="7">
        <v>18610</v>
      </c>
      <c r="S1164" s="7">
        <f>Table1_1[[#This Row],[Units Sold]]*Table1_1[[#This Row],[Unit Price]]*(1-Table1_1[[#This Row],[Discount %]])</f>
        <v>127117.5</v>
      </c>
      <c r="T1164" s="7">
        <f>Table1_1[[#This Row],[Units Sold]]*Table1_1[[#This Row],[Unit Cost]]</f>
        <v>93050</v>
      </c>
      <c r="U1164" s="7">
        <f>Table1_1[[#This Row],[Calculated sales]]-Table1_1[[#This Row],[Total cost]]</f>
        <v>34067.5</v>
      </c>
      <c r="V1164" s="4">
        <f>IFERROR(Table1_1[[#This Row],[Profit/Loss]]/Table1_1[[#This Row],[Calculated sales]],0)</f>
        <v>0.26800007866737469</v>
      </c>
    </row>
    <row r="1165" spans="1:22" x14ac:dyDescent="0.25">
      <c r="A1165" s="4" t="s">
        <v>1314</v>
      </c>
      <c r="B1165" s="5">
        <v>45887</v>
      </c>
      <c r="C1165" s="4">
        <f>YEAR(Table1_1[[#This Row],[Order Dates]])</f>
        <v>2025</v>
      </c>
      <c r="D1165" s="6">
        <f>MONTH(Table1_1[[#This Row],[Order Dates]])</f>
        <v>8</v>
      </c>
      <c r="E1165" s="4" t="s">
        <v>16</v>
      </c>
      <c r="F1165" s="4" t="s">
        <v>191</v>
      </c>
      <c r="G1165" s="4" t="s">
        <v>26</v>
      </c>
      <c r="H1165" s="4" t="str">
        <f>TRIM(CLEAN(SUBSTITUTE(Table1_1[[#This Row],[Salesperson]],"   "," ")))</f>
        <v>Prateek Shah</v>
      </c>
      <c r="I1165" s="4" t="s">
        <v>92</v>
      </c>
      <c r="J1165" s="4" t="s">
        <v>59</v>
      </c>
      <c r="K1165" s="4" t="s">
        <v>60</v>
      </c>
      <c r="L1165" s="4" t="s">
        <v>61</v>
      </c>
      <c r="M1165" s="4" t="s">
        <v>40</v>
      </c>
      <c r="N1165" s="4" t="s">
        <v>24</v>
      </c>
      <c r="O1165" s="4">
        <v>12</v>
      </c>
      <c r="P1165" s="7">
        <v>22960</v>
      </c>
      <c r="Q1165" s="8">
        <v>0.05</v>
      </c>
      <c r="R1165" s="7">
        <v>15620</v>
      </c>
      <c r="S1165" s="7">
        <f>Table1_1[[#This Row],[Units Sold]]*Table1_1[[#This Row],[Unit Price]]*(1-Table1_1[[#This Row],[Discount %]])</f>
        <v>261744</v>
      </c>
      <c r="T1165" s="7">
        <f>Table1_1[[#This Row],[Units Sold]]*Table1_1[[#This Row],[Unit Cost]]</f>
        <v>187440</v>
      </c>
      <c r="U1165" s="7">
        <f>Table1_1[[#This Row],[Calculated sales]]-Table1_1[[#This Row],[Total cost]]</f>
        <v>74304</v>
      </c>
      <c r="V1165" s="4">
        <f>IFERROR(Table1_1[[#This Row],[Profit/Loss]]/Table1_1[[#This Row],[Calculated sales]],0)</f>
        <v>0.28388043278929032</v>
      </c>
    </row>
    <row r="1166" spans="1:22" x14ac:dyDescent="0.25">
      <c r="A1166" s="4" t="s">
        <v>1315</v>
      </c>
      <c r="B1166" s="5">
        <v>45888</v>
      </c>
      <c r="C1166" s="4">
        <f>YEAR(Table1_1[[#This Row],[Order Dates]])</f>
        <v>2025</v>
      </c>
      <c r="D1166" s="6">
        <f>MONTH(Table1_1[[#This Row],[Order Dates]])</f>
        <v>8</v>
      </c>
      <c r="E1166" s="4" t="s">
        <v>16</v>
      </c>
      <c r="F1166" s="4" t="s">
        <v>153</v>
      </c>
      <c r="G1166" s="4" t="s">
        <v>18</v>
      </c>
      <c r="H1166" s="4" t="str">
        <f>TRIM(CLEAN(SUBSTITUTE(Table1_1[[#This Row],[Salesperson]],"   "," ")))</f>
        <v>Imran Sheikh</v>
      </c>
      <c r="I1166" s="4" t="s">
        <v>19</v>
      </c>
      <c r="J1166" s="4" t="s">
        <v>46</v>
      </c>
      <c r="K1166" s="4" t="s">
        <v>179</v>
      </c>
      <c r="L1166" s="4" t="s">
        <v>236</v>
      </c>
      <c r="M1166" s="4" t="s">
        <v>23</v>
      </c>
      <c r="N1166" s="4" t="s">
        <v>24</v>
      </c>
      <c r="O1166" s="4">
        <v>11</v>
      </c>
      <c r="P1166" s="7">
        <v>2120</v>
      </c>
      <c r="Q1166" s="8">
        <v>0.05</v>
      </c>
      <c r="R1166" s="7">
        <v>1430</v>
      </c>
      <c r="S1166" s="7">
        <f>Table1_1[[#This Row],[Units Sold]]*Table1_1[[#This Row],[Unit Price]]*(1-Table1_1[[#This Row],[Discount %]])</f>
        <v>22154</v>
      </c>
      <c r="T1166" s="7">
        <f>Table1_1[[#This Row],[Units Sold]]*Table1_1[[#This Row],[Unit Cost]]</f>
        <v>15730</v>
      </c>
      <c r="U1166" s="7">
        <f>Table1_1[[#This Row],[Calculated sales]]-Table1_1[[#This Row],[Total cost]]</f>
        <v>6424</v>
      </c>
      <c r="V1166" s="4">
        <f>IFERROR(Table1_1[[#This Row],[Profit/Loss]]/Table1_1[[#This Row],[Calculated sales]],0)</f>
        <v>0.28997020854021849</v>
      </c>
    </row>
    <row r="1167" spans="1:22" x14ac:dyDescent="0.25">
      <c r="A1167" s="4" t="s">
        <v>1316</v>
      </c>
      <c r="B1167" s="5">
        <v>45888</v>
      </c>
      <c r="C1167" s="4">
        <f>YEAR(Table1_1[[#This Row],[Order Dates]])</f>
        <v>2025</v>
      </c>
      <c r="D1167" s="6">
        <f>MONTH(Table1_1[[#This Row],[Order Dates]])</f>
        <v>8</v>
      </c>
      <c r="E1167" s="4" t="s">
        <v>42</v>
      </c>
      <c r="F1167" s="4" t="s">
        <v>96</v>
      </c>
      <c r="G1167" s="4" t="s">
        <v>44</v>
      </c>
      <c r="H1167" s="4" t="str">
        <f>TRIM(CLEAN(SUBSTITUTE(Table1_1[[#This Row],[Salesperson]],"   "," ")))</f>
        <v>Simran Kaur</v>
      </c>
      <c r="I1167" s="4" t="s">
        <v>45</v>
      </c>
      <c r="J1167" s="4" t="s">
        <v>59</v>
      </c>
      <c r="K1167" s="4" t="s">
        <v>73</v>
      </c>
      <c r="L1167" s="4" t="s">
        <v>74</v>
      </c>
      <c r="M1167" s="4" t="s">
        <v>23</v>
      </c>
      <c r="N1167" s="4" t="s">
        <v>24</v>
      </c>
      <c r="O1167" s="4">
        <v>7</v>
      </c>
      <c r="P1167" s="7">
        <v>46100</v>
      </c>
      <c r="Q1167" s="8">
        <v>0.18</v>
      </c>
      <c r="R1167" s="7">
        <v>30450</v>
      </c>
      <c r="S1167" s="7">
        <f>Table1_1[[#This Row],[Units Sold]]*Table1_1[[#This Row],[Unit Price]]*(1-Table1_1[[#This Row],[Discount %]])</f>
        <v>264614</v>
      </c>
      <c r="T1167" s="7">
        <f>Table1_1[[#This Row],[Units Sold]]*Table1_1[[#This Row],[Unit Cost]]</f>
        <v>213150</v>
      </c>
      <c r="U1167" s="7">
        <f>Table1_1[[#This Row],[Calculated sales]]-Table1_1[[#This Row],[Total cost]]</f>
        <v>51464</v>
      </c>
      <c r="V1167" s="4">
        <f>IFERROR(Table1_1[[#This Row],[Profit/Loss]]/Table1_1[[#This Row],[Calculated sales]],0)</f>
        <v>0.19448706417649861</v>
      </c>
    </row>
    <row r="1168" spans="1:22" x14ac:dyDescent="0.25">
      <c r="A1168" s="4" t="s">
        <v>1317</v>
      </c>
      <c r="B1168" s="5">
        <v>45888</v>
      </c>
      <c r="C1168" s="4">
        <f>YEAR(Table1_1[[#This Row],[Order Dates]])</f>
        <v>2025</v>
      </c>
      <c r="D1168" s="6">
        <f>MONTH(Table1_1[[#This Row],[Order Dates]])</f>
        <v>8</v>
      </c>
      <c r="E1168" s="4" t="s">
        <v>42</v>
      </c>
      <c r="F1168" s="4" t="s">
        <v>265</v>
      </c>
      <c r="G1168" s="4" t="s">
        <v>97</v>
      </c>
      <c r="H1168" s="4" t="str">
        <f>TRIM(CLEAN(SUBSTITUTE(Table1_1[[#This Row],[Salesperson]],"   "," ")))</f>
        <v>Rohit Malhotra</v>
      </c>
      <c r="I1168" s="4" t="s">
        <v>92</v>
      </c>
      <c r="J1168" s="4" t="s">
        <v>20</v>
      </c>
      <c r="K1168" s="4" t="s">
        <v>87</v>
      </c>
      <c r="L1168" s="4" t="s">
        <v>1672</v>
      </c>
      <c r="M1168" s="4" t="s">
        <v>23</v>
      </c>
      <c r="N1168" s="4" t="s">
        <v>24</v>
      </c>
      <c r="O1168" s="4">
        <v>6</v>
      </c>
      <c r="P1168" s="7">
        <v>33390</v>
      </c>
      <c r="Q1168" s="8">
        <v>0.2</v>
      </c>
      <c r="R1168" s="7">
        <v>22100</v>
      </c>
      <c r="S1168" s="7">
        <f>Table1_1[[#This Row],[Units Sold]]*Table1_1[[#This Row],[Unit Price]]*(1-Table1_1[[#This Row],[Discount %]])</f>
        <v>160272</v>
      </c>
      <c r="T1168" s="7">
        <f>Table1_1[[#This Row],[Units Sold]]*Table1_1[[#This Row],[Unit Cost]]</f>
        <v>132600</v>
      </c>
      <c r="U1168" s="7">
        <f>Table1_1[[#This Row],[Calculated sales]]-Table1_1[[#This Row],[Total cost]]</f>
        <v>27672</v>
      </c>
      <c r="V1168" s="4">
        <f>IFERROR(Table1_1[[#This Row],[Profit/Loss]]/Table1_1[[#This Row],[Calculated sales]],0)</f>
        <v>0.17265648397723871</v>
      </c>
    </row>
    <row r="1169" spans="1:22" x14ac:dyDescent="0.25">
      <c r="A1169" s="4" t="s">
        <v>1318</v>
      </c>
      <c r="B1169" s="5">
        <v>45888</v>
      </c>
      <c r="C1169" s="4">
        <f>YEAR(Table1_1[[#This Row],[Order Dates]])</f>
        <v>2025</v>
      </c>
      <c r="D1169" s="6">
        <f>MONTH(Table1_1[[#This Row],[Order Dates]])</f>
        <v>8</v>
      </c>
      <c r="E1169" s="4" t="s">
        <v>42</v>
      </c>
      <c r="F1169" s="4" t="s">
        <v>43</v>
      </c>
      <c r="G1169" s="4" t="s">
        <v>64</v>
      </c>
      <c r="H1169" s="4" t="str">
        <f>TRIM(CLEAN(SUBSTITUTE(Table1_1[[#This Row],[Salesperson]],"   "," ")))</f>
        <v>Aditya Verma</v>
      </c>
      <c r="I1169" s="4" t="s">
        <v>92</v>
      </c>
      <c r="J1169" s="4" t="s">
        <v>27</v>
      </c>
      <c r="K1169" s="4" t="s">
        <v>53</v>
      </c>
      <c r="L1169" s="4" t="s">
        <v>1676</v>
      </c>
      <c r="M1169" s="4" t="s">
        <v>23</v>
      </c>
      <c r="N1169" s="4" t="s">
        <v>119</v>
      </c>
      <c r="O1169" s="4">
        <v>7</v>
      </c>
      <c r="P1169" s="7">
        <v>34880</v>
      </c>
      <c r="Q1169" s="8">
        <v>0.05</v>
      </c>
      <c r="R1169" s="7">
        <v>25760</v>
      </c>
      <c r="S1169" s="7">
        <f>Table1_1[[#This Row],[Units Sold]]*Table1_1[[#This Row],[Unit Price]]*(1-Table1_1[[#This Row],[Discount %]])</f>
        <v>231952</v>
      </c>
      <c r="T1169" s="7">
        <f>Table1_1[[#This Row],[Units Sold]]*Table1_1[[#This Row],[Unit Cost]]</f>
        <v>180320</v>
      </c>
      <c r="U1169" s="7">
        <f>Table1_1[[#This Row],[Calculated sales]]-Table1_1[[#This Row],[Total cost]]</f>
        <v>51632</v>
      </c>
      <c r="V1169" s="4">
        <f>IFERROR(Table1_1[[#This Row],[Profit/Loss]]/Table1_1[[#This Row],[Calculated sales]],0)</f>
        <v>0.22259777885079671</v>
      </c>
    </row>
    <row r="1170" spans="1:22" x14ac:dyDescent="0.25">
      <c r="A1170" s="4" t="s">
        <v>1319</v>
      </c>
      <c r="B1170" s="5">
        <v>45889</v>
      </c>
      <c r="C1170" s="4">
        <f>YEAR(Table1_1[[#This Row],[Order Dates]])</f>
        <v>2025</v>
      </c>
      <c r="D1170" s="6">
        <f>MONTH(Table1_1[[#This Row],[Order Dates]])</f>
        <v>8</v>
      </c>
      <c r="E1170" s="4" t="s">
        <v>56</v>
      </c>
      <c r="F1170" s="4" t="s">
        <v>143</v>
      </c>
      <c r="G1170" s="4" t="s">
        <v>58</v>
      </c>
      <c r="H1170" s="4" t="str">
        <f>TRIM(CLEAN(SUBSTITUTE(Table1_1[[#This Row],[Salesperson]],"   "," ")))</f>
        <v>Karthik Raman</v>
      </c>
      <c r="I1170" s="4" t="s">
        <v>19</v>
      </c>
      <c r="J1170" s="4" t="s">
        <v>83</v>
      </c>
      <c r="K1170" s="4" t="s">
        <v>184</v>
      </c>
      <c r="L1170" s="4" t="s">
        <v>196</v>
      </c>
      <c r="M1170" s="4" t="s">
        <v>40</v>
      </c>
      <c r="N1170" s="4" t="s">
        <v>24</v>
      </c>
      <c r="O1170" s="4">
        <v>14</v>
      </c>
      <c r="P1170" s="7">
        <v>3350</v>
      </c>
      <c r="Q1170" s="8">
        <v>0.15</v>
      </c>
      <c r="R1170" s="7">
        <v>2040</v>
      </c>
      <c r="S1170" s="7">
        <f>Table1_1[[#This Row],[Units Sold]]*Table1_1[[#This Row],[Unit Price]]*(1-Table1_1[[#This Row],[Discount %]])</f>
        <v>39865</v>
      </c>
      <c r="T1170" s="7">
        <f>Table1_1[[#This Row],[Units Sold]]*Table1_1[[#This Row],[Unit Cost]]</f>
        <v>28560</v>
      </c>
      <c r="U1170" s="7">
        <f>Table1_1[[#This Row],[Calculated sales]]-Table1_1[[#This Row],[Total cost]]</f>
        <v>11305</v>
      </c>
      <c r="V1170" s="4">
        <f>IFERROR(Table1_1[[#This Row],[Profit/Loss]]/Table1_1[[#This Row],[Calculated sales]],0)</f>
        <v>0.28358208955223879</v>
      </c>
    </row>
    <row r="1171" spans="1:22" x14ac:dyDescent="0.25">
      <c r="A1171" s="4" t="s">
        <v>1320</v>
      </c>
      <c r="B1171" s="5">
        <v>45889</v>
      </c>
      <c r="C1171" s="4">
        <f>YEAR(Table1_1[[#This Row],[Order Dates]])</f>
        <v>2025</v>
      </c>
      <c r="D1171" s="6">
        <f>MONTH(Table1_1[[#This Row],[Order Dates]])</f>
        <v>8</v>
      </c>
      <c r="E1171" s="4" t="s">
        <v>42</v>
      </c>
      <c r="F1171" s="4" t="s">
        <v>96</v>
      </c>
      <c r="G1171" s="4" t="s">
        <v>97</v>
      </c>
      <c r="H1171" s="4" t="str">
        <f>TRIM(CLEAN(SUBSTITUTE(Table1_1[[#This Row],[Salesperson]],"   "," ")))</f>
        <v>Rohit Malhotra</v>
      </c>
      <c r="I1171" s="4" t="s">
        <v>52</v>
      </c>
      <c r="J1171" s="4" t="s">
        <v>20</v>
      </c>
      <c r="K1171" s="4" t="s">
        <v>33</v>
      </c>
      <c r="L1171" s="4" t="s">
        <v>34</v>
      </c>
      <c r="M1171" s="4" t="s">
        <v>40</v>
      </c>
      <c r="N1171" s="4" t="s">
        <v>24</v>
      </c>
      <c r="O1171" s="4">
        <v>1</v>
      </c>
      <c r="P1171" s="7">
        <v>53380</v>
      </c>
      <c r="Q1171" s="8">
        <v>0</v>
      </c>
      <c r="R1171" s="7">
        <v>39810</v>
      </c>
      <c r="S1171" s="7">
        <f>Table1_1[[#This Row],[Units Sold]]*Table1_1[[#This Row],[Unit Price]]*(1-Table1_1[[#This Row],[Discount %]])</f>
        <v>53380</v>
      </c>
      <c r="T1171" s="7">
        <f>Table1_1[[#This Row],[Units Sold]]*Table1_1[[#This Row],[Unit Cost]]</f>
        <v>39810</v>
      </c>
      <c r="U1171" s="7">
        <f>Table1_1[[#This Row],[Calculated sales]]-Table1_1[[#This Row],[Total cost]]</f>
        <v>13570</v>
      </c>
      <c r="V1171" s="4">
        <f>IFERROR(Table1_1[[#This Row],[Profit/Loss]]/Table1_1[[#This Row],[Calculated sales]],0)</f>
        <v>0.2542150618209067</v>
      </c>
    </row>
    <row r="1172" spans="1:22" x14ac:dyDescent="0.25">
      <c r="A1172" s="4" t="s">
        <v>1321</v>
      </c>
      <c r="B1172" s="5">
        <v>45890</v>
      </c>
      <c r="C1172" s="4">
        <f>YEAR(Table1_1[[#This Row],[Order Dates]])</f>
        <v>2025</v>
      </c>
      <c r="D1172" s="6">
        <f>MONTH(Table1_1[[#This Row],[Order Dates]])</f>
        <v>8</v>
      </c>
      <c r="E1172" s="4" t="s">
        <v>16</v>
      </c>
      <c r="F1172" s="4" t="s">
        <v>17</v>
      </c>
      <c r="G1172" s="4" t="s">
        <v>26</v>
      </c>
      <c r="H1172" s="4" t="str">
        <f>TRIM(CLEAN(SUBSTITUTE(Table1_1[[#This Row],[Salesperson]],"   "," ")))</f>
        <v>Prateek Shah</v>
      </c>
      <c r="I1172" s="4" t="s">
        <v>19</v>
      </c>
      <c r="J1172" s="4" t="s">
        <v>46</v>
      </c>
      <c r="K1172" s="4" t="s">
        <v>100</v>
      </c>
      <c r="L1172" s="4" t="s">
        <v>101</v>
      </c>
      <c r="M1172" s="4" t="s">
        <v>23</v>
      </c>
      <c r="N1172" s="4" t="s">
        <v>24</v>
      </c>
      <c r="O1172" s="4">
        <v>3</v>
      </c>
      <c r="P1172" s="7">
        <v>1970</v>
      </c>
      <c r="Q1172" s="8">
        <v>0.05</v>
      </c>
      <c r="R1172" s="7">
        <v>1470</v>
      </c>
      <c r="S1172" s="7">
        <f>Table1_1[[#This Row],[Units Sold]]*Table1_1[[#This Row],[Unit Price]]*(1-Table1_1[[#This Row],[Discount %]])</f>
        <v>5614.5</v>
      </c>
      <c r="T1172" s="7">
        <f>Table1_1[[#This Row],[Units Sold]]*Table1_1[[#This Row],[Unit Cost]]</f>
        <v>4410</v>
      </c>
      <c r="U1172" s="7">
        <f>Table1_1[[#This Row],[Calculated sales]]-Table1_1[[#This Row],[Total cost]]</f>
        <v>1204.5</v>
      </c>
      <c r="V1172" s="4">
        <f>IFERROR(Table1_1[[#This Row],[Profit/Loss]]/Table1_1[[#This Row],[Calculated sales]],0)</f>
        <v>0.21453379641998396</v>
      </c>
    </row>
    <row r="1173" spans="1:22" x14ac:dyDescent="0.25">
      <c r="A1173" s="4" t="s">
        <v>1322</v>
      </c>
      <c r="B1173" s="5">
        <v>45890</v>
      </c>
      <c r="C1173" s="4">
        <f>YEAR(Table1_1[[#This Row],[Order Dates]])</f>
        <v>2025</v>
      </c>
      <c r="D1173" s="6">
        <f>MONTH(Table1_1[[#This Row],[Order Dates]])</f>
        <v>8</v>
      </c>
      <c r="E1173" s="4" t="s">
        <v>56</v>
      </c>
      <c r="F1173" s="4" t="s">
        <v>127</v>
      </c>
      <c r="G1173" s="4" t="s">
        <v>91</v>
      </c>
      <c r="H1173" s="4" t="str">
        <f>TRIM(CLEAN(SUBSTITUTE(Table1_1[[#This Row],[Salesperson]],"   "," ")))</f>
        <v>Anjali Menon</v>
      </c>
      <c r="I1173" s="4" t="s">
        <v>19</v>
      </c>
      <c r="J1173" s="4" t="s">
        <v>46</v>
      </c>
      <c r="K1173" s="4" t="s">
        <v>47</v>
      </c>
      <c r="L1173" s="4" t="s">
        <v>259</v>
      </c>
      <c r="M1173" s="4" t="s">
        <v>23</v>
      </c>
      <c r="N1173" s="4" t="s">
        <v>119</v>
      </c>
      <c r="O1173" s="4">
        <v>27</v>
      </c>
      <c r="P1173" s="7">
        <v>2710</v>
      </c>
      <c r="Q1173" s="8">
        <v>0.12</v>
      </c>
      <c r="R1173" s="7">
        <v>2080</v>
      </c>
      <c r="S1173" s="7">
        <f>Table1_1[[#This Row],[Units Sold]]*Table1_1[[#This Row],[Unit Price]]*(1-Table1_1[[#This Row],[Discount %]])</f>
        <v>64389.599999999999</v>
      </c>
      <c r="T1173" s="7">
        <f>Table1_1[[#This Row],[Units Sold]]*Table1_1[[#This Row],[Unit Cost]]</f>
        <v>56160</v>
      </c>
      <c r="U1173" s="7">
        <f>Table1_1[[#This Row],[Calculated sales]]-Table1_1[[#This Row],[Total cost]]</f>
        <v>8229.5999999999985</v>
      </c>
      <c r="V1173" s="4">
        <f>IFERROR(Table1_1[[#This Row],[Profit/Loss]]/Table1_1[[#This Row],[Calculated sales]],0)</f>
        <v>0.12780945991278092</v>
      </c>
    </row>
    <row r="1174" spans="1:22" x14ac:dyDescent="0.25">
      <c r="A1174" s="4" t="s">
        <v>1323</v>
      </c>
      <c r="B1174" s="5">
        <v>45890</v>
      </c>
      <c r="C1174" s="4">
        <f>YEAR(Table1_1[[#This Row],[Order Dates]])</f>
        <v>2025</v>
      </c>
      <c r="D1174" s="6">
        <f>MONTH(Table1_1[[#This Row],[Order Dates]])</f>
        <v>8</v>
      </c>
      <c r="E1174" s="4" t="s">
        <v>37</v>
      </c>
      <c r="F1174" s="4" t="s">
        <v>67</v>
      </c>
      <c r="G1174" s="4" t="s">
        <v>39</v>
      </c>
      <c r="H1174" s="4" t="str">
        <f>TRIM(CLEAN(SUBSTITUTE(Table1_1[[#This Row],[Salesperson]],"   "," ")))</f>
        <v>Sourav Das</v>
      </c>
      <c r="I1174" s="4" t="s">
        <v>19</v>
      </c>
      <c r="J1174" s="4" t="s">
        <v>20</v>
      </c>
      <c r="K1174" s="4" t="s">
        <v>33</v>
      </c>
      <c r="L1174" s="4" t="s">
        <v>34</v>
      </c>
      <c r="M1174" s="4" t="s">
        <v>23</v>
      </c>
      <c r="N1174" s="4" t="s">
        <v>24</v>
      </c>
      <c r="O1174" s="4">
        <v>4</v>
      </c>
      <c r="P1174" s="7">
        <v>55840</v>
      </c>
      <c r="Q1174" s="8">
        <v>0.12</v>
      </c>
      <c r="R1174" s="7">
        <v>37230</v>
      </c>
      <c r="S1174" s="7">
        <f>Table1_1[[#This Row],[Units Sold]]*Table1_1[[#This Row],[Unit Price]]*(1-Table1_1[[#This Row],[Discount %]])</f>
        <v>196556.79999999999</v>
      </c>
      <c r="T1174" s="7">
        <f>Table1_1[[#This Row],[Units Sold]]*Table1_1[[#This Row],[Unit Cost]]</f>
        <v>148920</v>
      </c>
      <c r="U1174" s="7">
        <f>Table1_1[[#This Row],[Calculated sales]]-Table1_1[[#This Row],[Total cost]]</f>
        <v>47636.799999999988</v>
      </c>
      <c r="V1174" s="4">
        <f>IFERROR(Table1_1[[#This Row],[Profit/Loss]]/Table1_1[[#This Row],[Calculated sales]],0)</f>
        <v>0.24235640791872878</v>
      </c>
    </row>
    <row r="1175" spans="1:22" x14ac:dyDescent="0.25">
      <c r="A1175" s="4" t="s">
        <v>1324</v>
      </c>
      <c r="B1175" s="5">
        <v>45891</v>
      </c>
      <c r="C1175" s="4">
        <f>YEAR(Table1_1[[#This Row],[Order Dates]])</f>
        <v>2025</v>
      </c>
      <c r="D1175" s="6">
        <f>MONTH(Table1_1[[#This Row],[Order Dates]])</f>
        <v>8</v>
      </c>
      <c r="E1175" s="4" t="s">
        <v>76</v>
      </c>
      <c r="F1175" s="4" t="s">
        <v>217</v>
      </c>
      <c r="G1175" s="4" t="s">
        <v>170</v>
      </c>
      <c r="H1175" s="4" t="str">
        <f>TRIM(CLEAN(SUBSTITUTE(Table1_1[[#This Row],[Salesperson]],"   "," ")))</f>
        <v>Manish Tiwari</v>
      </c>
      <c r="I1175" s="4" t="s">
        <v>52</v>
      </c>
      <c r="J1175" s="4" t="s">
        <v>27</v>
      </c>
      <c r="K1175" s="4" t="s">
        <v>28</v>
      </c>
      <c r="L1175" s="4" t="s">
        <v>1668</v>
      </c>
      <c r="M1175" s="4" t="s">
        <v>23</v>
      </c>
      <c r="N1175" s="4" t="s">
        <v>24</v>
      </c>
      <c r="O1175" s="4">
        <v>8</v>
      </c>
      <c r="P1175" s="7">
        <v>27890</v>
      </c>
      <c r="Q1175" s="8">
        <v>0.2</v>
      </c>
      <c r="R1175" s="7">
        <v>16670</v>
      </c>
      <c r="S1175" s="7">
        <f>Table1_1[[#This Row],[Units Sold]]*Table1_1[[#This Row],[Unit Price]]*(1-Table1_1[[#This Row],[Discount %]])</f>
        <v>178496</v>
      </c>
      <c r="T1175" s="7">
        <f>Table1_1[[#This Row],[Units Sold]]*Table1_1[[#This Row],[Unit Cost]]</f>
        <v>133360</v>
      </c>
      <c r="U1175" s="7">
        <f>Table1_1[[#This Row],[Calculated sales]]-Table1_1[[#This Row],[Total cost]]</f>
        <v>45136</v>
      </c>
      <c r="V1175" s="4">
        <f>IFERROR(Table1_1[[#This Row],[Profit/Loss]]/Table1_1[[#This Row],[Calculated sales]],0)</f>
        <v>0.25286841161706702</v>
      </c>
    </row>
    <row r="1176" spans="1:22" x14ac:dyDescent="0.25">
      <c r="A1176" s="4" t="s">
        <v>1325</v>
      </c>
      <c r="B1176" s="5">
        <v>45891</v>
      </c>
      <c r="C1176" s="4">
        <f>YEAR(Table1_1[[#This Row],[Order Dates]])</f>
        <v>2025</v>
      </c>
      <c r="D1176" s="6">
        <f>MONTH(Table1_1[[#This Row],[Order Dates]])</f>
        <v>8</v>
      </c>
      <c r="E1176" s="4" t="s">
        <v>16</v>
      </c>
      <c r="F1176" s="4" t="s">
        <v>31</v>
      </c>
      <c r="G1176" s="4" t="s">
        <v>32</v>
      </c>
      <c r="H1176" s="4" t="str">
        <f>TRIM(CLEAN(SUBSTITUTE(Table1_1[[#This Row],[Salesperson]],"   "," ")))</f>
        <v>Neha Deshpande</v>
      </c>
      <c r="I1176" s="4" t="s">
        <v>19</v>
      </c>
      <c r="J1176" s="4" t="s">
        <v>27</v>
      </c>
      <c r="K1176" s="4" t="s">
        <v>214</v>
      </c>
      <c r="L1176" s="4" t="s">
        <v>1680</v>
      </c>
      <c r="M1176" s="4" t="s">
        <v>40</v>
      </c>
      <c r="N1176" s="4" t="s">
        <v>24</v>
      </c>
      <c r="O1176" s="4">
        <v>2</v>
      </c>
      <c r="P1176" s="7">
        <v>32530</v>
      </c>
      <c r="Q1176" s="8">
        <v>0.05</v>
      </c>
      <c r="R1176" s="7">
        <v>22410</v>
      </c>
      <c r="S1176" s="7">
        <f>Table1_1[[#This Row],[Units Sold]]*Table1_1[[#This Row],[Unit Price]]*(1-Table1_1[[#This Row],[Discount %]])</f>
        <v>61807</v>
      </c>
      <c r="T1176" s="7">
        <f>Table1_1[[#This Row],[Units Sold]]*Table1_1[[#This Row],[Unit Cost]]</f>
        <v>44820</v>
      </c>
      <c r="U1176" s="7">
        <f>Table1_1[[#This Row],[Calculated sales]]-Table1_1[[#This Row],[Total cost]]</f>
        <v>16987</v>
      </c>
      <c r="V1176" s="4">
        <f>IFERROR(Table1_1[[#This Row],[Profit/Loss]]/Table1_1[[#This Row],[Calculated sales]],0)</f>
        <v>0.27483941948323004</v>
      </c>
    </row>
    <row r="1177" spans="1:22" x14ac:dyDescent="0.25">
      <c r="A1177" s="4" t="s">
        <v>1326</v>
      </c>
      <c r="B1177" s="5">
        <v>45891</v>
      </c>
      <c r="C1177" s="4">
        <f>YEAR(Table1_1[[#This Row],[Order Dates]])</f>
        <v>2025</v>
      </c>
      <c r="D1177" s="6">
        <f>MONTH(Table1_1[[#This Row],[Order Dates]])</f>
        <v>8</v>
      </c>
      <c r="E1177" s="4" t="s">
        <v>42</v>
      </c>
      <c r="F1177" s="4" t="s">
        <v>146</v>
      </c>
      <c r="G1177" s="4" t="s">
        <v>64</v>
      </c>
      <c r="H1177" s="4" t="str">
        <f>TRIM(CLEAN(SUBSTITUTE(Table1_1[[#This Row],[Salesperson]],"   "," ")))</f>
        <v>Aditya Verma</v>
      </c>
      <c r="I1177" s="4" t="s">
        <v>19</v>
      </c>
      <c r="J1177" s="4" t="s">
        <v>20</v>
      </c>
      <c r="K1177" s="4" t="s">
        <v>87</v>
      </c>
      <c r="L1177" s="4" t="s">
        <v>1672</v>
      </c>
      <c r="M1177" s="4" t="s">
        <v>23</v>
      </c>
      <c r="N1177" s="4" t="s">
        <v>24</v>
      </c>
      <c r="O1177" s="4">
        <v>3</v>
      </c>
      <c r="P1177" s="7">
        <v>31170</v>
      </c>
      <c r="Q1177" s="8">
        <v>0.15</v>
      </c>
      <c r="R1177" s="7">
        <v>20020</v>
      </c>
      <c r="S1177" s="7">
        <f>Table1_1[[#This Row],[Units Sold]]*Table1_1[[#This Row],[Unit Price]]*(1-Table1_1[[#This Row],[Discount %]])</f>
        <v>79483.5</v>
      </c>
      <c r="T1177" s="7">
        <f>Table1_1[[#This Row],[Units Sold]]*Table1_1[[#This Row],[Unit Cost]]</f>
        <v>60060</v>
      </c>
      <c r="U1177" s="7">
        <f>Table1_1[[#This Row],[Calculated sales]]-Table1_1[[#This Row],[Total cost]]</f>
        <v>19423.5</v>
      </c>
      <c r="V1177" s="4">
        <f>IFERROR(Table1_1[[#This Row],[Profit/Loss]]/Table1_1[[#This Row],[Calculated sales]],0)</f>
        <v>0.24437147332465228</v>
      </c>
    </row>
    <row r="1178" spans="1:22" x14ac:dyDescent="0.25">
      <c r="A1178" s="4" t="s">
        <v>1327</v>
      </c>
      <c r="B1178" s="5">
        <v>45891</v>
      </c>
      <c r="C1178" s="4">
        <f>YEAR(Table1_1[[#This Row],[Order Dates]])</f>
        <v>2025</v>
      </c>
      <c r="D1178" s="6">
        <f>MONTH(Table1_1[[#This Row],[Order Dates]])</f>
        <v>8</v>
      </c>
      <c r="E1178" s="4" t="s">
        <v>42</v>
      </c>
      <c r="F1178" s="4" t="s">
        <v>96</v>
      </c>
      <c r="G1178" s="4" t="s">
        <v>44</v>
      </c>
      <c r="H1178" s="4" t="str">
        <f>TRIM(CLEAN(SUBSTITUTE(Table1_1[[#This Row],[Salesperson]],"   "," ")))</f>
        <v>Simran Kaur</v>
      </c>
      <c r="I1178" s="4" t="s">
        <v>45</v>
      </c>
      <c r="J1178" s="4" t="s">
        <v>59</v>
      </c>
      <c r="K1178" s="4" t="s">
        <v>69</v>
      </c>
      <c r="L1178" s="4" t="s">
        <v>70</v>
      </c>
      <c r="M1178" s="4" t="s">
        <v>23</v>
      </c>
      <c r="N1178" s="4" t="s">
        <v>35</v>
      </c>
      <c r="O1178" s="4">
        <v>10</v>
      </c>
      <c r="P1178" s="7">
        <v>28050</v>
      </c>
      <c r="Q1178" s="8">
        <v>0.05</v>
      </c>
      <c r="R1178" s="7">
        <v>16990</v>
      </c>
      <c r="S1178" s="7">
        <f>Table1_1[[#This Row],[Units Sold]]*Table1_1[[#This Row],[Unit Price]]*(1-Table1_1[[#This Row],[Discount %]])</f>
        <v>266475</v>
      </c>
      <c r="T1178" s="7">
        <f>Table1_1[[#This Row],[Units Sold]]*Table1_1[[#This Row],[Unit Cost]]</f>
        <v>169900</v>
      </c>
      <c r="U1178" s="7">
        <f>Table1_1[[#This Row],[Calculated sales]]-Table1_1[[#This Row],[Total cost]]</f>
        <v>96575</v>
      </c>
      <c r="V1178" s="4">
        <f>IFERROR(Table1_1[[#This Row],[Profit/Loss]]/Table1_1[[#This Row],[Calculated sales]],0)</f>
        <v>0.36241673702974014</v>
      </c>
    </row>
    <row r="1179" spans="1:22" x14ac:dyDescent="0.25">
      <c r="A1179" s="4" t="s">
        <v>1328</v>
      </c>
      <c r="B1179" s="5">
        <v>45891</v>
      </c>
      <c r="C1179" s="4">
        <f>YEAR(Table1_1[[#This Row],[Order Dates]])</f>
        <v>2025</v>
      </c>
      <c r="D1179" s="6">
        <f>MONTH(Table1_1[[#This Row],[Order Dates]])</f>
        <v>8</v>
      </c>
      <c r="E1179" s="4" t="s">
        <v>56</v>
      </c>
      <c r="F1179" s="4" t="s">
        <v>143</v>
      </c>
      <c r="G1179" s="4" t="s">
        <v>91</v>
      </c>
      <c r="H1179" s="4" t="str">
        <f>TRIM(CLEAN(SUBSTITUTE(Table1_1[[#This Row],[Salesperson]],"   "," ")))</f>
        <v>Anjali Menon</v>
      </c>
      <c r="I1179" s="4" t="s">
        <v>45</v>
      </c>
      <c r="J1179" s="4" t="s">
        <v>27</v>
      </c>
      <c r="K1179" s="4" t="s">
        <v>28</v>
      </c>
      <c r="L1179" s="4" t="s">
        <v>141</v>
      </c>
      <c r="M1179" s="4" t="s">
        <v>23</v>
      </c>
      <c r="N1179" s="4" t="s">
        <v>24</v>
      </c>
      <c r="O1179" s="4">
        <v>15</v>
      </c>
      <c r="P1179" s="7">
        <v>15900</v>
      </c>
      <c r="Q1179" s="8">
        <v>0.18</v>
      </c>
      <c r="R1179" s="7">
        <v>11070</v>
      </c>
      <c r="S1179" s="7">
        <f>Table1_1[[#This Row],[Units Sold]]*Table1_1[[#This Row],[Unit Price]]*(1-Table1_1[[#This Row],[Discount %]])</f>
        <v>195570.00000000003</v>
      </c>
      <c r="T1179" s="7">
        <f>Table1_1[[#This Row],[Units Sold]]*Table1_1[[#This Row],[Unit Cost]]</f>
        <v>166050</v>
      </c>
      <c r="U1179" s="7">
        <f>Table1_1[[#This Row],[Calculated sales]]-Table1_1[[#This Row],[Total cost]]</f>
        <v>29520.000000000029</v>
      </c>
      <c r="V1179" s="4">
        <f>IFERROR(Table1_1[[#This Row],[Profit/Loss]]/Table1_1[[#This Row],[Calculated sales]],0)</f>
        <v>0.15094339622641523</v>
      </c>
    </row>
    <row r="1180" spans="1:22" x14ac:dyDescent="0.25">
      <c r="A1180" s="4" t="s">
        <v>1329</v>
      </c>
      <c r="B1180" s="5">
        <v>45892</v>
      </c>
      <c r="C1180" s="4">
        <f>YEAR(Table1_1[[#This Row],[Order Dates]])</f>
        <v>2025</v>
      </c>
      <c r="D1180" s="6">
        <f>MONTH(Table1_1[[#This Row],[Order Dates]])</f>
        <v>8</v>
      </c>
      <c r="E1180" s="4" t="s">
        <v>56</v>
      </c>
      <c r="F1180" s="4" t="s">
        <v>143</v>
      </c>
      <c r="G1180" s="4" t="s">
        <v>134</v>
      </c>
      <c r="H1180" s="4" t="str">
        <f>TRIM(CLEAN(SUBSTITUTE(Table1_1[[#This Row],[Salesperson]],"   "," ")))</f>
        <v>Divya Nair</v>
      </c>
      <c r="I1180" s="4" t="s">
        <v>19</v>
      </c>
      <c r="J1180" s="4" t="s">
        <v>20</v>
      </c>
      <c r="K1180" s="4" t="s">
        <v>21</v>
      </c>
      <c r="L1180" s="4" t="s">
        <v>1667</v>
      </c>
      <c r="M1180" s="4" t="s">
        <v>40</v>
      </c>
      <c r="N1180" s="4" t="s">
        <v>24</v>
      </c>
      <c r="O1180" s="4">
        <v>15</v>
      </c>
      <c r="P1180" s="7">
        <v>1930</v>
      </c>
      <c r="Q1180" s="8">
        <v>0</v>
      </c>
      <c r="R1180" s="7">
        <v>1150</v>
      </c>
      <c r="S1180" s="7">
        <f>Table1_1[[#This Row],[Units Sold]]*Table1_1[[#This Row],[Unit Price]]*(1-Table1_1[[#This Row],[Discount %]])</f>
        <v>28950</v>
      </c>
      <c r="T1180" s="7">
        <f>Table1_1[[#This Row],[Units Sold]]*Table1_1[[#This Row],[Unit Cost]]</f>
        <v>17250</v>
      </c>
      <c r="U1180" s="7">
        <f>Table1_1[[#This Row],[Calculated sales]]-Table1_1[[#This Row],[Total cost]]</f>
        <v>11700</v>
      </c>
      <c r="V1180" s="4">
        <f>IFERROR(Table1_1[[#This Row],[Profit/Loss]]/Table1_1[[#This Row],[Calculated sales]],0)</f>
        <v>0.40414507772020725</v>
      </c>
    </row>
    <row r="1181" spans="1:22" x14ac:dyDescent="0.25">
      <c r="A1181" s="4" t="s">
        <v>1330</v>
      </c>
      <c r="B1181" s="5">
        <v>45892</v>
      </c>
      <c r="C1181" s="4">
        <f>YEAR(Table1_1[[#This Row],[Order Dates]])</f>
        <v>2025</v>
      </c>
      <c r="D1181" s="6">
        <f>MONTH(Table1_1[[#This Row],[Order Dates]])</f>
        <v>8</v>
      </c>
      <c r="E1181" s="4" t="s">
        <v>37</v>
      </c>
      <c r="F1181" s="4" t="s">
        <v>213</v>
      </c>
      <c r="G1181" s="4" t="s">
        <v>39</v>
      </c>
      <c r="H1181" s="4" t="str">
        <f>TRIM(CLEAN(SUBSTITUTE(Table1_1[[#This Row],[Salesperson]],"   "," ")))</f>
        <v>Sourav Das</v>
      </c>
      <c r="I1181" s="4" t="s">
        <v>45</v>
      </c>
      <c r="J1181" s="4" t="s">
        <v>59</v>
      </c>
      <c r="K1181" s="4" t="s">
        <v>73</v>
      </c>
      <c r="L1181" s="4" t="s">
        <v>113</v>
      </c>
      <c r="M1181" s="4" t="s">
        <v>23</v>
      </c>
      <c r="N1181" s="4" t="s">
        <v>24</v>
      </c>
      <c r="O1181" s="4">
        <v>6</v>
      </c>
      <c r="P1181" s="7">
        <v>33020</v>
      </c>
      <c r="Q1181" s="8">
        <v>0</v>
      </c>
      <c r="R1181" s="7">
        <v>21790</v>
      </c>
      <c r="S1181" s="7">
        <f>Table1_1[[#This Row],[Units Sold]]*Table1_1[[#This Row],[Unit Price]]*(1-Table1_1[[#This Row],[Discount %]])</f>
        <v>198120</v>
      </c>
      <c r="T1181" s="7">
        <f>Table1_1[[#This Row],[Units Sold]]*Table1_1[[#This Row],[Unit Cost]]</f>
        <v>130740</v>
      </c>
      <c r="U1181" s="7">
        <f>Table1_1[[#This Row],[Calculated sales]]-Table1_1[[#This Row],[Total cost]]</f>
        <v>67380</v>
      </c>
      <c r="V1181" s="4">
        <f>IFERROR(Table1_1[[#This Row],[Profit/Loss]]/Table1_1[[#This Row],[Calculated sales]],0)</f>
        <v>0.34009691096305267</v>
      </c>
    </row>
    <row r="1182" spans="1:22" x14ac:dyDescent="0.25">
      <c r="A1182" s="4" t="s">
        <v>1331</v>
      </c>
      <c r="B1182" s="5">
        <v>45892</v>
      </c>
      <c r="C1182" s="4">
        <f>YEAR(Table1_1[[#This Row],[Order Dates]])</f>
        <v>2025</v>
      </c>
      <c r="D1182" s="6">
        <f>MONTH(Table1_1[[#This Row],[Order Dates]])</f>
        <v>8</v>
      </c>
      <c r="E1182" s="4" t="s">
        <v>16</v>
      </c>
      <c r="F1182" s="4" t="s">
        <v>82</v>
      </c>
      <c r="G1182" s="4" t="s">
        <v>18</v>
      </c>
      <c r="H1182" s="4" t="str">
        <f>TRIM(CLEAN(SUBSTITUTE(Table1_1[[#This Row],[Salesperson]],"   "," ")))</f>
        <v>Imran Sheikh</v>
      </c>
      <c r="I1182" s="4" t="s">
        <v>19</v>
      </c>
      <c r="J1182" s="4" t="s">
        <v>20</v>
      </c>
      <c r="K1182" s="4" t="s">
        <v>87</v>
      </c>
      <c r="L1182" s="4" t="s">
        <v>1672</v>
      </c>
      <c r="M1182" s="4" t="s">
        <v>23</v>
      </c>
      <c r="N1182" s="4" t="s">
        <v>24</v>
      </c>
      <c r="O1182" s="4">
        <v>4</v>
      </c>
      <c r="P1182" s="7">
        <v>31020</v>
      </c>
      <c r="Q1182" s="8">
        <v>0.15</v>
      </c>
      <c r="R1182" s="7">
        <v>19180</v>
      </c>
      <c r="S1182" s="7">
        <f>Table1_1[[#This Row],[Units Sold]]*Table1_1[[#This Row],[Unit Price]]*(1-Table1_1[[#This Row],[Discount %]])</f>
        <v>105468</v>
      </c>
      <c r="T1182" s="7">
        <f>Table1_1[[#This Row],[Units Sold]]*Table1_1[[#This Row],[Unit Cost]]</f>
        <v>76720</v>
      </c>
      <c r="U1182" s="7">
        <f>Table1_1[[#This Row],[Calculated sales]]-Table1_1[[#This Row],[Total cost]]</f>
        <v>28748</v>
      </c>
      <c r="V1182" s="4">
        <f>IFERROR(Table1_1[[#This Row],[Profit/Loss]]/Table1_1[[#This Row],[Calculated sales]],0)</f>
        <v>0.27257556794477944</v>
      </c>
    </row>
    <row r="1183" spans="1:22" x14ac:dyDescent="0.25">
      <c r="A1183" s="4" t="s">
        <v>1332</v>
      </c>
      <c r="B1183" s="5">
        <v>45893</v>
      </c>
      <c r="C1183" s="4">
        <f>YEAR(Table1_1[[#This Row],[Order Dates]])</f>
        <v>2025</v>
      </c>
      <c r="D1183" s="6">
        <f>MONTH(Table1_1[[#This Row],[Order Dates]])</f>
        <v>8</v>
      </c>
      <c r="E1183" s="4" t="s">
        <v>37</v>
      </c>
      <c r="F1183" s="4" t="s">
        <v>213</v>
      </c>
      <c r="G1183" s="4" t="s">
        <v>39</v>
      </c>
      <c r="H1183" s="4" t="str">
        <f>TRIM(CLEAN(SUBSTITUTE(Table1_1[[#This Row],[Salesperson]],"   "," ")))</f>
        <v>Sourav Das</v>
      </c>
      <c r="I1183" s="4" t="s">
        <v>45</v>
      </c>
      <c r="J1183" s="4" t="s">
        <v>46</v>
      </c>
      <c r="K1183" s="4" t="s">
        <v>47</v>
      </c>
      <c r="L1183" s="4" t="s">
        <v>48</v>
      </c>
      <c r="M1183" s="4" t="s">
        <v>23</v>
      </c>
      <c r="N1183" s="4" t="s">
        <v>24</v>
      </c>
      <c r="O1183" s="4">
        <v>53</v>
      </c>
      <c r="P1183" s="7">
        <v>1920</v>
      </c>
      <c r="Q1183" s="8">
        <v>0.2</v>
      </c>
      <c r="R1183" s="7">
        <v>1280</v>
      </c>
      <c r="S1183" s="7">
        <f>Table1_1[[#This Row],[Units Sold]]*Table1_1[[#This Row],[Unit Price]]*(1-Table1_1[[#This Row],[Discount %]])</f>
        <v>81408</v>
      </c>
      <c r="T1183" s="7">
        <f>Table1_1[[#This Row],[Units Sold]]*Table1_1[[#This Row],[Unit Cost]]</f>
        <v>67840</v>
      </c>
      <c r="U1183" s="7">
        <f>Table1_1[[#This Row],[Calculated sales]]-Table1_1[[#This Row],[Total cost]]</f>
        <v>13568</v>
      </c>
      <c r="V1183" s="4">
        <f>IFERROR(Table1_1[[#This Row],[Profit/Loss]]/Table1_1[[#This Row],[Calculated sales]],0)</f>
        <v>0.16666666666666666</v>
      </c>
    </row>
    <row r="1184" spans="1:22" x14ac:dyDescent="0.25">
      <c r="A1184" s="4" t="s">
        <v>1333</v>
      </c>
      <c r="B1184" s="5">
        <v>45895</v>
      </c>
      <c r="C1184" s="4">
        <f>YEAR(Table1_1[[#This Row],[Order Dates]])</f>
        <v>2025</v>
      </c>
      <c r="D1184" s="6">
        <f>MONTH(Table1_1[[#This Row],[Order Dates]])</f>
        <v>8</v>
      </c>
      <c r="E1184" s="4" t="s">
        <v>16</v>
      </c>
      <c r="F1184" s="4" t="s">
        <v>82</v>
      </c>
      <c r="G1184" s="4" t="s">
        <v>26</v>
      </c>
      <c r="H1184" s="4" t="str">
        <f>TRIM(CLEAN(SUBSTITUTE(Table1_1[[#This Row],[Salesperson]],"   "," ")))</f>
        <v>Prateek Shah</v>
      </c>
      <c r="I1184" s="4" t="s">
        <v>19</v>
      </c>
      <c r="J1184" s="4" t="s">
        <v>20</v>
      </c>
      <c r="K1184" s="4" t="s">
        <v>87</v>
      </c>
      <c r="L1184" s="4" t="s">
        <v>1672</v>
      </c>
      <c r="M1184" s="4" t="s">
        <v>49</v>
      </c>
      <c r="N1184" s="4" t="s">
        <v>24</v>
      </c>
      <c r="O1184" s="4">
        <v>2</v>
      </c>
      <c r="P1184" s="7">
        <v>32200</v>
      </c>
      <c r="Q1184" s="8">
        <v>0.08</v>
      </c>
      <c r="R1184" s="7">
        <v>21050</v>
      </c>
      <c r="S1184" s="7">
        <f>Table1_1[[#This Row],[Units Sold]]*Table1_1[[#This Row],[Unit Price]]*(1-Table1_1[[#This Row],[Discount %]])</f>
        <v>59248</v>
      </c>
      <c r="T1184" s="7">
        <f>Table1_1[[#This Row],[Units Sold]]*Table1_1[[#This Row],[Unit Cost]]</f>
        <v>42100</v>
      </c>
      <c r="U1184" s="7">
        <f>Table1_1[[#This Row],[Calculated sales]]-Table1_1[[#This Row],[Total cost]]</f>
        <v>17148</v>
      </c>
      <c r="V1184" s="4">
        <f>IFERROR(Table1_1[[#This Row],[Profit/Loss]]/Table1_1[[#This Row],[Calculated sales]],0)</f>
        <v>0.28942749122333244</v>
      </c>
    </row>
    <row r="1185" spans="1:22" x14ac:dyDescent="0.25">
      <c r="A1185" s="4" t="s">
        <v>1334</v>
      </c>
      <c r="B1185" s="5">
        <v>45895</v>
      </c>
      <c r="C1185" s="4">
        <f>YEAR(Table1_1[[#This Row],[Order Dates]])</f>
        <v>2025</v>
      </c>
      <c r="D1185" s="6">
        <f>MONTH(Table1_1[[#This Row],[Order Dates]])</f>
        <v>8</v>
      </c>
      <c r="E1185" s="4" t="s">
        <v>56</v>
      </c>
      <c r="F1185" s="4" t="s">
        <v>103</v>
      </c>
      <c r="G1185" s="4" t="s">
        <v>58</v>
      </c>
      <c r="H1185" s="4" t="str">
        <f>TRIM(CLEAN(SUBSTITUTE(Table1_1[[#This Row],[Salesperson]],"   "," ")))</f>
        <v>Karthik Raman</v>
      </c>
      <c r="I1185" s="4" t="s">
        <v>19</v>
      </c>
      <c r="J1185" s="4" t="s">
        <v>27</v>
      </c>
      <c r="K1185" s="4" t="s">
        <v>53</v>
      </c>
      <c r="L1185" s="4" t="s">
        <v>1676</v>
      </c>
      <c r="M1185" s="4" t="s">
        <v>23</v>
      </c>
      <c r="N1185" s="4" t="s">
        <v>119</v>
      </c>
      <c r="O1185" s="4">
        <v>3</v>
      </c>
      <c r="P1185" s="7">
        <v>36510</v>
      </c>
      <c r="Q1185" s="8">
        <v>0.18</v>
      </c>
      <c r="R1185" s="7">
        <v>28790</v>
      </c>
      <c r="S1185" s="7">
        <f>Table1_1[[#This Row],[Units Sold]]*Table1_1[[#This Row],[Unit Price]]*(1-Table1_1[[#This Row],[Discount %]])</f>
        <v>89814.6</v>
      </c>
      <c r="T1185" s="7">
        <f>Table1_1[[#This Row],[Units Sold]]*Table1_1[[#This Row],[Unit Cost]]</f>
        <v>86370</v>
      </c>
      <c r="U1185" s="7">
        <f>Table1_1[[#This Row],[Calculated sales]]-Table1_1[[#This Row],[Total cost]]</f>
        <v>3444.6000000000058</v>
      </c>
      <c r="V1185" s="4">
        <f>IFERROR(Table1_1[[#This Row],[Profit/Loss]]/Table1_1[[#This Row],[Calculated sales]],0)</f>
        <v>3.8352339151986485E-2</v>
      </c>
    </row>
    <row r="1186" spans="1:22" x14ac:dyDescent="0.25">
      <c r="A1186" s="4" t="s">
        <v>1335</v>
      </c>
      <c r="B1186" s="5">
        <v>45895</v>
      </c>
      <c r="C1186" s="4">
        <f>YEAR(Table1_1[[#This Row],[Order Dates]])</f>
        <v>2025</v>
      </c>
      <c r="D1186" s="6">
        <f>MONTH(Table1_1[[#This Row],[Order Dates]])</f>
        <v>8</v>
      </c>
      <c r="E1186" s="4" t="s">
        <v>42</v>
      </c>
      <c r="F1186" s="4" t="s">
        <v>96</v>
      </c>
      <c r="G1186" s="4" t="s">
        <v>44</v>
      </c>
      <c r="H1186" s="4" t="str">
        <f>TRIM(CLEAN(SUBSTITUTE(Table1_1[[#This Row],[Salesperson]],"   "," ")))</f>
        <v>Simran Kaur</v>
      </c>
      <c r="I1186" s="4" t="s">
        <v>19</v>
      </c>
      <c r="J1186" s="4" t="s">
        <v>59</v>
      </c>
      <c r="K1186" s="4" t="s">
        <v>154</v>
      </c>
      <c r="L1186" s="4" t="s">
        <v>249</v>
      </c>
      <c r="M1186" s="4" t="s">
        <v>40</v>
      </c>
      <c r="N1186" s="4" t="s">
        <v>119</v>
      </c>
      <c r="O1186" s="4">
        <v>6</v>
      </c>
      <c r="P1186" s="7">
        <v>6230</v>
      </c>
      <c r="Q1186" s="8">
        <v>0.15</v>
      </c>
      <c r="R1186" s="7">
        <v>3540</v>
      </c>
      <c r="S1186" s="7">
        <f>Table1_1[[#This Row],[Units Sold]]*Table1_1[[#This Row],[Unit Price]]*(1-Table1_1[[#This Row],[Discount %]])</f>
        <v>31773</v>
      </c>
      <c r="T1186" s="7">
        <f>Table1_1[[#This Row],[Units Sold]]*Table1_1[[#This Row],[Unit Cost]]</f>
        <v>21240</v>
      </c>
      <c r="U1186" s="7">
        <f>Table1_1[[#This Row],[Calculated sales]]-Table1_1[[#This Row],[Total cost]]</f>
        <v>10533</v>
      </c>
      <c r="V1186" s="4">
        <f>IFERROR(Table1_1[[#This Row],[Profit/Loss]]/Table1_1[[#This Row],[Calculated sales]],0)</f>
        <v>0.33150788405249743</v>
      </c>
    </row>
    <row r="1187" spans="1:22" x14ac:dyDescent="0.25">
      <c r="A1187" s="4" t="s">
        <v>1336</v>
      </c>
      <c r="B1187" s="5">
        <v>45895</v>
      </c>
      <c r="C1187" s="4">
        <f>YEAR(Table1_1[[#This Row],[Order Dates]])</f>
        <v>2025</v>
      </c>
      <c r="D1187" s="6">
        <f>MONTH(Table1_1[[#This Row],[Order Dates]])</f>
        <v>8</v>
      </c>
      <c r="E1187" s="4" t="s">
        <v>16</v>
      </c>
      <c r="F1187" s="4" t="s">
        <v>51</v>
      </c>
      <c r="G1187" s="4" t="s">
        <v>32</v>
      </c>
      <c r="H1187" s="4" t="str">
        <f>TRIM(CLEAN(SUBSTITUTE(Table1_1[[#This Row],[Salesperson]],"   "," ")))</f>
        <v>Neha Deshpande</v>
      </c>
      <c r="I1187" s="4" t="s">
        <v>19</v>
      </c>
      <c r="J1187" s="4" t="s">
        <v>59</v>
      </c>
      <c r="K1187" s="4" t="s">
        <v>73</v>
      </c>
      <c r="L1187" s="4" t="s">
        <v>74</v>
      </c>
      <c r="M1187" s="4" t="s">
        <v>40</v>
      </c>
      <c r="N1187" s="4" t="s">
        <v>119</v>
      </c>
      <c r="O1187" s="4">
        <v>4</v>
      </c>
      <c r="P1187" s="7">
        <v>43710</v>
      </c>
      <c r="Q1187" s="8">
        <v>0.1</v>
      </c>
      <c r="R1187" s="7">
        <v>30310</v>
      </c>
      <c r="S1187" s="7">
        <f>Table1_1[[#This Row],[Units Sold]]*Table1_1[[#This Row],[Unit Price]]*(1-Table1_1[[#This Row],[Discount %]])</f>
        <v>157356</v>
      </c>
      <c r="T1187" s="7">
        <f>Table1_1[[#This Row],[Units Sold]]*Table1_1[[#This Row],[Unit Cost]]</f>
        <v>121240</v>
      </c>
      <c r="U1187" s="7">
        <f>Table1_1[[#This Row],[Calculated sales]]-Table1_1[[#This Row],[Total cost]]</f>
        <v>36116</v>
      </c>
      <c r="V1187" s="4">
        <f>IFERROR(Table1_1[[#This Row],[Profit/Loss]]/Table1_1[[#This Row],[Calculated sales]],0)</f>
        <v>0.2295177813365871</v>
      </c>
    </row>
    <row r="1188" spans="1:22" x14ac:dyDescent="0.25">
      <c r="A1188" s="4" t="s">
        <v>1337</v>
      </c>
      <c r="B1188" s="5">
        <v>45896</v>
      </c>
      <c r="C1188" s="4">
        <f>YEAR(Table1_1[[#This Row],[Order Dates]])</f>
        <v>2025</v>
      </c>
      <c r="D1188" s="6">
        <f>MONTH(Table1_1[[#This Row],[Order Dates]])</f>
        <v>8</v>
      </c>
      <c r="E1188" s="4" t="s">
        <v>56</v>
      </c>
      <c r="F1188" s="4" t="s">
        <v>133</v>
      </c>
      <c r="G1188" s="4" t="s">
        <v>91</v>
      </c>
      <c r="H1188" s="4" t="str">
        <f>TRIM(CLEAN(SUBSTITUTE(Table1_1[[#This Row],[Salesperson]],"   "," ")))</f>
        <v>Anjali Menon</v>
      </c>
      <c r="I1188" s="4" t="s">
        <v>19</v>
      </c>
      <c r="J1188" s="4" t="s">
        <v>46</v>
      </c>
      <c r="K1188" s="4" t="s">
        <v>179</v>
      </c>
      <c r="L1188" s="4" t="s">
        <v>180</v>
      </c>
      <c r="M1188" s="4" t="s">
        <v>23</v>
      </c>
      <c r="N1188" s="4" t="s">
        <v>24</v>
      </c>
      <c r="O1188" s="4">
        <v>8</v>
      </c>
      <c r="P1188" s="7">
        <v>3730</v>
      </c>
      <c r="Q1188" s="8">
        <v>0.18</v>
      </c>
      <c r="R1188" s="7">
        <v>2150</v>
      </c>
      <c r="S1188" s="7">
        <f>Table1_1[[#This Row],[Units Sold]]*Table1_1[[#This Row],[Unit Price]]*(1-Table1_1[[#This Row],[Discount %]])</f>
        <v>24468.800000000003</v>
      </c>
      <c r="T1188" s="7">
        <f>Table1_1[[#This Row],[Units Sold]]*Table1_1[[#This Row],[Unit Cost]]</f>
        <v>17200</v>
      </c>
      <c r="U1188" s="7">
        <f>Table1_1[[#This Row],[Calculated sales]]-Table1_1[[#This Row],[Total cost]]</f>
        <v>7268.8000000000029</v>
      </c>
      <c r="V1188" s="4">
        <f>IFERROR(Table1_1[[#This Row],[Profit/Loss]]/Table1_1[[#This Row],[Calculated sales]],0)</f>
        <v>0.29706401621656975</v>
      </c>
    </row>
    <row r="1189" spans="1:22" x14ac:dyDescent="0.25">
      <c r="A1189" s="4" t="s">
        <v>1338</v>
      </c>
      <c r="B1189" s="5">
        <v>45896</v>
      </c>
      <c r="C1189" s="4">
        <f>YEAR(Table1_1[[#This Row],[Order Dates]])</f>
        <v>2025</v>
      </c>
      <c r="D1189" s="6">
        <f>MONTH(Table1_1[[#This Row],[Order Dates]])</f>
        <v>8</v>
      </c>
      <c r="E1189" s="4" t="s">
        <v>56</v>
      </c>
      <c r="F1189" s="4" t="s">
        <v>72</v>
      </c>
      <c r="G1189" s="4" t="s">
        <v>134</v>
      </c>
      <c r="H1189" s="4" t="str">
        <f>TRIM(CLEAN(SUBSTITUTE(Table1_1[[#This Row],[Salesperson]],"   "," ")))</f>
        <v>Divya Nair</v>
      </c>
      <c r="I1189" s="4" t="s">
        <v>92</v>
      </c>
      <c r="J1189" s="4" t="s">
        <v>59</v>
      </c>
      <c r="K1189" s="4" t="s">
        <v>60</v>
      </c>
      <c r="L1189" s="4" t="s">
        <v>61</v>
      </c>
      <c r="M1189" s="4" t="s">
        <v>23</v>
      </c>
      <c r="N1189" s="4" t="s">
        <v>94</v>
      </c>
      <c r="O1189" s="4">
        <v>9</v>
      </c>
      <c r="P1189" s="7">
        <v>23640</v>
      </c>
      <c r="Q1189" s="8">
        <v>0.1</v>
      </c>
      <c r="R1189" s="7">
        <v>13740</v>
      </c>
      <c r="S1189" s="7">
        <f>Table1_1[[#This Row],[Units Sold]]*Table1_1[[#This Row],[Unit Price]]*(1-Table1_1[[#This Row],[Discount %]])</f>
        <v>191484</v>
      </c>
      <c r="T1189" s="7">
        <f>Table1_1[[#This Row],[Units Sold]]*Table1_1[[#This Row],[Unit Cost]]</f>
        <v>123660</v>
      </c>
      <c r="U1189" s="7">
        <f>Table1_1[[#This Row],[Calculated sales]]-Table1_1[[#This Row],[Total cost]]</f>
        <v>67824</v>
      </c>
      <c r="V1189" s="4">
        <f>IFERROR(Table1_1[[#This Row],[Profit/Loss]]/Table1_1[[#This Row],[Calculated sales]],0)</f>
        <v>0.3542019176536943</v>
      </c>
    </row>
    <row r="1190" spans="1:22" x14ac:dyDescent="0.25">
      <c r="A1190" s="4" t="s">
        <v>1339</v>
      </c>
      <c r="B1190" s="5">
        <v>45897</v>
      </c>
      <c r="C1190" s="4">
        <f>YEAR(Table1_1[[#This Row],[Order Dates]])</f>
        <v>2025</v>
      </c>
      <c r="D1190" s="6">
        <f>MONTH(Table1_1[[#This Row],[Order Dates]])</f>
        <v>8</v>
      </c>
      <c r="E1190" s="4" t="s">
        <v>56</v>
      </c>
      <c r="F1190" s="4" t="s">
        <v>57</v>
      </c>
      <c r="G1190" s="4" t="s">
        <v>91</v>
      </c>
      <c r="H1190" s="4" t="str">
        <f>TRIM(CLEAN(SUBSTITUTE(Table1_1[[#This Row],[Salesperson]],"   "," ")))</f>
        <v>Anjali Menon</v>
      </c>
      <c r="I1190" s="4" t="s">
        <v>52</v>
      </c>
      <c r="J1190" s="4" t="s">
        <v>83</v>
      </c>
      <c r="K1190" s="4" t="s">
        <v>136</v>
      </c>
      <c r="L1190" s="4" t="s">
        <v>137</v>
      </c>
      <c r="M1190" s="4" t="s">
        <v>40</v>
      </c>
      <c r="N1190" s="4" t="s">
        <v>24</v>
      </c>
      <c r="O1190" s="4">
        <v>33</v>
      </c>
      <c r="P1190" s="7">
        <v>1660</v>
      </c>
      <c r="Q1190" s="8">
        <v>0.25</v>
      </c>
      <c r="R1190" s="7">
        <v>1060</v>
      </c>
      <c r="S1190" s="7">
        <f>Table1_1[[#This Row],[Units Sold]]*Table1_1[[#This Row],[Unit Price]]*(1-Table1_1[[#This Row],[Discount %]])</f>
        <v>41085</v>
      </c>
      <c r="T1190" s="7">
        <f>Table1_1[[#This Row],[Units Sold]]*Table1_1[[#This Row],[Unit Cost]]</f>
        <v>34980</v>
      </c>
      <c r="U1190" s="7">
        <f>Table1_1[[#This Row],[Calculated sales]]-Table1_1[[#This Row],[Total cost]]</f>
        <v>6105</v>
      </c>
      <c r="V1190" s="4">
        <f>IFERROR(Table1_1[[#This Row],[Profit/Loss]]/Table1_1[[#This Row],[Calculated sales]],0)</f>
        <v>0.14859437751004015</v>
      </c>
    </row>
    <row r="1191" spans="1:22" x14ac:dyDescent="0.25">
      <c r="A1191" s="4" t="s">
        <v>1340</v>
      </c>
      <c r="B1191" s="5">
        <v>45897</v>
      </c>
      <c r="C1191" s="4">
        <f>YEAR(Table1_1[[#This Row],[Order Dates]])</f>
        <v>2025</v>
      </c>
      <c r="D1191" s="6">
        <f>MONTH(Table1_1[[#This Row],[Order Dates]])</f>
        <v>8</v>
      </c>
      <c r="E1191" s="4" t="s">
        <v>56</v>
      </c>
      <c r="F1191" s="4" t="s">
        <v>127</v>
      </c>
      <c r="G1191" s="4" t="s">
        <v>134</v>
      </c>
      <c r="H1191" s="4" t="str">
        <f>TRIM(CLEAN(SUBSTITUTE(Table1_1[[#This Row],[Salesperson]],"   "," ")))</f>
        <v>Divya Nair</v>
      </c>
      <c r="I1191" s="4" t="s">
        <v>92</v>
      </c>
      <c r="J1191" s="4" t="s">
        <v>59</v>
      </c>
      <c r="K1191" s="4" t="s">
        <v>60</v>
      </c>
      <c r="L1191" s="4" t="s">
        <v>200</v>
      </c>
      <c r="M1191" s="4" t="s">
        <v>49</v>
      </c>
      <c r="N1191" s="4" t="s">
        <v>24</v>
      </c>
      <c r="O1191" s="4">
        <v>24</v>
      </c>
      <c r="P1191" s="7">
        <v>8720</v>
      </c>
      <c r="Q1191" s="8">
        <v>0.08</v>
      </c>
      <c r="R1191" s="7">
        <v>6720</v>
      </c>
      <c r="S1191" s="7">
        <f>Table1_1[[#This Row],[Units Sold]]*Table1_1[[#This Row],[Unit Price]]*(1-Table1_1[[#This Row],[Discount %]])</f>
        <v>192537.60000000001</v>
      </c>
      <c r="T1191" s="7">
        <f>Table1_1[[#This Row],[Units Sold]]*Table1_1[[#This Row],[Unit Cost]]</f>
        <v>161280</v>
      </c>
      <c r="U1191" s="7">
        <f>Table1_1[[#This Row],[Calculated sales]]-Table1_1[[#This Row],[Total cost]]</f>
        <v>31257.600000000006</v>
      </c>
      <c r="V1191" s="4">
        <f>IFERROR(Table1_1[[#This Row],[Profit/Loss]]/Table1_1[[#This Row],[Calculated sales]],0)</f>
        <v>0.16234543278819308</v>
      </c>
    </row>
    <row r="1192" spans="1:22" x14ac:dyDescent="0.25">
      <c r="A1192" s="4" t="s">
        <v>1341</v>
      </c>
      <c r="B1192" s="5">
        <v>45897</v>
      </c>
      <c r="C1192" s="4">
        <f>YEAR(Table1_1[[#This Row],[Order Dates]])</f>
        <v>2025</v>
      </c>
      <c r="D1192" s="6">
        <f>MONTH(Table1_1[[#This Row],[Order Dates]])</f>
        <v>8</v>
      </c>
      <c r="E1192" s="4" t="s">
        <v>76</v>
      </c>
      <c r="F1192" s="4" t="s">
        <v>77</v>
      </c>
      <c r="G1192" s="4" t="s">
        <v>170</v>
      </c>
      <c r="H1192" s="4" t="str">
        <f>TRIM(CLEAN(SUBSTITUTE(Table1_1[[#This Row],[Salesperson]],"   "," ")))</f>
        <v>Manish Tiwari</v>
      </c>
      <c r="I1192" s="4" t="s">
        <v>92</v>
      </c>
      <c r="J1192" s="4" t="s">
        <v>20</v>
      </c>
      <c r="K1192" s="4" t="s">
        <v>87</v>
      </c>
      <c r="L1192" s="4" t="s">
        <v>1672</v>
      </c>
      <c r="M1192" s="4" t="s">
        <v>40</v>
      </c>
      <c r="N1192" s="4" t="s">
        <v>24</v>
      </c>
      <c r="O1192" s="4">
        <v>1</v>
      </c>
      <c r="P1192" s="7">
        <v>33020</v>
      </c>
      <c r="Q1192" s="8">
        <v>0.05</v>
      </c>
      <c r="R1192" s="7">
        <v>21650</v>
      </c>
      <c r="S1192" s="7">
        <f>Table1_1[[#This Row],[Units Sold]]*Table1_1[[#This Row],[Unit Price]]*(1-Table1_1[[#This Row],[Discount %]])</f>
        <v>31369</v>
      </c>
      <c r="T1192" s="7">
        <f>Table1_1[[#This Row],[Units Sold]]*Table1_1[[#This Row],[Unit Cost]]</f>
        <v>21650</v>
      </c>
      <c r="U1192" s="7">
        <f>Table1_1[[#This Row],[Calculated sales]]-Table1_1[[#This Row],[Total cost]]</f>
        <v>9719</v>
      </c>
      <c r="V1192" s="4">
        <f>IFERROR(Table1_1[[#This Row],[Profit/Loss]]/Table1_1[[#This Row],[Calculated sales]],0)</f>
        <v>0.3098281743122191</v>
      </c>
    </row>
    <row r="1193" spans="1:22" x14ac:dyDescent="0.25">
      <c r="A1193" s="4" t="s">
        <v>1342</v>
      </c>
      <c r="B1193" s="5">
        <v>45898</v>
      </c>
      <c r="C1193" s="4">
        <f>YEAR(Table1_1[[#This Row],[Order Dates]])</f>
        <v>2025</v>
      </c>
      <c r="D1193" s="6">
        <f>MONTH(Table1_1[[#This Row],[Order Dates]])</f>
        <v>8</v>
      </c>
      <c r="E1193" s="4" t="s">
        <v>76</v>
      </c>
      <c r="F1193" s="4" t="s">
        <v>112</v>
      </c>
      <c r="G1193" s="4" t="s">
        <v>170</v>
      </c>
      <c r="H1193" s="4" t="str">
        <f>TRIM(CLEAN(SUBSTITUTE(Table1_1[[#This Row],[Salesperson]],"   "," ")))</f>
        <v>Manish Tiwari</v>
      </c>
      <c r="I1193" s="4" t="s">
        <v>92</v>
      </c>
      <c r="J1193" s="4" t="s">
        <v>27</v>
      </c>
      <c r="K1193" s="4" t="s">
        <v>28</v>
      </c>
      <c r="L1193" s="4" t="s">
        <v>1668</v>
      </c>
      <c r="M1193" s="4" t="s">
        <v>40</v>
      </c>
      <c r="N1193" s="4" t="s">
        <v>24</v>
      </c>
      <c r="O1193" s="4">
        <v>4</v>
      </c>
      <c r="P1193" s="7">
        <v>27320</v>
      </c>
      <c r="Q1193" s="8">
        <v>0.18</v>
      </c>
      <c r="R1193" s="7">
        <v>15440</v>
      </c>
      <c r="S1193" s="7">
        <f>Table1_1[[#This Row],[Units Sold]]*Table1_1[[#This Row],[Unit Price]]*(1-Table1_1[[#This Row],[Discount %]])</f>
        <v>89609.600000000006</v>
      </c>
      <c r="T1193" s="7">
        <f>Table1_1[[#This Row],[Units Sold]]*Table1_1[[#This Row],[Unit Cost]]</f>
        <v>61760</v>
      </c>
      <c r="U1193" s="7">
        <f>Table1_1[[#This Row],[Calculated sales]]-Table1_1[[#This Row],[Total cost]]</f>
        <v>27849.600000000006</v>
      </c>
      <c r="V1193" s="4">
        <f>IFERROR(Table1_1[[#This Row],[Profit/Loss]]/Table1_1[[#This Row],[Calculated sales]],0)</f>
        <v>0.31078812984323112</v>
      </c>
    </row>
    <row r="1194" spans="1:22" x14ac:dyDescent="0.25">
      <c r="A1194" s="4" t="s">
        <v>1343</v>
      </c>
      <c r="B1194" s="5">
        <v>45898</v>
      </c>
      <c r="C1194" s="4">
        <f>YEAR(Table1_1[[#This Row],[Order Dates]])</f>
        <v>2025</v>
      </c>
      <c r="D1194" s="6">
        <f>MONTH(Table1_1[[#This Row],[Order Dates]])</f>
        <v>8</v>
      </c>
      <c r="E1194" s="4" t="s">
        <v>42</v>
      </c>
      <c r="F1194" s="4" t="s">
        <v>130</v>
      </c>
      <c r="G1194" s="4" t="s">
        <v>44</v>
      </c>
      <c r="H1194" s="4" t="str">
        <f>TRIM(CLEAN(SUBSTITUTE(Table1_1[[#This Row],[Salesperson]],"   "," ")))</f>
        <v>Simran Kaur</v>
      </c>
      <c r="I1194" s="4" t="s">
        <v>45</v>
      </c>
      <c r="J1194" s="4" t="s">
        <v>59</v>
      </c>
      <c r="K1194" s="4" t="s">
        <v>60</v>
      </c>
      <c r="L1194" s="4" t="s">
        <v>61</v>
      </c>
      <c r="M1194" s="4" t="s">
        <v>40</v>
      </c>
      <c r="N1194" s="4" t="s">
        <v>24</v>
      </c>
      <c r="O1194" s="4">
        <v>13</v>
      </c>
      <c r="P1194" s="7">
        <v>23310</v>
      </c>
      <c r="Q1194" s="8">
        <v>0.18</v>
      </c>
      <c r="R1194" s="7">
        <v>13310</v>
      </c>
      <c r="S1194" s="7">
        <f>Table1_1[[#This Row],[Units Sold]]*Table1_1[[#This Row],[Unit Price]]*(1-Table1_1[[#This Row],[Discount %]])</f>
        <v>248484.6</v>
      </c>
      <c r="T1194" s="7">
        <f>Table1_1[[#This Row],[Units Sold]]*Table1_1[[#This Row],[Unit Cost]]</f>
        <v>173030</v>
      </c>
      <c r="U1194" s="7">
        <f>Table1_1[[#This Row],[Calculated sales]]-Table1_1[[#This Row],[Total cost]]</f>
        <v>75454.600000000006</v>
      </c>
      <c r="V1194" s="4">
        <f>IFERROR(Table1_1[[#This Row],[Profit/Loss]]/Table1_1[[#This Row],[Calculated sales]],0)</f>
        <v>0.30365905975662077</v>
      </c>
    </row>
    <row r="1195" spans="1:22" x14ac:dyDescent="0.25">
      <c r="A1195" s="4" t="s">
        <v>1344</v>
      </c>
      <c r="B1195" s="5">
        <v>45900</v>
      </c>
      <c r="C1195" s="4">
        <f>YEAR(Table1_1[[#This Row],[Order Dates]])</f>
        <v>2025</v>
      </c>
      <c r="D1195" s="6">
        <f>MONTH(Table1_1[[#This Row],[Order Dates]])</f>
        <v>8</v>
      </c>
      <c r="E1195" s="4" t="s">
        <v>16</v>
      </c>
      <c r="F1195" s="4" t="s">
        <v>153</v>
      </c>
      <c r="G1195" s="4" t="s">
        <v>26</v>
      </c>
      <c r="H1195" s="4" t="str">
        <f>TRIM(CLEAN(SUBSTITUTE(Table1_1[[#This Row],[Salesperson]],"   "," ")))</f>
        <v>Prateek Shah</v>
      </c>
      <c r="I1195" s="4" t="s">
        <v>19</v>
      </c>
      <c r="J1195" s="4" t="s">
        <v>46</v>
      </c>
      <c r="K1195" s="4" t="s">
        <v>47</v>
      </c>
      <c r="L1195" s="4" t="s">
        <v>259</v>
      </c>
      <c r="M1195" s="4" t="s">
        <v>49</v>
      </c>
      <c r="N1195" s="4" t="s">
        <v>35</v>
      </c>
      <c r="O1195" s="4">
        <v>35</v>
      </c>
      <c r="P1195" s="7">
        <v>2920</v>
      </c>
      <c r="Q1195" s="8">
        <v>0.15</v>
      </c>
      <c r="R1195" s="7">
        <v>1830</v>
      </c>
      <c r="S1195" s="7">
        <f>Table1_1[[#This Row],[Units Sold]]*Table1_1[[#This Row],[Unit Price]]*(1-Table1_1[[#This Row],[Discount %]])</f>
        <v>86870</v>
      </c>
      <c r="T1195" s="7">
        <f>Table1_1[[#This Row],[Units Sold]]*Table1_1[[#This Row],[Unit Cost]]</f>
        <v>64050</v>
      </c>
      <c r="U1195" s="7">
        <f>Table1_1[[#This Row],[Calculated sales]]-Table1_1[[#This Row],[Total cost]]</f>
        <v>22820</v>
      </c>
      <c r="V1195" s="4">
        <f>IFERROR(Table1_1[[#This Row],[Profit/Loss]]/Table1_1[[#This Row],[Calculated sales]],0)</f>
        <v>0.26269137792103142</v>
      </c>
    </row>
    <row r="1196" spans="1:22" x14ac:dyDescent="0.25">
      <c r="A1196" s="4" t="s">
        <v>1345</v>
      </c>
      <c r="B1196" s="5">
        <v>45902</v>
      </c>
      <c r="C1196" s="4">
        <f>YEAR(Table1_1[[#This Row],[Order Dates]])</f>
        <v>2025</v>
      </c>
      <c r="D1196" s="6">
        <f>MONTH(Table1_1[[#This Row],[Order Dates]])</f>
        <v>9</v>
      </c>
      <c r="E1196" s="4" t="s">
        <v>56</v>
      </c>
      <c r="F1196" s="4" t="s">
        <v>143</v>
      </c>
      <c r="G1196" s="4" t="s">
        <v>58</v>
      </c>
      <c r="H1196" s="4" t="str">
        <f>TRIM(CLEAN(SUBSTITUTE(Table1_1[[#This Row],[Salesperson]],"   "," ")))</f>
        <v>Karthik Raman</v>
      </c>
      <c r="I1196" s="4" t="s">
        <v>52</v>
      </c>
      <c r="J1196" s="4" t="s">
        <v>20</v>
      </c>
      <c r="K1196" s="4" t="s">
        <v>21</v>
      </c>
      <c r="L1196" s="4" t="s">
        <v>1667</v>
      </c>
      <c r="M1196" s="4" t="s">
        <v>49</v>
      </c>
      <c r="N1196" s="4" t="s">
        <v>24</v>
      </c>
      <c r="O1196" s="4">
        <v>25</v>
      </c>
      <c r="P1196" s="7">
        <v>1740</v>
      </c>
      <c r="Q1196" s="8">
        <v>0.08</v>
      </c>
      <c r="R1196" s="7">
        <v>1190</v>
      </c>
      <c r="S1196" s="7">
        <f>Table1_1[[#This Row],[Units Sold]]*Table1_1[[#This Row],[Unit Price]]*(1-Table1_1[[#This Row],[Discount %]])</f>
        <v>40020</v>
      </c>
      <c r="T1196" s="7">
        <f>Table1_1[[#This Row],[Units Sold]]*Table1_1[[#This Row],[Unit Cost]]</f>
        <v>29750</v>
      </c>
      <c r="U1196" s="7">
        <f>Table1_1[[#This Row],[Calculated sales]]-Table1_1[[#This Row],[Total cost]]</f>
        <v>10270</v>
      </c>
      <c r="V1196" s="4">
        <f>IFERROR(Table1_1[[#This Row],[Profit/Loss]]/Table1_1[[#This Row],[Calculated sales]],0)</f>
        <v>0.25662168915542227</v>
      </c>
    </row>
    <row r="1197" spans="1:22" x14ac:dyDescent="0.25">
      <c r="A1197" s="4" t="s">
        <v>1346</v>
      </c>
      <c r="B1197" s="5">
        <v>45902</v>
      </c>
      <c r="C1197" s="4">
        <f>YEAR(Table1_1[[#This Row],[Order Dates]])</f>
        <v>2025</v>
      </c>
      <c r="D1197" s="6">
        <f>MONTH(Table1_1[[#This Row],[Order Dates]])</f>
        <v>9</v>
      </c>
      <c r="E1197" s="4" t="s">
        <v>42</v>
      </c>
      <c r="F1197" s="4" t="s">
        <v>265</v>
      </c>
      <c r="G1197" s="4" t="s">
        <v>97</v>
      </c>
      <c r="H1197" s="4" t="str">
        <f>TRIM(CLEAN(SUBSTITUTE(Table1_1[[#This Row],[Salesperson]],"   "," ")))</f>
        <v>Rohit Malhotra</v>
      </c>
      <c r="I1197" s="4" t="s">
        <v>52</v>
      </c>
      <c r="J1197" s="4" t="s">
        <v>83</v>
      </c>
      <c r="K1197" s="4" t="s">
        <v>184</v>
      </c>
      <c r="L1197" s="4" t="s">
        <v>1679</v>
      </c>
      <c r="M1197" s="4" t="s">
        <v>40</v>
      </c>
      <c r="N1197" s="4" t="s">
        <v>24</v>
      </c>
      <c r="O1197" s="4">
        <v>11</v>
      </c>
      <c r="P1197" s="7">
        <v>4860</v>
      </c>
      <c r="Q1197" s="8">
        <v>0.05</v>
      </c>
      <c r="R1197" s="7">
        <v>3240</v>
      </c>
      <c r="S1197" s="7">
        <f>Table1_1[[#This Row],[Units Sold]]*Table1_1[[#This Row],[Unit Price]]*(1-Table1_1[[#This Row],[Discount %]])</f>
        <v>50787</v>
      </c>
      <c r="T1197" s="7">
        <f>Table1_1[[#This Row],[Units Sold]]*Table1_1[[#This Row],[Unit Cost]]</f>
        <v>35640</v>
      </c>
      <c r="U1197" s="7">
        <f>Table1_1[[#This Row],[Calculated sales]]-Table1_1[[#This Row],[Total cost]]</f>
        <v>15147</v>
      </c>
      <c r="V1197" s="4">
        <f>IFERROR(Table1_1[[#This Row],[Profit/Loss]]/Table1_1[[#This Row],[Calculated sales]],0)</f>
        <v>0.2982456140350877</v>
      </c>
    </row>
    <row r="1198" spans="1:22" x14ac:dyDescent="0.25">
      <c r="A1198" s="4" t="s">
        <v>1347</v>
      </c>
      <c r="B1198" s="5">
        <v>45903</v>
      </c>
      <c r="C1198" s="4">
        <f>YEAR(Table1_1[[#This Row],[Order Dates]])</f>
        <v>2025</v>
      </c>
      <c r="D1198" s="6">
        <f>MONTH(Table1_1[[#This Row],[Order Dates]])</f>
        <v>9</v>
      </c>
      <c r="E1198" s="4" t="s">
        <v>16</v>
      </c>
      <c r="F1198" s="4" t="s">
        <v>51</v>
      </c>
      <c r="G1198" s="4" t="s">
        <v>18</v>
      </c>
      <c r="H1198" s="4" t="str">
        <f>TRIM(CLEAN(SUBSTITUTE(Table1_1[[#This Row],[Salesperson]],"   "," ")))</f>
        <v>Imran Sheikh</v>
      </c>
      <c r="I1198" s="4" t="s">
        <v>19</v>
      </c>
      <c r="J1198" s="4" t="s">
        <v>59</v>
      </c>
      <c r="K1198" s="4" t="s">
        <v>73</v>
      </c>
      <c r="L1198" s="4" t="s">
        <v>74</v>
      </c>
      <c r="M1198" s="4" t="s">
        <v>49</v>
      </c>
      <c r="N1198" s="4" t="s">
        <v>24</v>
      </c>
      <c r="O1198" s="4">
        <v>2</v>
      </c>
      <c r="P1198" s="7">
        <v>45950</v>
      </c>
      <c r="Q1198" s="8">
        <v>0.08</v>
      </c>
      <c r="R1198" s="7">
        <v>26530</v>
      </c>
      <c r="S1198" s="7">
        <f>Table1_1[[#This Row],[Units Sold]]*Table1_1[[#This Row],[Unit Price]]*(1-Table1_1[[#This Row],[Discount %]])</f>
        <v>84548</v>
      </c>
      <c r="T1198" s="7">
        <f>Table1_1[[#This Row],[Units Sold]]*Table1_1[[#This Row],[Unit Cost]]</f>
        <v>53060</v>
      </c>
      <c r="U1198" s="7">
        <f>Table1_1[[#This Row],[Calculated sales]]-Table1_1[[#This Row],[Total cost]]</f>
        <v>31488</v>
      </c>
      <c r="V1198" s="4">
        <f>IFERROR(Table1_1[[#This Row],[Profit/Loss]]/Table1_1[[#This Row],[Calculated sales]],0)</f>
        <v>0.37242749680654774</v>
      </c>
    </row>
    <row r="1199" spans="1:22" x14ac:dyDescent="0.25">
      <c r="A1199" s="4" t="s">
        <v>1348</v>
      </c>
      <c r="B1199" s="5">
        <v>45904</v>
      </c>
      <c r="C1199" s="4">
        <f>YEAR(Table1_1[[#This Row],[Order Dates]])</f>
        <v>2025</v>
      </c>
      <c r="D1199" s="6">
        <f>MONTH(Table1_1[[#This Row],[Order Dates]])</f>
        <v>9</v>
      </c>
      <c r="E1199" s="4" t="s">
        <v>42</v>
      </c>
      <c r="F1199" s="4" t="s">
        <v>43</v>
      </c>
      <c r="G1199" s="4" t="s">
        <v>44</v>
      </c>
      <c r="H1199" s="4" t="str">
        <f>TRIM(CLEAN(SUBSTITUTE(Table1_1[[#This Row],[Salesperson]],"   "," ")))</f>
        <v>Simran Kaur</v>
      </c>
      <c r="I1199" s="4" t="s">
        <v>19</v>
      </c>
      <c r="J1199" s="4" t="s">
        <v>83</v>
      </c>
      <c r="K1199" s="4" t="s">
        <v>184</v>
      </c>
      <c r="L1199" s="4" t="s">
        <v>196</v>
      </c>
      <c r="M1199" s="4" t="s">
        <v>49</v>
      </c>
      <c r="N1199" s="4" t="s">
        <v>24</v>
      </c>
      <c r="O1199" s="4">
        <v>9</v>
      </c>
      <c r="P1199" s="7">
        <v>3410</v>
      </c>
      <c r="Q1199" s="8">
        <v>0</v>
      </c>
      <c r="R1199" s="7">
        <v>1970</v>
      </c>
      <c r="S1199" s="7">
        <f>Table1_1[[#This Row],[Units Sold]]*Table1_1[[#This Row],[Unit Price]]*(1-Table1_1[[#This Row],[Discount %]])</f>
        <v>30690</v>
      </c>
      <c r="T1199" s="7">
        <f>Table1_1[[#This Row],[Units Sold]]*Table1_1[[#This Row],[Unit Cost]]</f>
        <v>17730</v>
      </c>
      <c r="U1199" s="7">
        <f>Table1_1[[#This Row],[Calculated sales]]-Table1_1[[#This Row],[Total cost]]</f>
        <v>12960</v>
      </c>
      <c r="V1199" s="4">
        <f>IFERROR(Table1_1[[#This Row],[Profit/Loss]]/Table1_1[[#This Row],[Calculated sales]],0)</f>
        <v>0.42228739002932553</v>
      </c>
    </row>
    <row r="1200" spans="1:22" x14ac:dyDescent="0.25">
      <c r="A1200" s="4" t="s">
        <v>1349</v>
      </c>
      <c r="B1200" s="5">
        <v>45904</v>
      </c>
      <c r="C1200" s="4">
        <f>YEAR(Table1_1[[#This Row],[Order Dates]])</f>
        <v>2025</v>
      </c>
      <c r="D1200" s="6">
        <f>MONTH(Table1_1[[#This Row],[Order Dates]])</f>
        <v>9</v>
      </c>
      <c r="E1200" s="4" t="s">
        <v>37</v>
      </c>
      <c r="F1200" s="4" t="s">
        <v>115</v>
      </c>
      <c r="G1200" s="4" t="s">
        <v>39</v>
      </c>
      <c r="H1200" s="4" t="str">
        <f>TRIM(CLEAN(SUBSTITUTE(Table1_1[[#This Row],[Salesperson]],"   "," ")))</f>
        <v>Sourav Das</v>
      </c>
      <c r="I1200" s="4" t="s">
        <v>19</v>
      </c>
      <c r="J1200" s="4" t="s">
        <v>46</v>
      </c>
      <c r="K1200" s="4" t="s">
        <v>179</v>
      </c>
      <c r="L1200" s="4" t="s">
        <v>221</v>
      </c>
      <c r="M1200" s="4" t="s">
        <v>40</v>
      </c>
      <c r="N1200" s="4" t="s">
        <v>119</v>
      </c>
      <c r="O1200" s="4">
        <v>3</v>
      </c>
      <c r="P1200" s="7">
        <v>1610</v>
      </c>
      <c r="Q1200" s="8">
        <v>0.15</v>
      </c>
      <c r="R1200" s="7">
        <v>1080</v>
      </c>
      <c r="S1200" s="7">
        <f>Table1_1[[#This Row],[Units Sold]]*Table1_1[[#This Row],[Unit Price]]*(1-Table1_1[[#This Row],[Discount %]])</f>
        <v>4105.5</v>
      </c>
      <c r="T1200" s="7">
        <f>Table1_1[[#This Row],[Units Sold]]*Table1_1[[#This Row],[Unit Cost]]</f>
        <v>3240</v>
      </c>
      <c r="U1200" s="7">
        <f>Table1_1[[#This Row],[Calculated sales]]-Table1_1[[#This Row],[Total cost]]</f>
        <v>865.5</v>
      </c>
      <c r="V1200" s="4">
        <f>IFERROR(Table1_1[[#This Row],[Profit/Loss]]/Table1_1[[#This Row],[Calculated sales]],0)</f>
        <v>0.21081476068688346</v>
      </c>
    </row>
    <row r="1201" spans="1:22" x14ac:dyDescent="0.25">
      <c r="A1201" s="4" t="s">
        <v>1350</v>
      </c>
      <c r="B1201" s="5">
        <v>45904</v>
      </c>
      <c r="C1201" s="4">
        <f>YEAR(Table1_1[[#This Row],[Order Dates]])</f>
        <v>2025</v>
      </c>
      <c r="D1201" s="6">
        <f>MONTH(Table1_1[[#This Row],[Order Dates]])</f>
        <v>9</v>
      </c>
      <c r="E1201" s="4" t="s">
        <v>42</v>
      </c>
      <c r="F1201" s="4" t="s">
        <v>43</v>
      </c>
      <c r="G1201" s="4" t="s">
        <v>64</v>
      </c>
      <c r="H1201" s="4" t="str">
        <f>TRIM(CLEAN(SUBSTITUTE(Table1_1[[#This Row],[Salesperson]],"   "," ")))</f>
        <v>Aditya Verma</v>
      </c>
      <c r="I1201" s="4" t="s">
        <v>19</v>
      </c>
      <c r="J1201" s="4" t="s">
        <v>20</v>
      </c>
      <c r="K1201" s="4" t="s">
        <v>21</v>
      </c>
      <c r="L1201" s="4" t="s">
        <v>1682</v>
      </c>
      <c r="M1201" s="4" t="s">
        <v>23</v>
      </c>
      <c r="N1201" s="4" t="s">
        <v>24</v>
      </c>
      <c r="O1201" s="4">
        <v>8</v>
      </c>
      <c r="P1201" s="7">
        <v>9780</v>
      </c>
      <c r="Q1201" s="8">
        <v>0</v>
      </c>
      <c r="R1201" s="7">
        <v>7170</v>
      </c>
      <c r="S1201" s="7">
        <f>Table1_1[[#This Row],[Units Sold]]*Table1_1[[#This Row],[Unit Price]]*(1-Table1_1[[#This Row],[Discount %]])</f>
        <v>78240</v>
      </c>
      <c r="T1201" s="7">
        <f>Table1_1[[#This Row],[Units Sold]]*Table1_1[[#This Row],[Unit Cost]]</f>
        <v>57360</v>
      </c>
      <c r="U1201" s="7">
        <f>Table1_1[[#This Row],[Calculated sales]]-Table1_1[[#This Row],[Total cost]]</f>
        <v>20880</v>
      </c>
      <c r="V1201" s="4">
        <f>IFERROR(Table1_1[[#This Row],[Profit/Loss]]/Table1_1[[#This Row],[Calculated sales]],0)</f>
        <v>0.26687116564417179</v>
      </c>
    </row>
    <row r="1202" spans="1:22" x14ac:dyDescent="0.25">
      <c r="A1202" s="4" t="s">
        <v>1351</v>
      </c>
      <c r="B1202" s="5">
        <v>45905</v>
      </c>
      <c r="C1202" s="4">
        <f>YEAR(Table1_1[[#This Row],[Order Dates]])</f>
        <v>2025</v>
      </c>
      <c r="D1202" s="6">
        <f>MONTH(Table1_1[[#This Row],[Order Dates]])</f>
        <v>9</v>
      </c>
      <c r="E1202" s="4" t="s">
        <v>42</v>
      </c>
      <c r="F1202" s="4" t="s">
        <v>43</v>
      </c>
      <c r="G1202" s="4" t="s">
        <v>44</v>
      </c>
      <c r="H1202" s="4" t="str">
        <f>TRIM(CLEAN(SUBSTITUTE(Table1_1[[#This Row],[Salesperson]],"   "," ")))</f>
        <v>Simran Kaur</v>
      </c>
      <c r="I1202" s="4" t="s">
        <v>45</v>
      </c>
      <c r="J1202" s="4" t="s">
        <v>83</v>
      </c>
      <c r="K1202" s="4" t="s">
        <v>84</v>
      </c>
      <c r="L1202" s="4" t="s">
        <v>1671</v>
      </c>
      <c r="M1202" s="4" t="s">
        <v>40</v>
      </c>
      <c r="N1202" s="4" t="s">
        <v>119</v>
      </c>
      <c r="O1202" s="4">
        <v>9</v>
      </c>
      <c r="P1202" s="7">
        <v>2420</v>
      </c>
      <c r="Q1202" s="8">
        <v>0.15</v>
      </c>
      <c r="R1202" s="7">
        <v>1570</v>
      </c>
      <c r="S1202" s="7">
        <f>Table1_1[[#This Row],[Units Sold]]*Table1_1[[#This Row],[Unit Price]]*(1-Table1_1[[#This Row],[Discount %]])</f>
        <v>18513</v>
      </c>
      <c r="T1202" s="7">
        <f>Table1_1[[#This Row],[Units Sold]]*Table1_1[[#This Row],[Unit Cost]]</f>
        <v>14130</v>
      </c>
      <c r="U1202" s="7">
        <f>Table1_1[[#This Row],[Calculated sales]]-Table1_1[[#This Row],[Total cost]]</f>
        <v>4383</v>
      </c>
      <c r="V1202" s="4">
        <f>IFERROR(Table1_1[[#This Row],[Profit/Loss]]/Table1_1[[#This Row],[Calculated sales]],0)</f>
        <v>0.23675255226057365</v>
      </c>
    </row>
    <row r="1203" spans="1:22" x14ac:dyDescent="0.25">
      <c r="A1203" s="4" t="s">
        <v>1352</v>
      </c>
      <c r="B1203" s="5">
        <v>45905</v>
      </c>
      <c r="C1203" s="4">
        <f>YEAR(Table1_1[[#This Row],[Order Dates]])</f>
        <v>2025</v>
      </c>
      <c r="D1203" s="6">
        <f>MONTH(Table1_1[[#This Row],[Order Dates]])</f>
        <v>9</v>
      </c>
      <c r="E1203" s="4" t="s">
        <v>56</v>
      </c>
      <c r="F1203" s="4" t="s">
        <v>127</v>
      </c>
      <c r="G1203" s="4" t="s">
        <v>91</v>
      </c>
      <c r="H1203" s="4" t="str">
        <f>TRIM(CLEAN(SUBSTITUTE(Table1_1[[#This Row],[Salesperson]],"   "," ")))</f>
        <v>Anjali Menon</v>
      </c>
      <c r="I1203" s="4" t="s">
        <v>19</v>
      </c>
      <c r="J1203" s="4" t="s">
        <v>20</v>
      </c>
      <c r="K1203" s="4" t="s">
        <v>87</v>
      </c>
      <c r="L1203" s="4" t="s">
        <v>1674</v>
      </c>
      <c r="M1203" s="4" t="s">
        <v>23</v>
      </c>
      <c r="N1203" s="4" t="s">
        <v>119</v>
      </c>
      <c r="O1203" s="4">
        <v>4</v>
      </c>
      <c r="P1203" s="7">
        <v>51500</v>
      </c>
      <c r="Q1203" s="8">
        <v>0.1</v>
      </c>
      <c r="R1203" s="7">
        <v>35830</v>
      </c>
      <c r="S1203" s="7">
        <f>Table1_1[[#This Row],[Units Sold]]*Table1_1[[#This Row],[Unit Price]]*(1-Table1_1[[#This Row],[Discount %]])</f>
        <v>185400</v>
      </c>
      <c r="T1203" s="7">
        <f>Table1_1[[#This Row],[Units Sold]]*Table1_1[[#This Row],[Unit Cost]]</f>
        <v>143320</v>
      </c>
      <c r="U1203" s="7">
        <f>Table1_1[[#This Row],[Calculated sales]]-Table1_1[[#This Row],[Total cost]]</f>
        <v>42080</v>
      </c>
      <c r="V1203" s="4">
        <f>IFERROR(Table1_1[[#This Row],[Profit/Loss]]/Table1_1[[#This Row],[Calculated sales]],0)</f>
        <v>0.22696871628910464</v>
      </c>
    </row>
    <row r="1204" spans="1:22" x14ac:dyDescent="0.25">
      <c r="A1204" s="4" t="s">
        <v>1353</v>
      </c>
      <c r="B1204" s="5">
        <v>45906</v>
      </c>
      <c r="C1204" s="4">
        <f>YEAR(Table1_1[[#This Row],[Order Dates]])</f>
        <v>2025</v>
      </c>
      <c r="D1204" s="6">
        <f>MONTH(Table1_1[[#This Row],[Order Dates]])</f>
        <v>9</v>
      </c>
      <c r="E1204" s="4" t="s">
        <v>42</v>
      </c>
      <c r="F1204" s="4" t="s">
        <v>123</v>
      </c>
      <c r="G1204" s="4" t="s">
        <v>44</v>
      </c>
      <c r="H1204" s="4" t="str">
        <f>TRIM(CLEAN(SUBSTITUTE(Table1_1[[#This Row],[Salesperson]],"   "," ")))</f>
        <v>Simran Kaur</v>
      </c>
      <c r="I1204" s="4" t="s">
        <v>52</v>
      </c>
      <c r="J1204" s="4" t="s">
        <v>20</v>
      </c>
      <c r="K1204" s="4" t="s">
        <v>109</v>
      </c>
      <c r="L1204" s="4" t="s">
        <v>1675</v>
      </c>
      <c r="M1204" s="4" t="s">
        <v>40</v>
      </c>
      <c r="N1204" s="4" t="s">
        <v>24</v>
      </c>
      <c r="O1204" s="4">
        <v>3</v>
      </c>
      <c r="P1204" s="7">
        <v>70190</v>
      </c>
      <c r="Q1204" s="8">
        <v>0.18</v>
      </c>
      <c r="R1204" s="7">
        <v>54090</v>
      </c>
      <c r="S1204" s="7">
        <f>Table1_1[[#This Row],[Units Sold]]*Table1_1[[#This Row],[Unit Price]]*(1-Table1_1[[#This Row],[Discount %]])</f>
        <v>172667.40000000002</v>
      </c>
      <c r="T1204" s="7">
        <f>Table1_1[[#This Row],[Units Sold]]*Table1_1[[#This Row],[Unit Cost]]</f>
        <v>162270</v>
      </c>
      <c r="U1204" s="7">
        <f>Table1_1[[#This Row],[Calculated sales]]-Table1_1[[#This Row],[Total cost]]</f>
        <v>10397.400000000023</v>
      </c>
      <c r="V1204" s="4">
        <f>IFERROR(Table1_1[[#This Row],[Profit/Loss]]/Table1_1[[#This Row],[Calculated sales]],0)</f>
        <v>6.0216346571501177E-2</v>
      </c>
    </row>
    <row r="1205" spans="1:22" x14ac:dyDescent="0.25">
      <c r="A1205" s="4" t="s">
        <v>1354</v>
      </c>
      <c r="B1205" s="5">
        <v>45906</v>
      </c>
      <c r="C1205" s="4">
        <f>YEAR(Table1_1[[#This Row],[Order Dates]])</f>
        <v>2025</v>
      </c>
      <c r="D1205" s="6">
        <f>MONTH(Table1_1[[#This Row],[Order Dates]])</f>
        <v>9</v>
      </c>
      <c r="E1205" s="4" t="s">
        <v>76</v>
      </c>
      <c r="F1205" s="4" t="s">
        <v>99</v>
      </c>
      <c r="G1205" s="4" t="s">
        <v>170</v>
      </c>
      <c r="H1205" s="4" t="str">
        <f>TRIM(CLEAN(SUBSTITUTE(Table1_1[[#This Row],[Salesperson]],"   "," ")))</f>
        <v>Manish Tiwari</v>
      </c>
      <c r="I1205" s="4" t="s">
        <v>19</v>
      </c>
      <c r="J1205" s="4" t="s">
        <v>59</v>
      </c>
      <c r="K1205" s="4" t="s">
        <v>154</v>
      </c>
      <c r="L1205" s="4" t="s">
        <v>155</v>
      </c>
      <c r="M1205" s="4" t="s">
        <v>40</v>
      </c>
      <c r="N1205" s="4" t="s">
        <v>24</v>
      </c>
      <c r="O1205" s="4">
        <v>2</v>
      </c>
      <c r="P1205" s="7">
        <v>12510</v>
      </c>
      <c r="Q1205" s="8">
        <v>0.15</v>
      </c>
      <c r="R1205" s="7">
        <v>8020</v>
      </c>
      <c r="S1205" s="7">
        <f>Table1_1[[#This Row],[Units Sold]]*Table1_1[[#This Row],[Unit Price]]*(1-Table1_1[[#This Row],[Discount %]])</f>
        <v>21267</v>
      </c>
      <c r="T1205" s="7">
        <f>Table1_1[[#This Row],[Units Sold]]*Table1_1[[#This Row],[Unit Cost]]</f>
        <v>16040</v>
      </c>
      <c r="U1205" s="7">
        <f>Table1_1[[#This Row],[Calculated sales]]-Table1_1[[#This Row],[Total cost]]</f>
        <v>5227</v>
      </c>
      <c r="V1205" s="4">
        <f>IFERROR(Table1_1[[#This Row],[Profit/Loss]]/Table1_1[[#This Row],[Calculated sales]],0)</f>
        <v>0.24577984671086661</v>
      </c>
    </row>
    <row r="1206" spans="1:22" x14ac:dyDescent="0.25">
      <c r="A1206" s="4" t="s">
        <v>1355</v>
      </c>
      <c r="B1206" s="5">
        <v>45906</v>
      </c>
      <c r="C1206" s="4">
        <f>YEAR(Table1_1[[#This Row],[Order Dates]])</f>
        <v>2025</v>
      </c>
      <c r="D1206" s="6">
        <f>MONTH(Table1_1[[#This Row],[Order Dates]])</f>
        <v>9</v>
      </c>
      <c r="E1206" s="4" t="s">
        <v>16</v>
      </c>
      <c r="F1206" s="4" t="s">
        <v>17</v>
      </c>
      <c r="G1206" s="4" t="s">
        <v>26</v>
      </c>
      <c r="H1206" s="4" t="str">
        <f>TRIM(CLEAN(SUBSTITUTE(Table1_1[[#This Row],[Salesperson]],"   "," ")))</f>
        <v>Prateek Shah</v>
      </c>
      <c r="I1206" s="4" t="s">
        <v>19</v>
      </c>
      <c r="J1206" s="4" t="s">
        <v>20</v>
      </c>
      <c r="K1206" s="4" t="s">
        <v>87</v>
      </c>
      <c r="L1206" s="4" t="s">
        <v>1672</v>
      </c>
      <c r="M1206" s="4" t="s">
        <v>40</v>
      </c>
      <c r="N1206" s="4" t="s">
        <v>24</v>
      </c>
      <c r="O1206" s="4">
        <v>1</v>
      </c>
      <c r="P1206" s="7">
        <v>32130</v>
      </c>
      <c r="Q1206" s="8">
        <v>0.05</v>
      </c>
      <c r="R1206" s="7">
        <v>24100</v>
      </c>
      <c r="S1206" s="7">
        <f>Table1_1[[#This Row],[Units Sold]]*Table1_1[[#This Row],[Unit Price]]*(1-Table1_1[[#This Row],[Discount %]])</f>
        <v>30523.5</v>
      </c>
      <c r="T1206" s="7">
        <f>Table1_1[[#This Row],[Units Sold]]*Table1_1[[#This Row],[Unit Cost]]</f>
        <v>24100</v>
      </c>
      <c r="U1206" s="7">
        <f>Table1_1[[#This Row],[Calculated sales]]-Table1_1[[#This Row],[Total cost]]</f>
        <v>6423.5</v>
      </c>
      <c r="V1206" s="4">
        <f>IFERROR(Table1_1[[#This Row],[Profit/Loss]]/Table1_1[[#This Row],[Calculated sales]],0)</f>
        <v>0.21044441168280179</v>
      </c>
    </row>
    <row r="1207" spans="1:22" x14ac:dyDescent="0.25">
      <c r="A1207" s="4" t="s">
        <v>1356</v>
      </c>
      <c r="B1207" s="5">
        <v>45908</v>
      </c>
      <c r="C1207" s="4">
        <f>YEAR(Table1_1[[#This Row],[Order Dates]])</f>
        <v>2025</v>
      </c>
      <c r="D1207" s="6">
        <f>MONTH(Table1_1[[#This Row],[Order Dates]])</f>
        <v>9</v>
      </c>
      <c r="E1207" s="4" t="s">
        <v>56</v>
      </c>
      <c r="F1207" s="4" t="s">
        <v>143</v>
      </c>
      <c r="G1207" s="4" t="s">
        <v>134</v>
      </c>
      <c r="H1207" s="4" t="str">
        <f>TRIM(CLEAN(SUBSTITUTE(Table1_1[[#This Row],[Salesperson]],"   "," ")))</f>
        <v>Divya Nair</v>
      </c>
      <c r="I1207" s="4" t="s">
        <v>52</v>
      </c>
      <c r="J1207" s="4" t="s">
        <v>46</v>
      </c>
      <c r="K1207" s="4" t="s">
        <v>47</v>
      </c>
      <c r="L1207" s="4" t="s">
        <v>259</v>
      </c>
      <c r="M1207" s="4" t="s">
        <v>23</v>
      </c>
      <c r="N1207" s="4" t="s">
        <v>24</v>
      </c>
      <c r="O1207" s="4">
        <v>16</v>
      </c>
      <c r="P1207" s="7">
        <v>2890</v>
      </c>
      <c r="Q1207" s="8">
        <v>0.08</v>
      </c>
      <c r="R1207" s="7">
        <v>1810</v>
      </c>
      <c r="S1207" s="7">
        <f>Table1_1[[#This Row],[Units Sold]]*Table1_1[[#This Row],[Unit Price]]*(1-Table1_1[[#This Row],[Discount %]])</f>
        <v>42540.800000000003</v>
      </c>
      <c r="T1207" s="7">
        <f>Table1_1[[#This Row],[Units Sold]]*Table1_1[[#This Row],[Unit Cost]]</f>
        <v>28960</v>
      </c>
      <c r="U1207" s="7">
        <f>Table1_1[[#This Row],[Calculated sales]]-Table1_1[[#This Row],[Total cost]]</f>
        <v>13580.800000000003</v>
      </c>
      <c r="V1207" s="4">
        <f>IFERROR(Table1_1[[#This Row],[Profit/Loss]]/Table1_1[[#This Row],[Calculated sales]],0)</f>
        <v>0.31924176320144432</v>
      </c>
    </row>
    <row r="1208" spans="1:22" x14ac:dyDescent="0.25">
      <c r="A1208" s="4" t="s">
        <v>1357</v>
      </c>
      <c r="B1208" s="5">
        <v>45908</v>
      </c>
      <c r="C1208" s="4">
        <f>YEAR(Table1_1[[#This Row],[Order Dates]])</f>
        <v>2025</v>
      </c>
      <c r="D1208" s="6">
        <f>MONTH(Table1_1[[#This Row],[Order Dates]])</f>
        <v>9</v>
      </c>
      <c r="E1208" s="4" t="s">
        <v>16</v>
      </c>
      <c r="F1208" s="4" t="s">
        <v>82</v>
      </c>
      <c r="G1208" s="4" t="s">
        <v>32</v>
      </c>
      <c r="H1208" s="4" t="str">
        <f>TRIM(CLEAN(SUBSTITUTE(Table1_1[[#This Row],[Salesperson]],"   "," ")))</f>
        <v>Neha Deshpande</v>
      </c>
      <c r="I1208" s="4" t="s">
        <v>19</v>
      </c>
      <c r="J1208" s="4" t="s">
        <v>46</v>
      </c>
      <c r="K1208" s="4" t="s">
        <v>100</v>
      </c>
      <c r="L1208" s="4" t="s">
        <v>177</v>
      </c>
      <c r="M1208" s="4" t="s">
        <v>23</v>
      </c>
      <c r="N1208" s="4" t="s">
        <v>24</v>
      </c>
      <c r="O1208" s="4">
        <v>36</v>
      </c>
      <c r="P1208" s="7">
        <v>2530</v>
      </c>
      <c r="Q1208" s="8">
        <v>0.08</v>
      </c>
      <c r="R1208" s="7">
        <v>1650</v>
      </c>
      <c r="S1208" s="7">
        <f>Table1_1[[#This Row],[Units Sold]]*Table1_1[[#This Row],[Unit Price]]*(1-Table1_1[[#This Row],[Discount %]])</f>
        <v>83793.600000000006</v>
      </c>
      <c r="T1208" s="7">
        <f>Table1_1[[#This Row],[Units Sold]]*Table1_1[[#This Row],[Unit Cost]]</f>
        <v>59400</v>
      </c>
      <c r="U1208" s="7">
        <f>Table1_1[[#This Row],[Calculated sales]]-Table1_1[[#This Row],[Total cost]]</f>
        <v>24393.600000000006</v>
      </c>
      <c r="V1208" s="4">
        <f>IFERROR(Table1_1[[#This Row],[Profit/Loss]]/Table1_1[[#This Row],[Calculated sales]],0)</f>
        <v>0.29111531190926282</v>
      </c>
    </row>
    <row r="1209" spans="1:22" x14ac:dyDescent="0.25">
      <c r="A1209" s="4" t="s">
        <v>1358</v>
      </c>
      <c r="B1209" s="5">
        <v>45908</v>
      </c>
      <c r="C1209" s="4">
        <f>YEAR(Table1_1[[#This Row],[Order Dates]])</f>
        <v>2025</v>
      </c>
      <c r="D1209" s="6">
        <f>MONTH(Table1_1[[#This Row],[Order Dates]])</f>
        <v>9</v>
      </c>
      <c r="E1209" s="4" t="s">
        <v>76</v>
      </c>
      <c r="F1209" s="4" t="s">
        <v>150</v>
      </c>
      <c r="G1209" s="4" t="s">
        <v>170</v>
      </c>
      <c r="H1209" s="4" t="str">
        <f>TRIM(CLEAN(SUBSTITUTE(Table1_1[[#This Row],[Salesperson]],"   "," ")))</f>
        <v>Manish Tiwari</v>
      </c>
      <c r="I1209" s="4" t="s">
        <v>52</v>
      </c>
      <c r="J1209" s="4" t="s">
        <v>83</v>
      </c>
      <c r="K1209" s="4" t="s">
        <v>136</v>
      </c>
      <c r="L1209" s="4" t="s">
        <v>137</v>
      </c>
      <c r="M1209" s="4" t="s">
        <v>40</v>
      </c>
      <c r="N1209" s="4" t="s">
        <v>94</v>
      </c>
      <c r="O1209" s="4">
        <v>28</v>
      </c>
      <c r="P1209" s="7">
        <v>1670</v>
      </c>
      <c r="Q1209" s="8">
        <v>0.1</v>
      </c>
      <c r="R1209" s="7">
        <v>1130</v>
      </c>
      <c r="S1209" s="7">
        <f>Table1_1[[#This Row],[Units Sold]]*Table1_1[[#This Row],[Unit Price]]*(1-Table1_1[[#This Row],[Discount %]])</f>
        <v>42084</v>
      </c>
      <c r="T1209" s="7">
        <f>Table1_1[[#This Row],[Units Sold]]*Table1_1[[#This Row],[Unit Cost]]</f>
        <v>31640</v>
      </c>
      <c r="U1209" s="7">
        <f>Table1_1[[#This Row],[Calculated sales]]-Table1_1[[#This Row],[Total cost]]</f>
        <v>10444</v>
      </c>
      <c r="V1209" s="4">
        <f>IFERROR(Table1_1[[#This Row],[Profit/Loss]]/Table1_1[[#This Row],[Calculated sales]],0)</f>
        <v>0.2481703260146374</v>
      </c>
    </row>
    <row r="1210" spans="1:22" x14ac:dyDescent="0.25">
      <c r="A1210" s="4" t="s">
        <v>1359</v>
      </c>
      <c r="B1210" s="5">
        <v>45908</v>
      </c>
      <c r="C1210" s="4">
        <f>YEAR(Table1_1[[#This Row],[Order Dates]])</f>
        <v>2025</v>
      </c>
      <c r="D1210" s="6">
        <f>MONTH(Table1_1[[#This Row],[Order Dates]])</f>
        <v>9</v>
      </c>
      <c r="E1210" s="4" t="s">
        <v>37</v>
      </c>
      <c r="F1210" s="4" t="s">
        <v>115</v>
      </c>
      <c r="G1210" s="4" t="s">
        <v>39</v>
      </c>
      <c r="H1210" s="4" t="str">
        <f>TRIM(CLEAN(SUBSTITUTE(Table1_1[[#This Row],[Salesperson]],"   "," ")))</f>
        <v>Sourav Das</v>
      </c>
      <c r="I1210" s="4" t="s">
        <v>19</v>
      </c>
      <c r="J1210" s="4" t="s">
        <v>20</v>
      </c>
      <c r="K1210" s="4" t="s">
        <v>21</v>
      </c>
      <c r="L1210" s="4" t="s">
        <v>1667</v>
      </c>
      <c r="M1210" s="4" t="s">
        <v>23</v>
      </c>
      <c r="N1210" s="4" t="s">
        <v>24</v>
      </c>
      <c r="O1210" s="4">
        <v>3</v>
      </c>
      <c r="P1210" s="7">
        <v>1840</v>
      </c>
      <c r="Q1210" s="8">
        <v>0.25</v>
      </c>
      <c r="R1210" s="7">
        <v>1320</v>
      </c>
      <c r="S1210" s="7">
        <f>Table1_1[[#This Row],[Units Sold]]*Table1_1[[#This Row],[Unit Price]]*(1-Table1_1[[#This Row],[Discount %]])</f>
        <v>4140</v>
      </c>
      <c r="T1210" s="7">
        <f>Table1_1[[#This Row],[Units Sold]]*Table1_1[[#This Row],[Unit Cost]]</f>
        <v>3960</v>
      </c>
      <c r="U1210" s="7">
        <f>Table1_1[[#This Row],[Calculated sales]]-Table1_1[[#This Row],[Total cost]]</f>
        <v>180</v>
      </c>
      <c r="V1210" s="4">
        <f>IFERROR(Table1_1[[#This Row],[Profit/Loss]]/Table1_1[[#This Row],[Calculated sales]],0)</f>
        <v>4.3478260869565216E-2</v>
      </c>
    </row>
    <row r="1211" spans="1:22" x14ac:dyDescent="0.25">
      <c r="A1211" s="4" t="s">
        <v>1360</v>
      </c>
      <c r="B1211" s="5">
        <v>45909</v>
      </c>
      <c r="C1211" s="4">
        <f>YEAR(Table1_1[[#This Row],[Order Dates]])</f>
        <v>2025</v>
      </c>
      <c r="D1211" s="6">
        <f>MONTH(Table1_1[[#This Row],[Order Dates]])</f>
        <v>9</v>
      </c>
      <c r="E1211" s="4" t="s">
        <v>16</v>
      </c>
      <c r="F1211" s="4" t="s">
        <v>17</v>
      </c>
      <c r="G1211" s="4" t="s">
        <v>18</v>
      </c>
      <c r="H1211" s="4" t="str">
        <f>TRIM(CLEAN(SUBSTITUTE(Table1_1[[#This Row],[Salesperson]],"   "," ")))</f>
        <v>Imran Sheikh</v>
      </c>
      <c r="I1211" s="4" t="s">
        <v>19</v>
      </c>
      <c r="J1211" s="4" t="s">
        <v>59</v>
      </c>
      <c r="K1211" s="4" t="s">
        <v>73</v>
      </c>
      <c r="L1211" s="4" t="s">
        <v>74</v>
      </c>
      <c r="M1211" s="4" t="s">
        <v>40</v>
      </c>
      <c r="N1211" s="4" t="s">
        <v>119</v>
      </c>
      <c r="O1211" s="4">
        <v>2</v>
      </c>
      <c r="P1211" s="7">
        <v>46690</v>
      </c>
      <c r="Q1211" s="8">
        <v>0.1</v>
      </c>
      <c r="R1211" s="7">
        <v>28600</v>
      </c>
      <c r="S1211" s="7">
        <f>Table1_1[[#This Row],[Units Sold]]*Table1_1[[#This Row],[Unit Price]]*(1-Table1_1[[#This Row],[Discount %]])</f>
        <v>84042</v>
      </c>
      <c r="T1211" s="7">
        <f>Table1_1[[#This Row],[Units Sold]]*Table1_1[[#This Row],[Unit Cost]]</f>
        <v>57200</v>
      </c>
      <c r="U1211" s="7">
        <f>Table1_1[[#This Row],[Calculated sales]]-Table1_1[[#This Row],[Total cost]]</f>
        <v>26842</v>
      </c>
      <c r="V1211" s="4">
        <f>IFERROR(Table1_1[[#This Row],[Profit/Loss]]/Table1_1[[#This Row],[Calculated sales]],0)</f>
        <v>0.31938792508507652</v>
      </c>
    </row>
    <row r="1212" spans="1:22" x14ac:dyDescent="0.25">
      <c r="A1212" s="4" t="s">
        <v>1361</v>
      </c>
      <c r="B1212" s="5">
        <v>45909</v>
      </c>
      <c r="C1212" s="4">
        <f>YEAR(Table1_1[[#This Row],[Order Dates]])</f>
        <v>2025</v>
      </c>
      <c r="D1212" s="6">
        <f>MONTH(Table1_1[[#This Row],[Order Dates]])</f>
        <v>9</v>
      </c>
      <c r="E1212" s="4" t="s">
        <v>16</v>
      </c>
      <c r="F1212" s="4" t="s">
        <v>191</v>
      </c>
      <c r="G1212" s="4" t="s">
        <v>18</v>
      </c>
      <c r="H1212" s="4" t="str">
        <f>TRIM(CLEAN(SUBSTITUTE(Table1_1[[#This Row],[Salesperson]],"   "," ")))</f>
        <v>Imran Sheikh</v>
      </c>
      <c r="I1212" s="4" t="s">
        <v>45</v>
      </c>
      <c r="J1212" s="4" t="s">
        <v>46</v>
      </c>
      <c r="K1212" s="4" t="s">
        <v>100</v>
      </c>
      <c r="L1212" s="4" t="s">
        <v>177</v>
      </c>
      <c r="M1212" s="4" t="s">
        <v>23</v>
      </c>
      <c r="N1212" s="4" t="s">
        <v>24</v>
      </c>
      <c r="O1212" s="4">
        <v>22</v>
      </c>
      <c r="P1212" s="7">
        <v>2520</v>
      </c>
      <c r="Q1212" s="8">
        <v>0.2</v>
      </c>
      <c r="R1212" s="7">
        <v>1580</v>
      </c>
      <c r="S1212" s="7">
        <f>Table1_1[[#This Row],[Units Sold]]*Table1_1[[#This Row],[Unit Price]]*(1-Table1_1[[#This Row],[Discount %]])</f>
        <v>44352</v>
      </c>
      <c r="T1212" s="7">
        <f>Table1_1[[#This Row],[Units Sold]]*Table1_1[[#This Row],[Unit Cost]]</f>
        <v>34760</v>
      </c>
      <c r="U1212" s="7">
        <f>Table1_1[[#This Row],[Calculated sales]]-Table1_1[[#This Row],[Total cost]]</f>
        <v>9592</v>
      </c>
      <c r="V1212" s="4">
        <f>IFERROR(Table1_1[[#This Row],[Profit/Loss]]/Table1_1[[#This Row],[Calculated sales]],0)</f>
        <v>0.21626984126984128</v>
      </c>
    </row>
    <row r="1213" spans="1:22" x14ac:dyDescent="0.25">
      <c r="A1213" s="4" t="s">
        <v>1362</v>
      </c>
      <c r="B1213" s="5">
        <v>45909</v>
      </c>
      <c r="C1213" s="4">
        <f>YEAR(Table1_1[[#This Row],[Order Dates]])</f>
        <v>2025</v>
      </c>
      <c r="D1213" s="6">
        <f>MONTH(Table1_1[[#This Row],[Order Dates]])</f>
        <v>9</v>
      </c>
      <c r="E1213" s="4" t="s">
        <v>42</v>
      </c>
      <c r="F1213" s="4" t="s">
        <v>123</v>
      </c>
      <c r="G1213" s="4" t="s">
        <v>97</v>
      </c>
      <c r="H1213" s="4" t="str">
        <f>TRIM(CLEAN(SUBSTITUTE(Table1_1[[#This Row],[Salesperson]],"   "," ")))</f>
        <v>Rohit Malhotra</v>
      </c>
      <c r="I1213" s="4" t="s">
        <v>52</v>
      </c>
      <c r="J1213" s="4" t="s">
        <v>46</v>
      </c>
      <c r="K1213" s="4" t="s">
        <v>47</v>
      </c>
      <c r="L1213" s="4" t="s">
        <v>48</v>
      </c>
      <c r="M1213" s="4" t="s">
        <v>23</v>
      </c>
      <c r="N1213" s="4" t="s">
        <v>24</v>
      </c>
      <c r="O1213" s="4">
        <v>29</v>
      </c>
      <c r="P1213" s="7">
        <v>1740</v>
      </c>
      <c r="Q1213" s="8">
        <v>0</v>
      </c>
      <c r="R1213" s="7">
        <v>1330</v>
      </c>
      <c r="S1213" s="7">
        <f>Table1_1[[#This Row],[Units Sold]]*Table1_1[[#This Row],[Unit Price]]*(1-Table1_1[[#This Row],[Discount %]])</f>
        <v>50460</v>
      </c>
      <c r="T1213" s="7">
        <f>Table1_1[[#This Row],[Units Sold]]*Table1_1[[#This Row],[Unit Cost]]</f>
        <v>38570</v>
      </c>
      <c r="U1213" s="7">
        <f>Table1_1[[#This Row],[Calculated sales]]-Table1_1[[#This Row],[Total cost]]</f>
        <v>11890</v>
      </c>
      <c r="V1213" s="4">
        <f>IFERROR(Table1_1[[#This Row],[Profit/Loss]]/Table1_1[[#This Row],[Calculated sales]],0)</f>
        <v>0.23563218390804597</v>
      </c>
    </row>
    <row r="1214" spans="1:22" x14ac:dyDescent="0.25">
      <c r="A1214" s="4" t="s">
        <v>1363</v>
      </c>
      <c r="B1214" s="5">
        <v>45909</v>
      </c>
      <c r="C1214" s="4">
        <f>YEAR(Table1_1[[#This Row],[Order Dates]])</f>
        <v>2025</v>
      </c>
      <c r="D1214" s="6">
        <f>MONTH(Table1_1[[#This Row],[Order Dates]])</f>
        <v>9</v>
      </c>
      <c r="E1214" s="4" t="s">
        <v>16</v>
      </c>
      <c r="F1214" s="4" t="s">
        <v>153</v>
      </c>
      <c r="G1214" s="4" t="s">
        <v>26</v>
      </c>
      <c r="H1214" s="4" t="str">
        <f>TRIM(CLEAN(SUBSTITUTE(Table1_1[[#This Row],[Salesperson]],"   "," ")))</f>
        <v>Prateek Shah</v>
      </c>
      <c r="I1214" s="4" t="s">
        <v>19</v>
      </c>
      <c r="J1214" s="4" t="s">
        <v>20</v>
      </c>
      <c r="K1214" s="4" t="s">
        <v>87</v>
      </c>
      <c r="L1214" s="4" t="s">
        <v>1672</v>
      </c>
      <c r="M1214" s="4" t="s">
        <v>23</v>
      </c>
      <c r="N1214" s="4" t="s">
        <v>24</v>
      </c>
      <c r="O1214" s="4">
        <v>2</v>
      </c>
      <c r="P1214" s="7">
        <v>33520</v>
      </c>
      <c r="Q1214" s="8">
        <v>0.08</v>
      </c>
      <c r="R1214" s="7">
        <v>24140</v>
      </c>
      <c r="S1214" s="7">
        <f>Table1_1[[#This Row],[Units Sold]]*Table1_1[[#This Row],[Unit Price]]*(1-Table1_1[[#This Row],[Discount %]])</f>
        <v>61676.800000000003</v>
      </c>
      <c r="T1214" s="7">
        <f>Table1_1[[#This Row],[Units Sold]]*Table1_1[[#This Row],[Unit Cost]]</f>
        <v>48280</v>
      </c>
      <c r="U1214" s="7">
        <f>Table1_1[[#This Row],[Calculated sales]]-Table1_1[[#This Row],[Total cost]]</f>
        <v>13396.800000000003</v>
      </c>
      <c r="V1214" s="4">
        <f>IFERROR(Table1_1[[#This Row],[Profit/Loss]]/Table1_1[[#This Row],[Calculated sales]],0)</f>
        <v>0.21720971256615132</v>
      </c>
    </row>
    <row r="1215" spans="1:22" x14ac:dyDescent="0.25">
      <c r="A1215" s="4" t="s">
        <v>1364</v>
      </c>
      <c r="B1215" s="5">
        <v>45910</v>
      </c>
      <c r="C1215" s="4">
        <f>YEAR(Table1_1[[#This Row],[Order Dates]])</f>
        <v>2025</v>
      </c>
      <c r="D1215" s="6">
        <f>MONTH(Table1_1[[#This Row],[Order Dates]])</f>
        <v>9</v>
      </c>
      <c r="E1215" s="4" t="s">
        <v>42</v>
      </c>
      <c r="F1215" s="4" t="s">
        <v>130</v>
      </c>
      <c r="G1215" s="4" t="s">
        <v>97</v>
      </c>
      <c r="H1215" s="4" t="str">
        <f>TRIM(CLEAN(SUBSTITUTE(Table1_1[[#This Row],[Salesperson]],"   "," ")))</f>
        <v>Rohit Malhotra</v>
      </c>
      <c r="I1215" s="4" t="s">
        <v>19</v>
      </c>
      <c r="J1215" s="4" t="s">
        <v>59</v>
      </c>
      <c r="K1215" s="4" t="s">
        <v>60</v>
      </c>
      <c r="L1215" s="4" t="s">
        <v>200</v>
      </c>
      <c r="M1215" s="4" t="s">
        <v>23</v>
      </c>
      <c r="N1215" s="4" t="s">
        <v>24</v>
      </c>
      <c r="O1215" s="4">
        <v>4</v>
      </c>
      <c r="P1215" s="7">
        <v>8170</v>
      </c>
      <c r="Q1215" s="8">
        <v>0.1</v>
      </c>
      <c r="R1215" s="7">
        <v>5670</v>
      </c>
      <c r="S1215" s="7">
        <f>Table1_1[[#This Row],[Units Sold]]*Table1_1[[#This Row],[Unit Price]]*(1-Table1_1[[#This Row],[Discount %]])</f>
        <v>29412</v>
      </c>
      <c r="T1215" s="7">
        <f>Table1_1[[#This Row],[Units Sold]]*Table1_1[[#This Row],[Unit Cost]]</f>
        <v>22680</v>
      </c>
      <c r="U1215" s="7">
        <f>Table1_1[[#This Row],[Calculated sales]]-Table1_1[[#This Row],[Total cost]]</f>
        <v>6732</v>
      </c>
      <c r="V1215" s="4">
        <f>IFERROR(Table1_1[[#This Row],[Profit/Loss]]/Table1_1[[#This Row],[Calculated sales]],0)</f>
        <v>0.22888616891064872</v>
      </c>
    </row>
    <row r="1216" spans="1:22" x14ac:dyDescent="0.25">
      <c r="A1216" s="4" t="s">
        <v>1365</v>
      </c>
      <c r="B1216" s="5">
        <v>45910</v>
      </c>
      <c r="C1216" s="4">
        <f>YEAR(Table1_1[[#This Row],[Order Dates]])</f>
        <v>2025</v>
      </c>
      <c r="D1216" s="6">
        <f>MONTH(Table1_1[[#This Row],[Order Dates]])</f>
        <v>9</v>
      </c>
      <c r="E1216" s="4" t="s">
        <v>76</v>
      </c>
      <c r="F1216" s="4" t="s">
        <v>125</v>
      </c>
      <c r="G1216" s="4" t="s">
        <v>170</v>
      </c>
      <c r="H1216" s="4" t="str">
        <f>TRIM(CLEAN(SUBSTITUTE(Table1_1[[#This Row],[Salesperson]],"   "," ")))</f>
        <v>Manish Tiwari</v>
      </c>
      <c r="I1216" s="4" t="s">
        <v>52</v>
      </c>
      <c r="J1216" s="4" t="s">
        <v>20</v>
      </c>
      <c r="K1216" s="4" t="s">
        <v>21</v>
      </c>
      <c r="L1216" s="4" t="s">
        <v>1670</v>
      </c>
      <c r="M1216" s="4" t="s">
        <v>40</v>
      </c>
      <c r="N1216" s="4" t="s">
        <v>24</v>
      </c>
      <c r="O1216" s="4">
        <v>8</v>
      </c>
      <c r="P1216" s="7">
        <v>8270</v>
      </c>
      <c r="Q1216" s="8">
        <v>0</v>
      </c>
      <c r="R1216" s="7">
        <v>5510</v>
      </c>
      <c r="S1216" s="7">
        <f>Table1_1[[#This Row],[Units Sold]]*Table1_1[[#This Row],[Unit Price]]*(1-Table1_1[[#This Row],[Discount %]])</f>
        <v>66160</v>
      </c>
      <c r="T1216" s="7">
        <f>Table1_1[[#This Row],[Units Sold]]*Table1_1[[#This Row],[Unit Cost]]</f>
        <v>44080</v>
      </c>
      <c r="U1216" s="7">
        <f>Table1_1[[#This Row],[Calculated sales]]-Table1_1[[#This Row],[Total cost]]</f>
        <v>22080</v>
      </c>
      <c r="V1216" s="4">
        <f>IFERROR(Table1_1[[#This Row],[Profit/Loss]]/Table1_1[[#This Row],[Calculated sales]],0)</f>
        <v>0.33373639661426846</v>
      </c>
    </row>
    <row r="1217" spans="1:22" x14ac:dyDescent="0.25">
      <c r="A1217" s="4" t="s">
        <v>1366</v>
      </c>
      <c r="B1217" s="5">
        <v>45910</v>
      </c>
      <c r="C1217" s="4">
        <f>YEAR(Table1_1[[#This Row],[Order Dates]])</f>
        <v>2025</v>
      </c>
      <c r="D1217" s="6">
        <f>MONTH(Table1_1[[#This Row],[Order Dates]])</f>
        <v>9</v>
      </c>
      <c r="E1217" s="4" t="s">
        <v>42</v>
      </c>
      <c r="F1217" s="4" t="s">
        <v>146</v>
      </c>
      <c r="G1217" s="4" t="s">
        <v>44</v>
      </c>
      <c r="H1217" s="4" t="str">
        <f>TRIM(CLEAN(SUBSTITUTE(Table1_1[[#This Row],[Salesperson]],"   "," ")))</f>
        <v>Simran Kaur</v>
      </c>
      <c r="I1217" s="4" t="s">
        <v>92</v>
      </c>
      <c r="J1217" s="4" t="s">
        <v>46</v>
      </c>
      <c r="K1217" s="4" t="s">
        <v>179</v>
      </c>
      <c r="L1217" s="4" t="s">
        <v>221</v>
      </c>
      <c r="M1217" s="4" t="s">
        <v>40</v>
      </c>
      <c r="N1217" s="4" t="s">
        <v>119</v>
      </c>
      <c r="O1217" s="4">
        <v>37</v>
      </c>
      <c r="P1217" s="7">
        <v>1610</v>
      </c>
      <c r="Q1217" s="8">
        <v>0.08</v>
      </c>
      <c r="R1217" s="7">
        <v>960</v>
      </c>
      <c r="S1217" s="7">
        <f>Table1_1[[#This Row],[Units Sold]]*Table1_1[[#This Row],[Unit Price]]*(1-Table1_1[[#This Row],[Discount %]])</f>
        <v>54804.4</v>
      </c>
      <c r="T1217" s="7">
        <f>Table1_1[[#This Row],[Units Sold]]*Table1_1[[#This Row],[Unit Cost]]</f>
        <v>35520</v>
      </c>
      <c r="U1217" s="7">
        <f>Table1_1[[#This Row],[Calculated sales]]-Table1_1[[#This Row],[Total cost]]</f>
        <v>19284.400000000001</v>
      </c>
      <c r="V1217" s="4">
        <f>IFERROR(Table1_1[[#This Row],[Profit/Loss]]/Table1_1[[#This Row],[Calculated sales]],0)</f>
        <v>0.35187685660275453</v>
      </c>
    </row>
    <row r="1218" spans="1:22" x14ac:dyDescent="0.25">
      <c r="A1218" s="4" t="s">
        <v>1367</v>
      </c>
      <c r="B1218" s="5">
        <v>45911</v>
      </c>
      <c r="C1218" s="4">
        <f>YEAR(Table1_1[[#This Row],[Order Dates]])</f>
        <v>2025</v>
      </c>
      <c r="D1218" s="6">
        <f>MONTH(Table1_1[[#This Row],[Order Dates]])</f>
        <v>9</v>
      </c>
      <c r="E1218" s="4" t="s">
        <v>42</v>
      </c>
      <c r="F1218" s="4" t="s">
        <v>265</v>
      </c>
      <c r="G1218" s="4" t="s">
        <v>97</v>
      </c>
      <c r="H1218" s="4" t="str">
        <f>TRIM(CLEAN(SUBSTITUTE(Table1_1[[#This Row],[Salesperson]],"   "," ")))</f>
        <v>Rohit Malhotra</v>
      </c>
      <c r="I1218" s="4" t="s">
        <v>19</v>
      </c>
      <c r="J1218" s="4" t="s">
        <v>20</v>
      </c>
      <c r="K1218" s="4" t="s">
        <v>21</v>
      </c>
      <c r="L1218" s="4" t="s">
        <v>1670</v>
      </c>
      <c r="M1218" s="4" t="s">
        <v>49</v>
      </c>
      <c r="N1218" s="4" t="s">
        <v>24</v>
      </c>
      <c r="O1218" s="4">
        <v>4</v>
      </c>
      <c r="P1218" s="7">
        <v>8350</v>
      </c>
      <c r="Q1218" s="8">
        <v>0.05</v>
      </c>
      <c r="R1218" s="7">
        <v>6360</v>
      </c>
      <c r="S1218" s="7">
        <f>Table1_1[[#This Row],[Units Sold]]*Table1_1[[#This Row],[Unit Price]]*(1-Table1_1[[#This Row],[Discount %]])</f>
        <v>31730</v>
      </c>
      <c r="T1218" s="7">
        <f>Table1_1[[#This Row],[Units Sold]]*Table1_1[[#This Row],[Unit Cost]]</f>
        <v>25440</v>
      </c>
      <c r="U1218" s="7">
        <f>Table1_1[[#This Row],[Calculated sales]]-Table1_1[[#This Row],[Total cost]]</f>
        <v>6290</v>
      </c>
      <c r="V1218" s="4">
        <f>IFERROR(Table1_1[[#This Row],[Profit/Loss]]/Table1_1[[#This Row],[Calculated sales]],0)</f>
        <v>0.1982351087299086</v>
      </c>
    </row>
    <row r="1219" spans="1:22" x14ac:dyDescent="0.25">
      <c r="A1219" s="4" t="s">
        <v>1368</v>
      </c>
      <c r="B1219" s="5">
        <v>45911</v>
      </c>
      <c r="C1219" s="4">
        <f>YEAR(Table1_1[[#This Row],[Order Dates]])</f>
        <v>2025</v>
      </c>
      <c r="D1219" s="6">
        <f>MONTH(Table1_1[[#This Row],[Order Dates]])</f>
        <v>9</v>
      </c>
      <c r="E1219" s="4" t="s">
        <v>42</v>
      </c>
      <c r="F1219" s="4" t="s">
        <v>43</v>
      </c>
      <c r="G1219" s="4" t="s">
        <v>64</v>
      </c>
      <c r="H1219" s="4" t="str">
        <f>TRIM(CLEAN(SUBSTITUTE(Table1_1[[#This Row],[Salesperson]],"   "," ")))</f>
        <v>Aditya Verma</v>
      </c>
      <c r="I1219" s="4" t="s">
        <v>92</v>
      </c>
      <c r="J1219" s="4" t="s">
        <v>83</v>
      </c>
      <c r="K1219" s="4" t="s">
        <v>84</v>
      </c>
      <c r="L1219" s="4" t="s">
        <v>292</v>
      </c>
      <c r="M1219" s="4" t="s">
        <v>49</v>
      </c>
      <c r="N1219" s="4" t="s">
        <v>24</v>
      </c>
      <c r="O1219" s="4">
        <v>3</v>
      </c>
      <c r="P1219" s="7">
        <v>41810</v>
      </c>
      <c r="Q1219" s="8">
        <v>0</v>
      </c>
      <c r="R1219" s="7">
        <v>30330</v>
      </c>
      <c r="S1219" s="7">
        <f>Table1_1[[#This Row],[Units Sold]]*Table1_1[[#This Row],[Unit Price]]*(1-Table1_1[[#This Row],[Discount %]])</f>
        <v>125430</v>
      </c>
      <c r="T1219" s="7">
        <f>Table1_1[[#This Row],[Units Sold]]*Table1_1[[#This Row],[Unit Cost]]</f>
        <v>90990</v>
      </c>
      <c r="U1219" s="7">
        <f>Table1_1[[#This Row],[Calculated sales]]-Table1_1[[#This Row],[Total cost]]</f>
        <v>34440</v>
      </c>
      <c r="V1219" s="4">
        <f>IFERROR(Table1_1[[#This Row],[Profit/Loss]]/Table1_1[[#This Row],[Calculated sales]],0)</f>
        <v>0.27457546041616837</v>
      </c>
    </row>
    <row r="1220" spans="1:22" x14ac:dyDescent="0.25">
      <c r="A1220" s="4" t="s">
        <v>1369</v>
      </c>
      <c r="B1220" s="5">
        <v>45911</v>
      </c>
      <c r="C1220" s="4">
        <f>YEAR(Table1_1[[#This Row],[Order Dates]])</f>
        <v>2025</v>
      </c>
      <c r="D1220" s="6">
        <f>MONTH(Table1_1[[#This Row],[Order Dates]])</f>
        <v>9</v>
      </c>
      <c r="E1220" s="4" t="s">
        <v>42</v>
      </c>
      <c r="F1220" s="4" t="s">
        <v>130</v>
      </c>
      <c r="G1220" s="4" t="s">
        <v>64</v>
      </c>
      <c r="H1220" s="4" t="str">
        <f>TRIM(CLEAN(SUBSTITUTE(Table1_1[[#This Row],[Salesperson]],"   "," ")))</f>
        <v>Aditya Verma</v>
      </c>
      <c r="I1220" s="4" t="s">
        <v>52</v>
      </c>
      <c r="J1220" s="4" t="s">
        <v>20</v>
      </c>
      <c r="K1220" s="4" t="s">
        <v>21</v>
      </c>
      <c r="L1220" s="4" t="s">
        <v>1670</v>
      </c>
      <c r="M1220" s="4" t="s">
        <v>23</v>
      </c>
      <c r="N1220" s="4" t="s">
        <v>24</v>
      </c>
      <c r="O1220" s="4">
        <v>14</v>
      </c>
      <c r="P1220" s="7">
        <v>8350</v>
      </c>
      <c r="Q1220" s="8">
        <v>0</v>
      </c>
      <c r="R1220" s="7">
        <v>5470</v>
      </c>
      <c r="S1220" s="7">
        <f>Table1_1[[#This Row],[Units Sold]]*Table1_1[[#This Row],[Unit Price]]*(1-Table1_1[[#This Row],[Discount %]])</f>
        <v>116900</v>
      </c>
      <c r="T1220" s="7">
        <f>Table1_1[[#This Row],[Units Sold]]*Table1_1[[#This Row],[Unit Cost]]</f>
        <v>76580</v>
      </c>
      <c r="U1220" s="7">
        <f>Table1_1[[#This Row],[Calculated sales]]-Table1_1[[#This Row],[Total cost]]</f>
        <v>40320</v>
      </c>
      <c r="V1220" s="4">
        <f>IFERROR(Table1_1[[#This Row],[Profit/Loss]]/Table1_1[[#This Row],[Calculated sales]],0)</f>
        <v>0.34491017964071857</v>
      </c>
    </row>
    <row r="1221" spans="1:22" x14ac:dyDescent="0.25">
      <c r="A1221" s="4" t="s">
        <v>1370</v>
      </c>
      <c r="B1221" s="5">
        <v>45911</v>
      </c>
      <c r="C1221" s="4">
        <f>YEAR(Table1_1[[#This Row],[Order Dates]])</f>
        <v>2025</v>
      </c>
      <c r="D1221" s="6">
        <f>MONTH(Table1_1[[#This Row],[Order Dates]])</f>
        <v>9</v>
      </c>
      <c r="E1221" s="4" t="s">
        <v>76</v>
      </c>
      <c r="F1221" s="4" t="s">
        <v>125</v>
      </c>
      <c r="G1221" s="4" t="s">
        <v>170</v>
      </c>
      <c r="H1221" s="4" t="str">
        <f>TRIM(CLEAN(SUBSTITUTE(Table1_1[[#This Row],[Salesperson]],"   "," ")))</f>
        <v>Manish Tiwari</v>
      </c>
      <c r="I1221" s="4" t="s">
        <v>45</v>
      </c>
      <c r="J1221" s="4" t="s">
        <v>46</v>
      </c>
      <c r="K1221" s="4" t="s">
        <v>100</v>
      </c>
      <c r="L1221" s="4" t="s">
        <v>101</v>
      </c>
      <c r="M1221" s="4" t="s">
        <v>23</v>
      </c>
      <c r="N1221" s="4" t="s">
        <v>24</v>
      </c>
      <c r="O1221" s="4">
        <v>44</v>
      </c>
      <c r="P1221" s="7">
        <v>2010</v>
      </c>
      <c r="Q1221" s="8">
        <v>0.1</v>
      </c>
      <c r="R1221" s="7">
        <v>1450</v>
      </c>
      <c r="S1221" s="7">
        <f>Table1_1[[#This Row],[Units Sold]]*Table1_1[[#This Row],[Unit Price]]*(1-Table1_1[[#This Row],[Discount %]])</f>
        <v>79596</v>
      </c>
      <c r="T1221" s="7">
        <f>Table1_1[[#This Row],[Units Sold]]*Table1_1[[#This Row],[Unit Cost]]</f>
        <v>63800</v>
      </c>
      <c r="U1221" s="7">
        <f>Table1_1[[#This Row],[Calculated sales]]-Table1_1[[#This Row],[Total cost]]</f>
        <v>15796</v>
      </c>
      <c r="V1221" s="4">
        <f>IFERROR(Table1_1[[#This Row],[Profit/Loss]]/Table1_1[[#This Row],[Calculated sales]],0)</f>
        <v>0.19845218352681041</v>
      </c>
    </row>
    <row r="1222" spans="1:22" x14ac:dyDescent="0.25">
      <c r="A1222" s="4" t="s">
        <v>1371</v>
      </c>
      <c r="B1222" s="5">
        <v>45912</v>
      </c>
      <c r="C1222" s="4">
        <f>YEAR(Table1_1[[#This Row],[Order Dates]])</f>
        <v>2025</v>
      </c>
      <c r="D1222" s="6">
        <f>MONTH(Table1_1[[#This Row],[Order Dates]])</f>
        <v>9</v>
      </c>
      <c r="E1222" s="4" t="s">
        <v>56</v>
      </c>
      <c r="F1222" s="4" t="s">
        <v>127</v>
      </c>
      <c r="G1222" s="4" t="s">
        <v>134</v>
      </c>
      <c r="H1222" s="4" t="str">
        <f>TRIM(CLEAN(SUBSTITUTE(Table1_1[[#This Row],[Salesperson]],"   "," ")))</f>
        <v>Divya Nair</v>
      </c>
      <c r="I1222" s="4" t="s">
        <v>52</v>
      </c>
      <c r="J1222" s="4" t="s">
        <v>46</v>
      </c>
      <c r="K1222" s="4" t="s">
        <v>47</v>
      </c>
      <c r="L1222" s="4" t="s">
        <v>259</v>
      </c>
      <c r="M1222" s="4" t="s">
        <v>40</v>
      </c>
      <c r="N1222" s="4" t="s">
        <v>24</v>
      </c>
      <c r="O1222" s="4">
        <v>36</v>
      </c>
      <c r="P1222" s="7">
        <v>2720</v>
      </c>
      <c r="Q1222" s="8">
        <v>0.25</v>
      </c>
      <c r="R1222" s="7">
        <v>1950</v>
      </c>
      <c r="S1222" s="7">
        <f>Table1_1[[#This Row],[Units Sold]]*Table1_1[[#This Row],[Unit Price]]*(1-Table1_1[[#This Row],[Discount %]])</f>
        <v>73440</v>
      </c>
      <c r="T1222" s="7">
        <f>Table1_1[[#This Row],[Units Sold]]*Table1_1[[#This Row],[Unit Cost]]</f>
        <v>70200</v>
      </c>
      <c r="U1222" s="7">
        <f>Table1_1[[#This Row],[Calculated sales]]-Table1_1[[#This Row],[Total cost]]</f>
        <v>3240</v>
      </c>
      <c r="V1222" s="4">
        <f>IFERROR(Table1_1[[#This Row],[Profit/Loss]]/Table1_1[[#This Row],[Calculated sales]],0)</f>
        <v>4.4117647058823532E-2</v>
      </c>
    </row>
    <row r="1223" spans="1:22" x14ac:dyDescent="0.25">
      <c r="A1223" s="4" t="s">
        <v>1372</v>
      </c>
      <c r="B1223" s="5">
        <v>45914</v>
      </c>
      <c r="C1223" s="4">
        <f>YEAR(Table1_1[[#This Row],[Order Dates]])</f>
        <v>2025</v>
      </c>
      <c r="D1223" s="6">
        <f>MONTH(Table1_1[[#This Row],[Order Dates]])</f>
        <v>9</v>
      </c>
      <c r="E1223" s="4" t="s">
        <v>56</v>
      </c>
      <c r="F1223" s="4" t="s">
        <v>127</v>
      </c>
      <c r="G1223" s="4" t="s">
        <v>58</v>
      </c>
      <c r="H1223" s="4" t="str">
        <f>TRIM(CLEAN(SUBSTITUTE(Table1_1[[#This Row],[Salesperson]],"   "," ")))</f>
        <v>Karthik Raman</v>
      </c>
      <c r="I1223" s="4" t="s">
        <v>19</v>
      </c>
      <c r="J1223" s="4" t="s">
        <v>59</v>
      </c>
      <c r="K1223" s="4" t="s">
        <v>69</v>
      </c>
      <c r="L1223" s="4" t="s">
        <v>70</v>
      </c>
      <c r="M1223" s="4" t="s">
        <v>40</v>
      </c>
      <c r="N1223" s="4" t="s">
        <v>119</v>
      </c>
      <c r="O1223" s="4">
        <v>5</v>
      </c>
      <c r="P1223" s="7">
        <v>26610</v>
      </c>
      <c r="Q1223" s="8">
        <v>0.1</v>
      </c>
      <c r="R1223" s="7">
        <v>17530</v>
      </c>
      <c r="S1223" s="7">
        <f>Table1_1[[#This Row],[Units Sold]]*Table1_1[[#This Row],[Unit Price]]*(1-Table1_1[[#This Row],[Discount %]])</f>
        <v>119745</v>
      </c>
      <c r="T1223" s="7">
        <f>Table1_1[[#This Row],[Units Sold]]*Table1_1[[#This Row],[Unit Cost]]</f>
        <v>87650</v>
      </c>
      <c r="U1223" s="7">
        <f>Table1_1[[#This Row],[Calculated sales]]-Table1_1[[#This Row],[Total cost]]</f>
        <v>32095</v>
      </c>
      <c r="V1223" s="4">
        <f>IFERROR(Table1_1[[#This Row],[Profit/Loss]]/Table1_1[[#This Row],[Calculated sales]],0)</f>
        <v>0.26802789260511922</v>
      </c>
    </row>
    <row r="1224" spans="1:22" x14ac:dyDescent="0.25">
      <c r="A1224" s="4" t="s">
        <v>1373</v>
      </c>
      <c r="B1224" s="5">
        <v>45915</v>
      </c>
      <c r="C1224" s="4">
        <f>YEAR(Table1_1[[#This Row],[Order Dates]])</f>
        <v>2025</v>
      </c>
      <c r="D1224" s="6">
        <f>MONTH(Table1_1[[#This Row],[Order Dates]])</f>
        <v>9</v>
      </c>
      <c r="E1224" s="4" t="s">
        <v>76</v>
      </c>
      <c r="F1224" s="4" t="s">
        <v>217</v>
      </c>
      <c r="G1224" s="4" t="s">
        <v>78</v>
      </c>
      <c r="H1224" s="4" t="str">
        <f>TRIM(CLEAN(SUBSTITUTE(Table1_1[[#This Row],[Salesperson]],"   "," ")))</f>
        <v>Pooja Chouhan</v>
      </c>
      <c r="I1224" s="4" t="s">
        <v>45</v>
      </c>
      <c r="J1224" s="4" t="s">
        <v>20</v>
      </c>
      <c r="K1224" s="4" t="s">
        <v>33</v>
      </c>
      <c r="L1224" s="4" t="s">
        <v>1677</v>
      </c>
      <c r="M1224" s="4" t="s">
        <v>23</v>
      </c>
      <c r="N1224" s="4" t="s">
        <v>24</v>
      </c>
      <c r="O1224" s="4">
        <v>4</v>
      </c>
      <c r="P1224" s="7">
        <v>66900</v>
      </c>
      <c r="Q1224" s="8">
        <v>0.15</v>
      </c>
      <c r="R1224" s="7">
        <v>39210</v>
      </c>
      <c r="S1224" s="7">
        <f>Table1_1[[#This Row],[Units Sold]]*Table1_1[[#This Row],[Unit Price]]*(1-Table1_1[[#This Row],[Discount %]])</f>
        <v>227460</v>
      </c>
      <c r="T1224" s="7">
        <f>Table1_1[[#This Row],[Units Sold]]*Table1_1[[#This Row],[Unit Cost]]</f>
        <v>156840</v>
      </c>
      <c r="U1224" s="7">
        <f>Table1_1[[#This Row],[Calculated sales]]-Table1_1[[#This Row],[Total cost]]</f>
        <v>70620</v>
      </c>
      <c r="V1224" s="4">
        <f>IFERROR(Table1_1[[#This Row],[Profit/Loss]]/Table1_1[[#This Row],[Calculated sales]],0)</f>
        <v>0.31047217093115276</v>
      </c>
    </row>
    <row r="1225" spans="1:22" x14ac:dyDescent="0.25">
      <c r="A1225" s="4" t="s">
        <v>1374</v>
      </c>
      <c r="B1225" s="5">
        <v>45915</v>
      </c>
      <c r="C1225" s="4">
        <f>YEAR(Table1_1[[#This Row],[Order Dates]])</f>
        <v>2025</v>
      </c>
      <c r="D1225" s="6">
        <f>MONTH(Table1_1[[#This Row],[Order Dates]])</f>
        <v>9</v>
      </c>
      <c r="E1225" s="4" t="s">
        <v>16</v>
      </c>
      <c r="F1225" s="4" t="s">
        <v>51</v>
      </c>
      <c r="G1225" s="4" t="s">
        <v>26</v>
      </c>
      <c r="H1225" s="4" t="str">
        <f>TRIM(CLEAN(SUBSTITUTE(Table1_1[[#This Row],[Salesperson]],"   "," ")))</f>
        <v>Prateek Shah</v>
      </c>
      <c r="I1225" s="4" t="s">
        <v>45</v>
      </c>
      <c r="J1225" s="4" t="s">
        <v>46</v>
      </c>
      <c r="K1225" s="4" t="s">
        <v>179</v>
      </c>
      <c r="L1225" s="4" t="s">
        <v>236</v>
      </c>
      <c r="M1225" s="4" t="s">
        <v>23</v>
      </c>
      <c r="N1225" s="4" t="s">
        <v>24</v>
      </c>
      <c r="O1225" s="4">
        <v>45</v>
      </c>
      <c r="P1225" s="7">
        <v>2340</v>
      </c>
      <c r="Q1225" s="8">
        <v>0.18</v>
      </c>
      <c r="R1225" s="7">
        <v>1620</v>
      </c>
      <c r="S1225" s="7">
        <f>Table1_1[[#This Row],[Units Sold]]*Table1_1[[#This Row],[Unit Price]]*(1-Table1_1[[#This Row],[Discount %]])</f>
        <v>86346</v>
      </c>
      <c r="T1225" s="7">
        <f>Table1_1[[#This Row],[Units Sold]]*Table1_1[[#This Row],[Unit Cost]]</f>
        <v>72900</v>
      </c>
      <c r="U1225" s="7">
        <f>Table1_1[[#This Row],[Calculated sales]]-Table1_1[[#This Row],[Total cost]]</f>
        <v>13446</v>
      </c>
      <c r="V1225" s="4">
        <f>IFERROR(Table1_1[[#This Row],[Profit/Loss]]/Table1_1[[#This Row],[Calculated sales]],0)</f>
        <v>0.15572232645403378</v>
      </c>
    </row>
    <row r="1226" spans="1:22" x14ac:dyDescent="0.25">
      <c r="A1226" s="4" t="s">
        <v>1375</v>
      </c>
      <c r="B1226" s="5">
        <v>45915</v>
      </c>
      <c r="C1226" s="4">
        <f>YEAR(Table1_1[[#This Row],[Order Dates]])</f>
        <v>2025</v>
      </c>
      <c r="D1226" s="6">
        <f>MONTH(Table1_1[[#This Row],[Order Dates]])</f>
        <v>9</v>
      </c>
      <c r="E1226" s="4" t="s">
        <v>16</v>
      </c>
      <c r="F1226" s="4" t="s">
        <v>153</v>
      </c>
      <c r="G1226" s="4" t="s">
        <v>18</v>
      </c>
      <c r="H1226" s="4" t="str">
        <f>TRIM(CLEAN(SUBSTITUTE(Table1_1[[#This Row],[Salesperson]],"   "," ")))</f>
        <v>Imran Sheikh</v>
      </c>
      <c r="I1226" s="4" t="s">
        <v>45</v>
      </c>
      <c r="J1226" s="4" t="s">
        <v>27</v>
      </c>
      <c r="K1226" s="4" t="s">
        <v>214</v>
      </c>
      <c r="L1226" s="4" t="s">
        <v>1681</v>
      </c>
      <c r="M1226" s="4" t="s">
        <v>40</v>
      </c>
      <c r="N1226" s="4" t="s">
        <v>35</v>
      </c>
      <c r="O1226" s="4">
        <v>5</v>
      </c>
      <c r="P1226" s="7">
        <v>14970</v>
      </c>
      <c r="Q1226" s="8">
        <v>0.08</v>
      </c>
      <c r="R1226" s="7">
        <v>10200</v>
      </c>
      <c r="S1226" s="7">
        <f>Table1_1[[#This Row],[Units Sold]]*Table1_1[[#This Row],[Unit Price]]*(1-Table1_1[[#This Row],[Discount %]])</f>
        <v>68862</v>
      </c>
      <c r="T1226" s="7">
        <f>Table1_1[[#This Row],[Units Sold]]*Table1_1[[#This Row],[Unit Cost]]</f>
        <v>51000</v>
      </c>
      <c r="U1226" s="7">
        <f>Table1_1[[#This Row],[Calculated sales]]-Table1_1[[#This Row],[Total cost]]</f>
        <v>17862</v>
      </c>
      <c r="V1226" s="4">
        <f>IFERROR(Table1_1[[#This Row],[Profit/Loss]]/Table1_1[[#This Row],[Calculated sales]],0)</f>
        <v>0.2593883419011937</v>
      </c>
    </row>
    <row r="1227" spans="1:22" x14ac:dyDescent="0.25">
      <c r="A1227" s="4" t="s">
        <v>1376</v>
      </c>
      <c r="B1227" s="5">
        <v>45916</v>
      </c>
      <c r="C1227" s="4">
        <f>YEAR(Table1_1[[#This Row],[Order Dates]])</f>
        <v>2025</v>
      </c>
      <c r="D1227" s="6">
        <f>MONTH(Table1_1[[#This Row],[Order Dates]])</f>
        <v>9</v>
      </c>
      <c r="E1227" s="4" t="s">
        <v>56</v>
      </c>
      <c r="F1227" s="4" t="s">
        <v>103</v>
      </c>
      <c r="G1227" s="4" t="s">
        <v>91</v>
      </c>
      <c r="H1227" s="4" t="str">
        <f>TRIM(CLEAN(SUBSTITUTE(Table1_1[[#This Row],[Salesperson]],"   "," ")))</f>
        <v>Anjali Menon</v>
      </c>
      <c r="I1227" s="4" t="s">
        <v>52</v>
      </c>
      <c r="J1227" s="4" t="s">
        <v>46</v>
      </c>
      <c r="K1227" s="4" t="s">
        <v>179</v>
      </c>
      <c r="L1227" s="4" t="s">
        <v>236</v>
      </c>
      <c r="M1227" s="4" t="s">
        <v>49</v>
      </c>
      <c r="N1227" s="4" t="s">
        <v>24</v>
      </c>
      <c r="O1227" s="4">
        <v>40</v>
      </c>
      <c r="P1227" s="7">
        <v>2130</v>
      </c>
      <c r="Q1227" s="8">
        <v>0.25</v>
      </c>
      <c r="R1227" s="7">
        <v>1350</v>
      </c>
      <c r="S1227" s="7">
        <f>Table1_1[[#This Row],[Units Sold]]*Table1_1[[#This Row],[Unit Price]]*(1-Table1_1[[#This Row],[Discount %]])</f>
        <v>63900</v>
      </c>
      <c r="T1227" s="7">
        <f>Table1_1[[#This Row],[Units Sold]]*Table1_1[[#This Row],[Unit Cost]]</f>
        <v>54000</v>
      </c>
      <c r="U1227" s="7">
        <f>Table1_1[[#This Row],[Calculated sales]]-Table1_1[[#This Row],[Total cost]]</f>
        <v>9900</v>
      </c>
      <c r="V1227" s="4">
        <f>IFERROR(Table1_1[[#This Row],[Profit/Loss]]/Table1_1[[#This Row],[Calculated sales]],0)</f>
        <v>0.15492957746478872</v>
      </c>
    </row>
    <row r="1228" spans="1:22" x14ac:dyDescent="0.25">
      <c r="A1228" s="4" t="s">
        <v>1377</v>
      </c>
      <c r="B1228" s="5">
        <v>45916</v>
      </c>
      <c r="C1228" s="4">
        <f>YEAR(Table1_1[[#This Row],[Order Dates]])</f>
        <v>2025</v>
      </c>
      <c r="D1228" s="6">
        <f>MONTH(Table1_1[[#This Row],[Order Dates]])</f>
        <v>9</v>
      </c>
      <c r="E1228" s="4" t="s">
        <v>42</v>
      </c>
      <c r="F1228" s="4" t="s">
        <v>146</v>
      </c>
      <c r="G1228" s="4" t="s">
        <v>44</v>
      </c>
      <c r="H1228" s="4" t="str">
        <f>TRIM(CLEAN(SUBSTITUTE(Table1_1[[#This Row],[Salesperson]],"   "," ")))</f>
        <v>Simran Kaur</v>
      </c>
      <c r="I1228" s="4" t="s">
        <v>19</v>
      </c>
      <c r="J1228" s="4" t="s">
        <v>83</v>
      </c>
      <c r="K1228" s="4" t="s">
        <v>136</v>
      </c>
      <c r="L1228" s="4" t="s">
        <v>307</v>
      </c>
      <c r="M1228" s="4" t="s">
        <v>40</v>
      </c>
      <c r="N1228" s="4" t="s">
        <v>24</v>
      </c>
      <c r="O1228" s="4">
        <v>37</v>
      </c>
      <c r="P1228" s="7">
        <v>960</v>
      </c>
      <c r="Q1228" s="8">
        <v>0.08</v>
      </c>
      <c r="R1228" s="7">
        <v>590</v>
      </c>
      <c r="S1228" s="7">
        <f>Table1_1[[#This Row],[Units Sold]]*Table1_1[[#This Row],[Unit Price]]*(1-Table1_1[[#This Row],[Discount %]])</f>
        <v>32678.400000000001</v>
      </c>
      <c r="T1228" s="7">
        <f>Table1_1[[#This Row],[Units Sold]]*Table1_1[[#This Row],[Unit Cost]]</f>
        <v>21830</v>
      </c>
      <c r="U1228" s="7">
        <f>Table1_1[[#This Row],[Calculated sales]]-Table1_1[[#This Row],[Total cost]]</f>
        <v>10848.400000000001</v>
      </c>
      <c r="V1228" s="4">
        <f>IFERROR(Table1_1[[#This Row],[Profit/Loss]]/Table1_1[[#This Row],[Calculated sales]],0)</f>
        <v>0.33197463768115942</v>
      </c>
    </row>
    <row r="1229" spans="1:22" x14ac:dyDescent="0.25">
      <c r="A1229" s="4" t="s">
        <v>1378</v>
      </c>
      <c r="B1229" s="5">
        <v>45916</v>
      </c>
      <c r="C1229" s="4">
        <f>YEAR(Table1_1[[#This Row],[Order Dates]])</f>
        <v>2025</v>
      </c>
      <c r="D1229" s="6">
        <f>MONTH(Table1_1[[#This Row],[Order Dates]])</f>
        <v>9</v>
      </c>
      <c r="E1229" s="4" t="s">
        <v>42</v>
      </c>
      <c r="F1229" s="4" t="s">
        <v>96</v>
      </c>
      <c r="G1229" s="4" t="s">
        <v>64</v>
      </c>
      <c r="H1229" s="4" t="str">
        <f>TRIM(CLEAN(SUBSTITUTE(Table1_1[[#This Row],[Salesperson]],"   "," ")))</f>
        <v>Aditya Verma</v>
      </c>
      <c r="I1229" s="4" t="s">
        <v>19</v>
      </c>
      <c r="J1229" s="4" t="s">
        <v>83</v>
      </c>
      <c r="K1229" s="4" t="s">
        <v>184</v>
      </c>
      <c r="L1229" s="4" t="s">
        <v>196</v>
      </c>
      <c r="M1229" s="4" t="s">
        <v>23</v>
      </c>
      <c r="N1229" s="4" t="s">
        <v>24</v>
      </c>
      <c r="O1229" s="4">
        <v>2</v>
      </c>
      <c r="P1229" s="7">
        <v>3130</v>
      </c>
      <c r="Q1229" s="8">
        <v>0</v>
      </c>
      <c r="R1229" s="7">
        <v>2120</v>
      </c>
      <c r="S1229" s="7">
        <f>Table1_1[[#This Row],[Units Sold]]*Table1_1[[#This Row],[Unit Price]]*(1-Table1_1[[#This Row],[Discount %]])</f>
        <v>6260</v>
      </c>
      <c r="T1229" s="7">
        <f>Table1_1[[#This Row],[Units Sold]]*Table1_1[[#This Row],[Unit Cost]]</f>
        <v>4240</v>
      </c>
      <c r="U1229" s="7">
        <f>Table1_1[[#This Row],[Calculated sales]]-Table1_1[[#This Row],[Total cost]]</f>
        <v>2020</v>
      </c>
      <c r="V1229" s="4">
        <f>IFERROR(Table1_1[[#This Row],[Profit/Loss]]/Table1_1[[#This Row],[Calculated sales]],0)</f>
        <v>0.32268370607028751</v>
      </c>
    </row>
    <row r="1230" spans="1:22" x14ac:dyDescent="0.25">
      <c r="A1230" s="4" t="s">
        <v>1379</v>
      </c>
      <c r="B1230" s="5">
        <v>45917</v>
      </c>
      <c r="C1230" s="4">
        <f>YEAR(Table1_1[[#This Row],[Order Dates]])</f>
        <v>2025</v>
      </c>
      <c r="D1230" s="6">
        <f>MONTH(Table1_1[[#This Row],[Order Dates]])</f>
        <v>9</v>
      </c>
      <c r="E1230" s="4" t="s">
        <v>56</v>
      </c>
      <c r="F1230" s="4" t="s">
        <v>103</v>
      </c>
      <c r="G1230" s="4" t="s">
        <v>134</v>
      </c>
      <c r="H1230" s="4" t="str">
        <f>TRIM(CLEAN(SUBSTITUTE(Table1_1[[#This Row],[Salesperson]],"   "," ")))</f>
        <v>Divya Nair</v>
      </c>
      <c r="I1230" s="4" t="s">
        <v>19</v>
      </c>
      <c r="J1230" s="4" t="s">
        <v>83</v>
      </c>
      <c r="K1230" s="4" t="s">
        <v>184</v>
      </c>
      <c r="L1230" s="4" t="s">
        <v>196</v>
      </c>
      <c r="M1230" s="4" t="s">
        <v>23</v>
      </c>
      <c r="N1230" s="4" t="s">
        <v>119</v>
      </c>
      <c r="O1230" s="4">
        <v>15</v>
      </c>
      <c r="P1230" s="7">
        <v>3400</v>
      </c>
      <c r="Q1230" s="8">
        <v>0.05</v>
      </c>
      <c r="R1230" s="7">
        <v>2590</v>
      </c>
      <c r="S1230" s="7">
        <f>Table1_1[[#This Row],[Units Sold]]*Table1_1[[#This Row],[Unit Price]]*(1-Table1_1[[#This Row],[Discount %]])</f>
        <v>48450</v>
      </c>
      <c r="T1230" s="7">
        <f>Table1_1[[#This Row],[Units Sold]]*Table1_1[[#This Row],[Unit Cost]]</f>
        <v>38850</v>
      </c>
      <c r="U1230" s="7">
        <f>Table1_1[[#This Row],[Calculated sales]]-Table1_1[[#This Row],[Total cost]]</f>
        <v>9600</v>
      </c>
      <c r="V1230" s="4">
        <f>IFERROR(Table1_1[[#This Row],[Profit/Loss]]/Table1_1[[#This Row],[Calculated sales]],0)</f>
        <v>0.19814241486068113</v>
      </c>
    </row>
    <row r="1231" spans="1:22" x14ac:dyDescent="0.25">
      <c r="A1231" s="4" t="s">
        <v>1380</v>
      </c>
      <c r="B1231" s="5">
        <v>45917</v>
      </c>
      <c r="C1231" s="4">
        <f>YEAR(Table1_1[[#This Row],[Order Dates]])</f>
        <v>2025</v>
      </c>
      <c r="D1231" s="6">
        <f>MONTH(Table1_1[[#This Row],[Order Dates]])</f>
        <v>9</v>
      </c>
      <c r="E1231" s="4" t="s">
        <v>37</v>
      </c>
      <c r="F1231" s="4" t="s">
        <v>166</v>
      </c>
      <c r="G1231" s="4" t="s">
        <v>68</v>
      </c>
      <c r="H1231" s="4" t="str">
        <f>TRIM(CLEAN(SUBSTITUTE(Table1_1[[#This Row],[Salesperson]],"   "," ")))</f>
        <v>Ritika Ghosh</v>
      </c>
      <c r="I1231" s="4" t="s">
        <v>19</v>
      </c>
      <c r="J1231" s="4" t="s">
        <v>27</v>
      </c>
      <c r="K1231" s="4" t="s">
        <v>53</v>
      </c>
      <c r="L1231" s="4" t="s">
        <v>1669</v>
      </c>
      <c r="M1231" s="4" t="s">
        <v>23</v>
      </c>
      <c r="N1231" s="4" t="s">
        <v>24</v>
      </c>
      <c r="O1231" s="4">
        <v>4</v>
      </c>
      <c r="P1231" s="7">
        <v>45030</v>
      </c>
      <c r="Q1231" s="8">
        <v>0.25</v>
      </c>
      <c r="R1231" s="7">
        <v>33520</v>
      </c>
      <c r="S1231" s="7">
        <f>Table1_1[[#This Row],[Units Sold]]*Table1_1[[#This Row],[Unit Price]]*(1-Table1_1[[#This Row],[Discount %]])</f>
        <v>135090</v>
      </c>
      <c r="T1231" s="7">
        <f>Table1_1[[#This Row],[Units Sold]]*Table1_1[[#This Row],[Unit Cost]]</f>
        <v>134080</v>
      </c>
      <c r="U1231" s="7">
        <f>Table1_1[[#This Row],[Calculated sales]]-Table1_1[[#This Row],[Total cost]]</f>
        <v>1010</v>
      </c>
      <c r="V1231" s="4">
        <f>IFERROR(Table1_1[[#This Row],[Profit/Loss]]/Table1_1[[#This Row],[Calculated sales]],0)</f>
        <v>7.4764971500481158E-3</v>
      </c>
    </row>
    <row r="1232" spans="1:22" x14ac:dyDescent="0.25">
      <c r="A1232" s="4" t="s">
        <v>1381</v>
      </c>
      <c r="B1232" s="5">
        <v>45918</v>
      </c>
      <c r="C1232" s="4">
        <f>YEAR(Table1_1[[#This Row],[Order Dates]])</f>
        <v>2025</v>
      </c>
      <c r="D1232" s="6">
        <f>MONTH(Table1_1[[#This Row],[Order Dates]])</f>
        <v>9</v>
      </c>
      <c r="E1232" s="4" t="s">
        <v>16</v>
      </c>
      <c r="F1232" s="4" t="s">
        <v>31</v>
      </c>
      <c r="G1232" s="4" t="s">
        <v>18</v>
      </c>
      <c r="H1232" s="4" t="str">
        <f>TRIM(CLEAN(SUBSTITUTE(Table1_1[[#This Row],[Salesperson]],"   "," ")))</f>
        <v>Imran Sheikh</v>
      </c>
      <c r="I1232" s="4" t="s">
        <v>92</v>
      </c>
      <c r="J1232" s="4" t="s">
        <v>59</v>
      </c>
      <c r="K1232" s="4" t="s">
        <v>73</v>
      </c>
      <c r="L1232" s="4" t="s">
        <v>74</v>
      </c>
      <c r="M1232" s="4" t="s">
        <v>40</v>
      </c>
      <c r="N1232" s="4" t="s">
        <v>24</v>
      </c>
      <c r="O1232" s="4">
        <v>6</v>
      </c>
      <c r="P1232" s="7">
        <v>46880</v>
      </c>
      <c r="Q1232" s="8">
        <v>0.1</v>
      </c>
      <c r="R1232" s="7">
        <v>29110</v>
      </c>
      <c r="S1232" s="7">
        <f>Table1_1[[#This Row],[Units Sold]]*Table1_1[[#This Row],[Unit Price]]*(1-Table1_1[[#This Row],[Discount %]])</f>
        <v>253152</v>
      </c>
      <c r="T1232" s="7">
        <f>Table1_1[[#This Row],[Units Sold]]*Table1_1[[#This Row],[Unit Cost]]</f>
        <v>174660</v>
      </c>
      <c r="U1232" s="7">
        <f>Table1_1[[#This Row],[Calculated sales]]-Table1_1[[#This Row],[Total cost]]</f>
        <v>78492</v>
      </c>
      <c r="V1232" s="4">
        <f>IFERROR(Table1_1[[#This Row],[Profit/Loss]]/Table1_1[[#This Row],[Calculated sales]],0)</f>
        <v>0.31005877891543421</v>
      </c>
    </row>
    <row r="1233" spans="1:22" x14ac:dyDescent="0.25">
      <c r="A1233" s="4" t="s">
        <v>1382</v>
      </c>
      <c r="B1233" s="5">
        <v>45918</v>
      </c>
      <c r="C1233" s="4">
        <f>YEAR(Table1_1[[#This Row],[Order Dates]])</f>
        <v>2025</v>
      </c>
      <c r="D1233" s="6">
        <f>MONTH(Table1_1[[#This Row],[Order Dates]])</f>
        <v>9</v>
      </c>
      <c r="E1233" s="4" t="s">
        <v>37</v>
      </c>
      <c r="F1233" s="4" t="s">
        <v>213</v>
      </c>
      <c r="G1233" s="4" t="s">
        <v>39</v>
      </c>
      <c r="H1233" s="4" t="str">
        <f>TRIM(CLEAN(SUBSTITUTE(Table1_1[[#This Row],[Salesperson]],"   "," ")))</f>
        <v>Sourav Das</v>
      </c>
      <c r="I1233" s="4" t="s">
        <v>52</v>
      </c>
      <c r="J1233" s="4" t="s">
        <v>20</v>
      </c>
      <c r="K1233" s="4" t="s">
        <v>21</v>
      </c>
      <c r="L1233" s="4" t="s">
        <v>1670</v>
      </c>
      <c r="M1233" s="4" t="s">
        <v>23</v>
      </c>
      <c r="N1233" s="4" t="s">
        <v>24</v>
      </c>
      <c r="O1233" s="4">
        <v>2</v>
      </c>
      <c r="P1233" s="7">
        <v>8860</v>
      </c>
      <c r="Q1233" s="8">
        <v>0.2</v>
      </c>
      <c r="R1233" s="7">
        <v>6960</v>
      </c>
      <c r="S1233" s="7">
        <f>Table1_1[[#This Row],[Units Sold]]*Table1_1[[#This Row],[Unit Price]]*(1-Table1_1[[#This Row],[Discount %]])</f>
        <v>14176</v>
      </c>
      <c r="T1233" s="7">
        <f>Table1_1[[#This Row],[Units Sold]]*Table1_1[[#This Row],[Unit Cost]]</f>
        <v>13920</v>
      </c>
      <c r="U1233" s="7">
        <f>Table1_1[[#This Row],[Calculated sales]]-Table1_1[[#This Row],[Total cost]]</f>
        <v>256</v>
      </c>
      <c r="V1233" s="4">
        <f>IFERROR(Table1_1[[#This Row],[Profit/Loss]]/Table1_1[[#This Row],[Calculated sales]],0)</f>
        <v>1.8058690744920992E-2</v>
      </c>
    </row>
    <row r="1234" spans="1:22" x14ac:dyDescent="0.25">
      <c r="A1234" s="4" t="s">
        <v>1383</v>
      </c>
      <c r="B1234" s="5">
        <v>45918</v>
      </c>
      <c r="C1234" s="4">
        <f>YEAR(Table1_1[[#This Row],[Order Dates]])</f>
        <v>2025</v>
      </c>
      <c r="D1234" s="6">
        <f>MONTH(Table1_1[[#This Row],[Order Dates]])</f>
        <v>9</v>
      </c>
      <c r="E1234" s="4" t="s">
        <v>76</v>
      </c>
      <c r="F1234" s="4" t="s">
        <v>112</v>
      </c>
      <c r="G1234" s="4" t="s">
        <v>170</v>
      </c>
      <c r="H1234" s="4" t="str">
        <f>TRIM(CLEAN(SUBSTITUTE(Table1_1[[#This Row],[Salesperson]],"   "," ")))</f>
        <v>Manish Tiwari</v>
      </c>
      <c r="I1234" s="4" t="s">
        <v>19</v>
      </c>
      <c r="J1234" s="4" t="s">
        <v>27</v>
      </c>
      <c r="K1234" s="4" t="s">
        <v>53</v>
      </c>
      <c r="L1234" s="4" t="s">
        <v>1669</v>
      </c>
      <c r="M1234" s="4" t="s">
        <v>40</v>
      </c>
      <c r="N1234" s="4" t="s">
        <v>24</v>
      </c>
      <c r="O1234" s="4">
        <v>2</v>
      </c>
      <c r="P1234" s="7">
        <v>42360</v>
      </c>
      <c r="Q1234" s="8">
        <v>0.08</v>
      </c>
      <c r="R1234" s="7">
        <v>31140</v>
      </c>
      <c r="S1234" s="7">
        <f>Table1_1[[#This Row],[Units Sold]]*Table1_1[[#This Row],[Unit Price]]*(1-Table1_1[[#This Row],[Discount %]])</f>
        <v>77942.400000000009</v>
      </c>
      <c r="T1234" s="7">
        <f>Table1_1[[#This Row],[Units Sold]]*Table1_1[[#This Row],[Unit Cost]]</f>
        <v>62280</v>
      </c>
      <c r="U1234" s="7">
        <f>Table1_1[[#This Row],[Calculated sales]]-Table1_1[[#This Row],[Total cost]]</f>
        <v>15662.400000000009</v>
      </c>
      <c r="V1234" s="4">
        <f>IFERROR(Table1_1[[#This Row],[Profit/Loss]]/Table1_1[[#This Row],[Calculated sales]],0)</f>
        <v>0.20094839265919456</v>
      </c>
    </row>
    <row r="1235" spans="1:22" x14ac:dyDescent="0.25">
      <c r="A1235" s="4" t="s">
        <v>1384</v>
      </c>
      <c r="B1235" s="5">
        <v>45919</v>
      </c>
      <c r="C1235" s="4">
        <f>YEAR(Table1_1[[#This Row],[Order Dates]])</f>
        <v>2025</v>
      </c>
      <c r="D1235" s="6">
        <f>MONTH(Table1_1[[#This Row],[Order Dates]])</f>
        <v>9</v>
      </c>
      <c r="E1235" s="4" t="s">
        <v>56</v>
      </c>
      <c r="F1235" s="4" t="s">
        <v>143</v>
      </c>
      <c r="G1235" s="4" t="s">
        <v>134</v>
      </c>
      <c r="H1235" s="4" t="str">
        <f>TRIM(CLEAN(SUBSTITUTE(Table1_1[[#This Row],[Salesperson]],"   "," ")))</f>
        <v>Divya Nair</v>
      </c>
      <c r="I1235" s="4" t="s">
        <v>45</v>
      </c>
      <c r="J1235" s="4" t="s">
        <v>27</v>
      </c>
      <c r="K1235" s="4" t="s">
        <v>53</v>
      </c>
      <c r="L1235" s="4" t="s">
        <v>1669</v>
      </c>
      <c r="M1235" s="4" t="s">
        <v>40</v>
      </c>
      <c r="N1235" s="4" t="s">
        <v>24</v>
      </c>
      <c r="O1235" s="4">
        <v>2</v>
      </c>
      <c r="P1235" s="7">
        <v>43080</v>
      </c>
      <c r="Q1235" s="8">
        <v>0.1</v>
      </c>
      <c r="R1235" s="7">
        <v>31470</v>
      </c>
      <c r="S1235" s="7">
        <f>Table1_1[[#This Row],[Units Sold]]*Table1_1[[#This Row],[Unit Price]]*(1-Table1_1[[#This Row],[Discount %]])</f>
        <v>77544</v>
      </c>
      <c r="T1235" s="7">
        <f>Table1_1[[#This Row],[Units Sold]]*Table1_1[[#This Row],[Unit Cost]]</f>
        <v>62940</v>
      </c>
      <c r="U1235" s="7">
        <f>Table1_1[[#This Row],[Calculated sales]]-Table1_1[[#This Row],[Total cost]]</f>
        <v>14604</v>
      </c>
      <c r="V1235" s="4">
        <f>IFERROR(Table1_1[[#This Row],[Profit/Loss]]/Table1_1[[#This Row],[Calculated sales]],0)</f>
        <v>0.18833178582482205</v>
      </c>
    </row>
    <row r="1236" spans="1:22" x14ac:dyDescent="0.25">
      <c r="A1236" s="4" t="s">
        <v>1385</v>
      </c>
      <c r="B1236" s="5">
        <v>45919</v>
      </c>
      <c r="C1236" s="4">
        <f>YEAR(Table1_1[[#This Row],[Order Dates]])</f>
        <v>2025</v>
      </c>
      <c r="D1236" s="6">
        <f>MONTH(Table1_1[[#This Row],[Order Dates]])</f>
        <v>9</v>
      </c>
      <c r="E1236" s="4" t="s">
        <v>42</v>
      </c>
      <c r="F1236" s="4" t="s">
        <v>265</v>
      </c>
      <c r="G1236" s="4" t="s">
        <v>44</v>
      </c>
      <c r="H1236" s="4" t="str">
        <f>TRIM(CLEAN(SUBSTITUTE(Table1_1[[#This Row],[Salesperson]],"   "," ")))</f>
        <v>Simran Kaur</v>
      </c>
      <c r="I1236" s="4" t="s">
        <v>52</v>
      </c>
      <c r="J1236" s="4" t="s">
        <v>83</v>
      </c>
      <c r="K1236" s="4" t="s">
        <v>184</v>
      </c>
      <c r="L1236" s="4" t="s">
        <v>196</v>
      </c>
      <c r="M1236" s="4" t="s">
        <v>49</v>
      </c>
      <c r="N1236" s="4" t="s">
        <v>24</v>
      </c>
      <c r="O1236" s="4">
        <v>13</v>
      </c>
      <c r="P1236" s="7">
        <v>3170</v>
      </c>
      <c r="Q1236" s="8">
        <v>0.25</v>
      </c>
      <c r="R1236" s="7">
        <v>2250</v>
      </c>
      <c r="S1236" s="7">
        <f>Table1_1[[#This Row],[Units Sold]]*Table1_1[[#This Row],[Unit Price]]*(1-Table1_1[[#This Row],[Discount %]])</f>
        <v>30907.5</v>
      </c>
      <c r="T1236" s="7">
        <f>Table1_1[[#This Row],[Units Sold]]*Table1_1[[#This Row],[Unit Cost]]</f>
        <v>29250</v>
      </c>
      <c r="U1236" s="7">
        <f>Table1_1[[#This Row],[Calculated sales]]-Table1_1[[#This Row],[Total cost]]</f>
        <v>1657.5</v>
      </c>
      <c r="V1236" s="4">
        <f>IFERROR(Table1_1[[#This Row],[Profit/Loss]]/Table1_1[[#This Row],[Calculated sales]],0)</f>
        <v>5.362776025236593E-2</v>
      </c>
    </row>
    <row r="1237" spans="1:22" x14ac:dyDescent="0.25">
      <c r="A1237" s="4" t="s">
        <v>1386</v>
      </c>
      <c r="B1237" s="5">
        <v>45919</v>
      </c>
      <c r="C1237" s="4">
        <f>YEAR(Table1_1[[#This Row],[Order Dates]])</f>
        <v>2025</v>
      </c>
      <c r="D1237" s="6">
        <f>MONTH(Table1_1[[#This Row],[Order Dates]])</f>
        <v>9</v>
      </c>
      <c r="E1237" s="4" t="s">
        <v>56</v>
      </c>
      <c r="F1237" s="4" t="s">
        <v>133</v>
      </c>
      <c r="G1237" s="4" t="s">
        <v>91</v>
      </c>
      <c r="H1237" s="4" t="str">
        <f>TRIM(CLEAN(SUBSTITUTE(Table1_1[[#This Row],[Salesperson]],"   "," ")))</f>
        <v>Anjali Menon</v>
      </c>
      <c r="I1237" s="4" t="s">
        <v>19</v>
      </c>
      <c r="J1237" s="4" t="s">
        <v>27</v>
      </c>
      <c r="K1237" s="4" t="s">
        <v>53</v>
      </c>
      <c r="L1237" s="4" t="s">
        <v>1669</v>
      </c>
      <c r="M1237" s="4" t="s">
        <v>49</v>
      </c>
      <c r="N1237" s="4" t="s">
        <v>119</v>
      </c>
      <c r="O1237" s="4">
        <v>1</v>
      </c>
      <c r="P1237" s="7">
        <v>42320</v>
      </c>
      <c r="Q1237" s="8">
        <v>0</v>
      </c>
      <c r="R1237" s="7">
        <v>27890</v>
      </c>
      <c r="S1237" s="7">
        <f>Table1_1[[#This Row],[Units Sold]]*Table1_1[[#This Row],[Unit Price]]*(1-Table1_1[[#This Row],[Discount %]])</f>
        <v>42320</v>
      </c>
      <c r="T1237" s="7">
        <f>Table1_1[[#This Row],[Units Sold]]*Table1_1[[#This Row],[Unit Cost]]</f>
        <v>27890</v>
      </c>
      <c r="U1237" s="7">
        <f>Table1_1[[#This Row],[Calculated sales]]-Table1_1[[#This Row],[Total cost]]</f>
        <v>14430</v>
      </c>
      <c r="V1237" s="4">
        <f>IFERROR(Table1_1[[#This Row],[Profit/Loss]]/Table1_1[[#This Row],[Calculated sales]],0)</f>
        <v>0.34097353497164462</v>
      </c>
    </row>
    <row r="1238" spans="1:22" x14ac:dyDescent="0.25">
      <c r="A1238" s="4" t="s">
        <v>1387</v>
      </c>
      <c r="B1238" s="5">
        <v>45920</v>
      </c>
      <c r="C1238" s="4">
        <f>YEAR(Table1_1[[#This Row],[Order Dates]])</f>
        <v>2025</v>
      </c>
      <c r="D1238" s="6">
        <f>MONTH(Table1_1[[#This Row],[Order Dates]])</f>
        <v>9</v>
      </c>
      <c r="E1238" s="4" t="s">
        <v>76</v>
      </c>
      <c r="F1238" s="4" t="s">
        <v>99</v>
      </c>
      <c r="G1238" s="4" t="s">
        <v>170</v>
      </c>
      <c r="H1238" s="4" t="str">
        <f>TRIM(CLEAN(SUBSTITUTE(Table1_1[[#This Row],[Salesperson]],"   "," ")))</f>
        <v>Manish Tiwari</v>
      </c>
      <c r="I1238" s="4" t="s">
        <v>19</v>
      </c>
      <c r="J1238" s="4" t="s">
        <v>46</v>
      </c>
      <c r="K1238" s="4" t="s">
        <v>100</v>
      </c>
      <c r="L1238" s="4" t="s">
        <v>177</v>
      </c>
      <c r="M1238" s="4" t="s">
        <v>40</v>
      </c>
      <c r="N1238" s="4" t="s">
        <v>24</v>
      </c>
      <c r="O1238" s="4">
        <v>9</v>
      </c>
      <c r="P1238" s="7">
        <v>2650</v>
      </c>
      <c r="Q1238" s="8">
        <v>0.08</v>
      </c>
      <c r="R1238" s="7">
        <v>2020</v>
      </c>
      <c r="S1238" s="7">
        <f>Table1_1[[#This Row],[Units Sold]]*Table1_1[[#This Row],[Unit Price]]*(1-Table1_1[[#This Row],[Discount %]])</f>
        <v>21942</v>
      </c>
      <c r="T1238" s="7">
        <f>Table1_1[[#This Row],[Units Sold]]*Table1_1[[#This Row],[Unit Cost]]</f>
        <v>18180</v>
      </c>
      <c r="U1238" s="7">
        <f>Table1_1[[#This Row],[Calculated sales]]-Table1_1[[#This Row],[Total cost]]</f>
        <v>3762</v>
      </c>
      <c r="V1238" s="4">
        <f>IFERROR(Table1_1[[#This Row],[Profit/Loss]]/Table1_1[[#This Row],[Calculated sales]],0)</f>
        <v>0.17145200984413453</v>
      </c>
    </row>
    <row r="1239" spans="1:22" x14ac:dyDescent="0.25">
      <c r="A1239" s="4" t="s">
        <v>1388</v>
      </c>
      <c r="B1239" s="5">
        <v>45920</v>
      </c>
      <c r="C1239" s="4">
        <f>YEAR(Table1_1[[#This Row],[Order Dates]])</f>
        <v>2025</v>
      </c>
      <c r="D1239" s="6">
        <f>MONTH(Table1_1[[#This Row],[Order Dates]])</f>
        <v>9</v>
      </c>
      <c r="E1239" s="4" t="s">
        <v>37</v>
      </c>
      <c r="F1239" s="4" t="s">
        <v>67</v>
      </c>
      <c r="G1239" s="4" t="s">
        <v>39</v>
      </c>
      <c r="H1239" s="4" t="str">
        <f>TRIM(CLEAN(SUBSTITUTE(Table1_1[[#This Row],[Salesperson]],"   "," ")))</f>
        <v>Sourav Das</v>
      </c>
      <c r="I1239" s="4" t="s">
        <v>19</v>
      </c>
      <c r="J1239" s="4" t="s">
        <v>46</v>
      </c>
      <c r="K1239" s="4" t="s">
        <v>179</v>
      </c>
      <c r="L1239" s="4" t="s">
        <v>236</v>
      </c>
      <c r="M1239" s="4" t="s">
        <v>40</v>
      </c>
      <c r="N1239" s="4" t="s">
        <v>24</v>
      </c>
      <c r="O1239" s="4">
        <v>37</v>
      </c>
      <c r="P1239" s="7">
        <v>2140</v>
      </c>
      <c r="Q1239" s="8">
        <v>0.2</v>
      </c>
      <c r="R1239" s="7">
        <v>1430</v>
      </c>
      <c r="S1239" s="7">
        <f>Table1_1[[#This Row],[Units Sold]]*Table1_1[[#This Row],[Unit Price]]*(1-Table1_1[[#This Row],[Discount %]])</f>
        <v>63344</v>
      </c>
      <c r="T1239" s="7">
        <f>Table1_1[[#This Row],[Units Sold]]*Table1_1[[#This Row],[Unit Cost]]</f>
        <v>52910</v>
      </c>
      <c r="U1239" s="7">
        <f>Table1_1[[#This Row],[Calculated sales]]-Table1_1[[#This Row],[Total cost]]</f>
        <v>10434</v>
      </c>
      <c r="V1239" s="4">
        <f>IFERROR(Table1_1[[#This Row],[Profit/Loss]]/Table1_1[[#This Row],[Calculated sales]],0)</f>
        <v>0.1647196261682243</v>
      </c>
    </row>
    <row r="1240" spans="1:22" x14ac:dyDescent="0.25">
      <c r="A1240" s="4" t="s">
        <v>1389</v>
      </c>
      <c r="B1240" s="5">
        <v>45920</v>
      </c>
      <c r="C1240" s="4">
        <f>YEAR(Table1_1[[#This Row],[Order Dates]])</f>
        <v>2025</v>
      </c>
      <c r="D1240" s="6">
        <f>MONTH(Table1_1[[#This Row],[Order Dates]])</f>
        <v>9</v>
      </c>
      <c r="E1240" s="4" t="s">
        <v>42</v>
      </c>
      <c r="F1240" s="4" t="s">
        <v>130</v>
      </c>
      <c r="G1240" s="4" t="s">
        <v>44</v>
      </c>
      <c r="H1240" s="4" t="str">
        <f>TRIM(CLEAN(SUBSTITUTE(Table1_1[[#This Row],[Salesperson]],"   "," ")))</f>
        <v>Simran Kaur</v>
      </c>
      <c r="I1240" s="4" t="s">
        <v>52</v>
      </c>
      <c r="J1240" s="4" t="s">
        <v>27</v>
      </c>
      <c r="K1240" s="4" t="s">
        <v>53</v>
      </c>
      <c r="L1240" s="4" t="s">
        <v>1669</v>
      </c>
      <c r="M1240" s="4" t="s">
        <v>40</v>
      </c>
      <c r="N1240" s="4" t="s">
        <v>94</v>
      </c>
      <c r="O1240" s="4">
        <v>3</v>
      </c>
      <c r="P1240" s="7">
        <v>42250</v>
      </c>
      <c r="Q1240" s="8">
        <v>0.05</v>
      </c>
      <c r="R1240" s="7">
        <v>27190</v>
      </c>
      <c r="S1240" s="7">
        <f>Table1_1[[#This Row],[Units Sold]]*Table1_1[[#This Row],[Unit Price]]*(1-Table1_1[[#This Row],[Discount %]])</f>
        <v>120412.5</v>
      </c>
      <c r="T1240" s="7">
        <f>Table1_1[[#This Row],[Units Sold]]*Table1_1[[#This Row],[Unit Cost]]</f>
        <v>81570</v>
      </c>
      <c r="U1240" s="7">
        <f>Table1_1[[#This Row],[Calculated sales]]-Table1_1[[#This Row],[Total cost]]</f>
        <v>38842.5</v>
      </c>
      <c r="V1240" s="4">
        <f>IFERROR(Table1_1[[#This Row],[Profit/Loss]]/Table1_1[[#This Row],[Calculated sales]],0)</f>
        <v>0.3225786359389598</v>
      </c>
    </row>
    <row r="1241" spans="1:22" x14ac:dyDescent="0.25">
      <c r="A1241" s="4" t="s">
        <v>1390</v>
      </c>
      <c r="B1241" s="5">
        <v>45921</v>
      </c>
      <c r="C1241" s="4">
        <f>YEAR(Table1_1[[#This Row],[Order Dates]])</f>
        <v>2025</v>
      </c>
      <c r="D1241" s="6">
        <f>MONTH(Table1_1[[#This Row],[Order Dates]])</f>
        <v>9</v>
      </c>
      <c r="E1241" s="4" t="s">
        <v>56</v>
      </c>
      <c r="F1241" s="4" t="s">
        <v>127</v>
      </c>
      <c r="G1241" s="4" t="s">
        <v>58</v>
      </c>
      <c r="H1241" s="4" t="str">
        <f>TRIM(CLEAN(SUBSTITUTE(Table1_1[[#This Row],[Salesperson]],"   "," ")))</f>
        <v>Karthik Raman</v>
      </c>
      <c r="I1241" s="4" t="s">
        <v>52</v>
      </c>
      <c r="J1241" s="4" t="s">
        <v>59</v>
      </c>
      <c r="K1241" s="4" t="s">
        <v>60</v>
      </c>
      <c r="L1241" s="4" t="s">
        <v>61</v>
      </c>
      <c r="M1241" s="4" t="s">
        <v>23</v>
      </c>
      <c r="N1241" s="4" t="s">
        <v>24</v>
      </c>
      <c r="O1241" s="4">
        <v>4</v>
      </c>
      <c r="P1241" s="7">
        <v>23810</v>
      </c>
      <c r="Q1241" s="8">
        <v>0.12</v>
      </c>
      <c r="R1241" s="7">
        <v>16260</v>
      </c>
      <c r="S1241" s="7">
        <f>Table1_1[[#This Row],[Units Sold]]*Table1_1[[#This Row],[Unit Price]]*(1-Table1_1[[#This Row],[Discount %]])</f>
        <v>83811.199999999997</v>
      </c>
      <c r="T1241" s="7">
        <f>Table1_1[[#This Row],[Units Sold]]*Table1_1[[#This Row],[Unit Cost]]</f>
        <v>65040</v>
      </c>
      <c r="U1241" s="7">
        <f>Table1_1[[#This Row],[Calculated sales]]-Table1_1[[#This Row],[Total cost]]</f>
        <v>18771.199999999997</v>
      </c>
      <c r="V1241" s="4">
        <f>IFERROR(Table1_1[[#This Row],[Profit/Loss]]/Table1_1[[#This Row],[Calculated sales]],0)</f>
        <v>0.22397006605322436</v>
      </c>
    </row>
    <row r="1242" spans="1:22" x14ac:dyDescent="0.25">
      <c r="A1242" s="4" t="s">
        <v>1391</v>
      </c>
      <c r="B1242" s="5">
        <v>45921</v>
      </c>
      <c r="C1242" s="4">
        <f>YEAR(Table1_1[[#This Row],[Order Dates]])</f>
        <v>2025</v>
      </c>
      <c r="D1242" s="6">
        <f>MONTH(Table1_1[[#This Row],[Order Dates]])</f>
        <v>9</v>
      </c>
      <c r="E1242" s="4" t="s">
        <v>56</v>
      </c>
      <c r="F1242" s="4" t="s">
        <v>133</v>
      </c>
      <c r="G1242" s="4" t="s">
        <v>134</v>
      </c>
      <c r="H1242" s="4" t="str">
        <f>TRIM(CLEAN(SUBSTITUTE(Table1_1[[#This Row],[Salesperson]],"   "," ")))</f>
        <v>Divya Nair</v>
      </c>
      <c r="I1242" s="4" t="s">
        <v>45</v>
      </c>
      <c r="J1242" s="4" t="s">
        <v>83</v>
      </c>
      <c r="K1242" s="4" t="s">
        <v>136</v>
      </c>
      <c r="L1242" s="4" t="s">
        <v>307</v>
      </c>
      <c r="M1242" s="4" t="s">
        <v>23</v>
      </c>
      <c r="N1242" s="4" t="s">
        <v>24</v>
      </c>
      <c r="O1242" s="4">
        <v>34</v>
      </c>
      <c r="P1242" s="7">
        <v>950</v>
      </c>
      <c r="Q1242" s="8">
        <v>0.18</v>
      </c>
      <c r="R1242" s="7">
        <v>670</v>
      </c>
      <c r="S1242" s="7">
        <f>Table1_1[[#This Row],[Units Sold]]*Table1_1[[#This Row],[Unit Price]]*(1-Table1_1[[#This Row],[Discount %]])</f>
        <v>26486.000000000004</v>
      </c>
      <c r="T1242" s="7">
        <f>Table1_1[[#This Row],[Units Sold]]*Table1_1[[#This Row],[Unit Cost]]</f>
        <v>22780</v>
      </c>
      <c r="U1242" s="7">
        <f>Table1_1[[#This Row],[Calculated sales]]-Table1_1[[#This Row],[Total cost]]</f>
        <v>3706.0000000000036</v>
      </c>
      <c r="V1242" s="4">
        <f>IFERROR(Table1_1[[#This Row],[Profit/Loss]]/Table1_1[[#This Row],[Calculated sales]],0)</f>
        <v>0.1399229781771503</v>
      </c>
    </row>
    <row r="1243" spans="1:22" x14ac:dyDescent="0.25">
      <c r="A1243" s="4" t="s">
        <v>1392</v>
      </c>
      <c r="B1243" s="5">
        <v>45921</v>
      </c>
      <c r="C1243" s="4">
        <f>YEAR(Table1_1[[#This Row],[Order Dates]])</f>
        <v>2025</v>
      </c>
      <c r="D1243" s="6">
        <f>MONTH(Table1_1[[#This Row],[Order Dates]])</f>
        <v>9</v>
      </c>
      <c r="E1243" s="4" t="s">
        <v>56</v>
      </c>
      <c r="F1243" s="4" t="s">
        <v>103</v>
      </c>
      <c r="G1243" s="4" t="s">
        <v>91</v>
      </c>
      <c r="H1243" s="4" t="str">
        <f>TRIM(CLEAN(SUBSTITUTE(Table1_1[[#This Row],[Salesperson]],"   "," ")))</f>
        <v>Anjali Menon</v>
      </c>
      <c r="I1243" s="4" t="s">
        <v>52</v>
      </c>
      <c r="J1243" s="4" t="s">
        <v>83</v>
      </c>
      <c r="K1243" s="4" t="s">
        <v>184</v>
      </c>
      <c r="L1243" s="4" t="s">
        <v>1679</v>
      </c>
      <c r="M1243" s="4" t="s">
        <v>40</v>
      </c>
      <c r="N1243" s="4" t="s">
        <v>24</v>
      </c>
      <c r="O1243" s="4">
        <v>5</v>
      </c>
      <c r="P1243" s="7">
        <v>4810</v>
      </c>
      <c r="Q1243" s="8">
        <v>0.15</v>
      </c>
      <c r="R1243" s="7">
        <v>3580</v>
      </c>
      <c r="S1243" s="7">
        <f>Table1_1[[#This Row],[Units Sold]]*Table1_1[[#This Row],[Unit Price]]*(1-Table1_1[[#This Row],[Discount %]])</f>
        <v>20442.5</v>
      </c>
      <c r="T1243" s="7">
        <f>Table1_1[[#This Row],[Units Sold]]*Table1_1[[#This Row],[Unit Cost]]</f>
        <v>17900</v>
      </c>
      <c r="U1243" s="7">
        <f>Table1_1[[#This Row],[Calculated sales]]-Table1_1[[#This Row],[Total cost]]</f>
        <v>2542.5</v>
      </c>
      <c r="V1243" s="4">
        <f>IFERROR(Table1_1[[#This Row],[Profit/Loss]]/Table1_1[[#This Row],[Calculated sales]],0)</f>
        <v>0.12437324202030084</v>
      </c>
    </row>
    <row r="1244" spans="1:22" x14ac:dyDescent="0.25">
      <c r="A1244" s="4" t="s">
        <v>1393</v>
      </c>
      <c r="B1244" s="5">
        <v>45921</v>
      </c>
      <c r="C1244" s="4">
        <f>YEAR(Table1_1[[#This Row],[Order Dates]])</f>
        <v>2025</v>
      </c>
      <c r="D1244" s="6">
        <f>MONTH(Table1_1[[#This Row],[Order Dates]])</f>
        <v>9</v>
      </c>
      <c r="E1244" s="4" t="s">
        <v>42</v>
      </c>
      <c r="F1244" s="4" t="s">
        <v>130</v>
      </c>
      <c r="G1244" s="4" t="s">
        <v>44</v>
      </c>
      <c r="H1244" s="4" t="str">
        <f>TRIM(CLEAN(SUBSTITUTE(Table1_1[[#This Row],[Salesperson]],"   "," ")))</f>
        <v>Simran Kaur</v>
      </c>
      <c r="I1244" s="4" t="s">
        <v>19</v>
      </c>
      <c r="J1244" s="4" t="s">
        <v>27</v>
      </c>
      <c r="K1244" s="4" t="s">
        <v>79</v>
      </c>
      <c r="L1244" s="4" t="s">
        <v>262</v>
      </c>
      <c r="M1244" s="4" t="s">
        <v>23</v>
      </c>
      <c r="N1244" s="4" t="s">
        <v>24</v>
      </c>
      <c r="O1244" s="4">
        <v>5</v>
      </c>
      <c r="P1244" s="7">
        <v>2470</v>
      </c>
      <c r="Q1244" s="8">
        <v>0.2</v>
      </c>
      <c r="R1244" s="7">
        <v>1880</v>
      </c>
      <c r="S1244" s="7">
        <f>Table1_1[[#This Row],[Units Sold]]*Table1_1[[#This Row],[Unit Price]]*(1-Table1_1[[#This Row],[Discount %]])</f>
        <v>9880</v>
      </c>
      <c r="T1244" s="7">
        <f>Table1_1[[#This Row],[Units Sold]]*Table1_1[[#This Row],[Unit Cost]]</f>
        <v>9400</v>
      </c>
      <c r="U1244" s="7">
        <f>Table1_1[[#This Row],[Calculated sales]]-Table1_1[[#This Row],[Total cost]]</f>
        <v>480</v>
      </c>
      <c r="V1244" s="4">
        <f>IFERROR(Table1_1[[#This Row],[Profit/Loss]]/Table1_1[[#This Row],[Calculated sales]],0)</f>
        <v>4.8582995951417005E-2</v>
      </c>
    </row>
    <row r="1245" spans="1:22" x14ac:dyDescent="0.25">
      <c r="A1245" s="4" t="s">
        <v>1394</v>
      </c>
      <c r="B1245" s="5">
        <v>45921</v>
      </c>
      <c r="C1245" s="4">
        <f>YEAR(Table1_1[[#This Row],[Order Dates]])</f>
        <v>2025</v>
      </c>
      <c r="D1245" s="6">
        <f>MONTH(Table1_1[[#This Row],[Order Dates]])</f>
        <v>9</v>
      </c>
      <c r="E1245" s="4" t="s">
        <v>16</v>
      </c>
      <c r="F1245" s="4" t="s">
        <v>51</v>
      </c>
      <c r="G1245" s="4" t="s">
        <v>18</v>
      </c>
      <c r="H1245" s="4" t="str">
        <f>TRIM(CLEAN(SUBSTITUTE(Table1_1[[#This Row],[Salesperson]],"   "," ")))</f>
        <v>Imran Sheikh</v>
      </c>
      <c r="I1245" s="4" t="s">
        <v>19</v>
      </c>
      <c r="J1245" s="4" t="s">
        <v>20</v>
      </c>
      <c r="K1245" s="4" t="s">
        <v>87</v>
      </c>
      <c r="L1245" s="4" t="s">
        <v>1674</v>
      </c>
      <c r="M1245" s="4" t="s">
        <v>23</v>
      </c>
      <c r="N1245" s="4" t="s">
        <v>35</v>
      </c>
      <c r="O1245" s="4">
        <v>4</v>
      </c>
      <c r="P1245" s="7">
        <v>50130</v>
      </c>
      <c r="Q1245" s="8">
        <v>0.12</v>
      </c>
      <c r="R1245" s="7">
        <v>33510</v>
      </c>
      <c r="S1245" s="7">
        <f>Table1_1[[#This Row],[Units Sold]]*Table1_1[[#This Row],[Unit Price]]*(1-Table1_1[[#This Row],[Discount %]])</f>
        <v>176457.60000000001</v>
      </c>
      <c r="T1245" s="7">
        <f>Table1_1[[#This Row],[Units Sold]]*Table1_1[[#This Row],[Unit Cost]]</f>
        <v>134040</v>
      </c>
      <c r="U1245" s="7">
        <f>Table1_1[[#This Row],[Calculated sales]]-Table1_1[[#This Row],[Total cost]]</f>
        <v>42417.600000000006</v>
      </c>
      <c r="V1245" s="4">
        <f>IFERROR(Table1_1[[#This Row],[Profit/Loss]]/Table1_1[[#This Row],[Calculated sales]],0)</f>
        <v>0.24038409226919102</v>
      </c>
    </row>
    <row r="1246" spans="1:22" x14ac:dyDescent="0.25">
      <c r="A1246" s="4" t="s">
        <v>1395</v>
      </c>
      <c r="B1246" s="5">
        <v>45922</v>
      </c>
      <c r="C1246" s="4">
        <f>YEAR(Table1_1[[#This Row],[Order Dates]])</f>
        <v>2025</v>
      </c>
      <c r="D1246" s="6">
        <f>MONTH(Table1_1[[#This Row],[Order Dates]])</f>
        <v>9</v>
      </c>
      <c r="E1246" s="4" t="s">
        <v>37</v>
      </c>
      <c r="F1246" s="4" t="s">
        <v>213</v>
      </c>
      <c r="G1246" s="4" t="s">
        <v>39</v>
      </c>
      <c r="H1246" s="4" t="str">
        <f>TRIM(CLEAN(SUBSTITUTE(Table1_1[[#This Row],[Salesperson]],"   "," ")))</f>
        <v>Sourav Das</v>
      </c>
      <c r="I1246" s="4" t="s">
        <v>92</v>
      </c>
      <c r="J1246" s="4" t="s">
        <v>20</v>
      </c>
      <c r="K1246" s="4" t="s">
        <v>87</v>
      </c>
      <c r="L1246" s="4" t="s">
        <v>1674</v>
      </c>
      <c r="M1246" s="4" t="s">
        <v>49</v>
      </c>
      <c r="N1246" s="4" t="s">
        <v>24</v>
      </c>
      <c r="O1246" s="4">
        <v>4</v>
      </c>
      <c r="P1246" s="7">
        <v>53090</v>
      </c>
      <c r="Q1246" s="8">
        <v>0</v>
      </c>
      <c r="R1246" s="7">
        <v>31100</v>
      </c>
      <c r="S1246" s="7">
        <f>Table1_1[[#This Row],[Units Sold]]*Table1_1[[#This Row],[Unit Price]]*(1-Table1_1[[#This Row],[Discount %]])</f>
        <v>212360</v>
      </c>
      <c r="T1246" s="7">
        <f>Table1_1[[#This Row],[Units Sold]]*Table1_1[[#This Row],[Unit Cost]]</f>
        <v>124400</v>
      </c>
      <c r="U1246" s="7">
        <f>Table1_1[[#This Row],[Calculated sales]]-Table1_1[[#This Row],[Total cost]]</f>
        <v>87960</v>
      </c>
      <c r="V1246" s="4">
        <f>IFERROR(Table1_1[[#This Row],[Profit/Loss]]/Table1_1[[#This Row],[Calculated sales]],0)</f>
        <v>0.41420229798455455</v>
      </c>
    </row>
    <row r="1247" spans="1:22" x14ac:dyDescent="0.25">
      <c r="A1247" s="4" t="s">
        <v>1396</v>
      </c>
      <c r="B1247" s="5">
        <v>45923</v>
      </c>
      <c r="C1247" s="4">
        <f>YEAR(Table1_1[[#This Row],[Order Dates]])</f>
        <v>2025</v>
      </c>
      <c r="D1247" s="6">
        <f>MONTH(Table1_1[[#This Row],[Order Dates]])</f>
        <v>9</v>
      </c>
      <c r="E1247" s="4" t="s">
        <v>42</v>
      </c>
      <c r="F1247" s="4" t="s">
        <v>265</v>
      </c>
      <c r="G1247" s="4" t="s">
        <v>44</v>
      </c>
      <c r="H1247" s="4" t="str">
        <f>TRIM(CLEAN(SUBSTITUTE(Table1_1[[#This Row],[Salesperson]],"   "," ")))</f>
        <v>Simran Kaur</v>
      </c>
      <c r="I1247" s="4" t="s">
        <v>92</v>
      </c>
      <c r="J1247" s="4" t="s">
        <v>59</v>
      </c>
      <c r="K1247" s="4" t="s">
        <v>154</v>
      </c>
      <c r="L1247" s="4" t="s">
        <v>155</v>
      </c>
      <c r="M1247" s="4" t="s">
        <v>23</v>
      </c>
      <c r="N1247" s="4" t="s">
        <v>94</v>
      </c>
      <c r="O1247" s="4">
        <v>16</v>
      </c>
      <c r="P1247" s="7">
        <v>11810</v>
      </c>
      <c r="Q1247" s="8">
        <v>0.1</v>
      </c>
      <c r="R1247" s="7">
        <v>7680</v>
      </c>
      <c r="S1247" s="7">
        <f>Table1_1[[#This Row],[Units Sold]]*Table1_1[[#This Row],[Unit Price]]*(1-Table1_1[[#This Row],[Discount %]])</f>
        <v>170064</v>
      </c>
      <c r="T1247" s="7">
        <f>Table1_1[[#This Row],[Units Sold]]*Table1_1[[#This Row],[Unit Cost]]</f>
        <v>122880</v>
      </c>
      <c r="U1247" s="7">
        <f>Table1_1[[#This Row],[Calculated sales]]-Table1_1[[#This Row],[Total cost]]</f>
        <v>47184</v>
      </c>
      <c r="V1247" s="4">
        <f>IFERROR(Table1_1[[#This Row],[Profit/Loss]]/Table1_1[[#This Row],[Calculated sales]],0)</f>
        <v>0.27744848998024274</v>
      </c>
    </row>
    <row r="1248" spans="1:22" x14ac:dyDescent="0.25">
      <c r="A1248" s="4" t="s">
        <v>1397</v>
      </c>
      <c r="B1248" s="5">
        <v>45924</v>
      </c>
      <c r="C1248" s="4">
        <f>YEAR(Table1_1[[#This Row],[Order Dates]])</f>
        <v>2025</v>
      </c>
      <c r="D1248" s="6">
        <f>MONTH(Table1_1[[#This Row],[Order Dates]])</f>
        <v>9</v>
      </c>
      <c r="E1248" s="4" t="s">
        <v>37</v>
      </c>
      <c r="F1248" s="4" t="s">
        <v>115</v>
      </c>
      <c r="G1248" s="4" t="s">
        <v>68</v>
      </c>
      <c r="H1248" s="4" t="str">
        <f>TRIM(CLEAN(SUBSTITUTE(Table1_1[[#This Row],[Salesperson]],"   "," ")))</f>
        <v>Ritika Ghosh</v>
      </c>
      <c r="I1248" s="4" t="s">
        <v>19</v>
      </c>
      <c r="J1248" s="4" t="s">
        <v>46</v>
      </c>
      <c r="K1248" s="4" t="s">
        <v>47</v>
      </c>
      <c r="L1248" s="4" t="s">
        <v>259</v>
      </c>
      <c r="M1248" s="4" t="s">
        <v>40</v>
      </c>
      <c r="N1248" s="4" t="s">
        <v>24</v>
      </c>
      <c r="O1248" s="4">
        <v>23</v>
      </c>
      <c r="P1248" s="7">
        <v>2860</v>
      </c>
      <c r="Q1248" s="8">
        <v>0.1</v>
      </c>
      <c r="R1248" s="7">
        <v>2190</v>
      </c>
      <c r="S1248" s="7">
        <f>Table1_1[[#This Row],[Units Sold]]*Table1_1[[#This Row],[Unit Price]]*(1-Table1_1[[#This Row],[Discount %]])</f>
        <v>59202</v>
      </c>
      <c r="T1248" s="7">
        <f>Table1_1[[#This Row],[Units Sold]]*Table1_1[[#This Row],[Unit Cost]]</f>
        <v>50370</v>
      </c>
      <c r="U1248" s="7">
        <f>Table1_1[[#This Row],[Calculated sales]]-Table1_1[[#This Row],[Total cost]]</f>
        <v>8832</v>
      </c>
      <c r="V1248" s="4">
        <f>IFERROR(Table1_1[[#This Row],[Profit/Loss]]/Table1_1[[#This Row],[Calculated sales]],0)</f>
        <v>0.14918414918414918</v>
      </c>
    </row>
    <row r="1249" spans="1:22" x14ac:dyDescent="0.25">
      <c r="A1249" s="4" t="s">
        <v>1398</v>
      </c>
      <c r="B1249" s="5">
        <v>45924</v>
      </c>
      <c r="C1249" s="4">
        <f>YEAR(Table1_1[[#This Row],[Order Dates]])</f>
        <v>2025</v>
      </c>
      <c r="D1249" s="6">
        <f>MONTH(Table1_1[[#This Row],[Order Dates]])</f>
        <v>9</v>
      </c>
      <c r="E1249" s="4" t="s">
        <v>56</v>
      </c>
      <c r="F1249" s="4" t="s">
        <v>103</v>
      </c>
      <c r="G1249" s="4" t="s">
        <v>134</v>
      </c>
      <c r="H1249" s="4" t="str">
        <f>TRIM(CLEAN(SUBSTITUTE(Table1_1[[#This Row],[Salesperson]],"   "," ")))</f>
        <v>Divya Nair</v>
      </c>
      <c r="I1249" s="4" t="s">
        <v>92</v>
      </c>
      <c r="J1249" s="4" t="s">
        <v>59</v>
      </c>
      <c r="K1249" s="4" t="s">
        <v>69</v>
      </c>
      <c r="L1249" s="4" t="s">
        <v>121</v>
      </c>
      <c r="M1249" s="4" t="s">
        <v>40</v>
      </c>
      <c r="N1249" s="4" t="s">
        <v>24</v>
      </c>
      <c r="O1249" s="4">
        <v>17</v>
      </c>
      <c r="P1249" s="7">
        <v>3570</v>
      </c>
      <c r="Q1249" s="8">
        <v>0</v>
      </c>
      <c r="R1249" s="7">
        <v>2800</v>
      </c>
      <c r="S1249" s="7">
        <f>Table1_1[[#This Row],[Units Sold]]*Table1_1[[#This Row],[Unit Price]]*(1-Table1_1[[#This Row],[Discount %]])</f>
        <v>60690</v>
      </c>
      <c r="T1249" s="7">
        <f>Table1_1[[#This Row],[Units Sold]]*Table1_1[[#This Row],[Unit Cost]]</f>
        <v>47600</v>
      </c>
      <c r="U1249" s="7">
        <f>Table1_1[[#This Row],[Calculated sales]]-Table1_1[[#This Row],[Total cost]]</f>
        <v>13090</v>
      </c>
      <c r="V1249" s="4">
        <f>IFERROR(Table1_1[[#This Row],[Profit/Loss]]/Table1_1[[#This Row],[Calculated sales]],0)</f>
        <v>0.21568627450980393</v>
      </c>
    </row>
    <row r="1250" spans="1:22" x14ac:dyDescent="0.25">
      <c r="A1250" s="4" t="s">
        <v>1399</v>
      </c>
      <c r="B1250" s="5">
        <v>45925</v>
      </c>
      <c r="C1250" s="4">
        <f>YEAR(Table1_1[[#This Row],[Order Dates]])</f>
        <v>2025</v>
      </c>
      <c r="D1250" s="6">
        <f>MONTH(Table1_1[[#This Row],[Order Dates]])</f>
        <v>9</v>
      </c>
      <c r="E1250" s="4" t="s">
        <v>42</v>
      </c>
      <c r="F1250" s="4" t="s">
        <v>43</v>
      </c>
      <c r="G1250" s="4" t="s">
        <v>44</v>
      </c>
      <c r="H1250" s="4" t="str">
        <f>TRIM(CLEAN(SUBSTITUTE(Table1_1[[#This Row],[Salesperson]],"   "," ")))</f>
        <v>Simran Kaur</v>
      </c>
      <c r="I1250" s="4" t="s">
        <v>19</v>
      </c>
      <c r="J1250" s="4" t="s">
        <v>20</v>
      </c>
      <c r="K1250" s="4" t="s">
        <v>109</v>
      </c>
      <c r="L1250" s="4" t="s">
        <v>171</v>
      </c>
      <c r="M1250" s="4" t="s">
        <v>40</v>
      </c>
      <c r="N1250" s="4" t="s">
        <v>24</v>
      </c>
      <c r="O1250" s="4">
        <v>7</v>
      </c>
      <c r="P1250" s="7">
        <v>23620</v>
      </c>
      <c r="Q1250" s="8">
        <v>0.05</v>
      </c>
      <c r="R1250" s="7">
        <v>17450</v>
      </c>
      <c r="S1250" s="7">
        <f>Table1_1[[#This Row],[Units Sold]]*Table1_1[[#This Row],[Unit Price]]*(1-Table1_1[[#This Row],[Discount %]])</f>
        <v>157073</v>
      </c>
      <c r="T1250" s="7">
        <f>Table1_1[[#This Row],[Units Sold]]*Table1_1[[#This Row],[Unit Cost]]</f>
        <v>122150</v>
      </c>
      <c r="U1250" s="7">
        <f>Table1_1[[#This Row],[Calculated sales]]-Table1_1[[#This Row],[Total cost]]</f>
        <v>34923</v>
      </c>
      <c r="V1250" s="4">
        <f>IFERROR(Table1_1[[#This Row],[Profit/Loss]]/Table1_1[[#This Row],[Calculated sales]],0)</f>
        <v>0.22233611123490352</v>
      </c>
    </row>
    <row r="1251" spans="1:22" x14ac:dyDescent="0.25">
      <c r="A1251" s="4" t="s">
        <v>1400</v>
      </c>
      <c r="B1251" s="5">
        <v>45925</v>
      </c>
      <c r="C1251" s="4">
        <f>YEAR(Table1_1[[#This Row],[Order Dates]])</f>
        <v>2025</v>
      </c>
      <c r="D1251" s="6">
        <f>MONTH(Table1_1[[#This Row],[Order Dates]])</f>
        <v>9</v>
      </c>
      <c r="E1251" s="4" t="s">
        <v>42</v>
      </c>
      <c r="F1251" s="4" t="s">
        <v>130</v>
      </c>
      <c r="G1251" s="4" t="s">
        <v>97</v>
      </c>
      <c r="H1251" s="4" t="str">
        <f>TRIM(CLEAN(SUBSTITUTE(Table1_1[[#This Row],[Salesperson]],"   "," ")))</f>
        <v>Rohit Malhotra</v>
      </c>
      <c r="I1251" s="4" t="s">
        <v>19</v>
      </c>
      <c r="J1251" s="4" t="s">
        <v>83</v>
      </c>
      <c r="K1251" s="4" t="s">
        <v>84</v>
      </c>
      <c r="L1251" s="4" t="s">
        <v>292</v>
      </c>
      <c r="M1251" s="4" t="s">
        <v>23</v>
      </c>
      <c r="N1251" s="4" t="s">
        <v>119</v>
      </c>
      <c r="O1251" s="4">
        <v>2</v>
      </c>
      <c r="P1251" s="7">
        <v>44810</v>
      </c>
      <c r="Q1251" s="8">
        <v>0.1</v>
      </c>
      <c r="R1251" s="7">
        <v>35090</v>
      </c>
      <c r="S1251" s="7">
        <f>Table1_1[[#This Row],[Units Sold]]*Table1_1[[#This Row],[Unit Price]]*(1-Table1_1[[#This Row],[Discount %]])</f>
        <v>80658</v>
      </c>
      <c r="T1251" s="7">
        <f>Table1_1[[#This Row],[Units Sold]]*Table1_1[[#This Row],[Unit Cost]]</f>
        <v>70180</v>
      </c>
      <c r="U1251" s="7">
        <f>Table1_1[[#This Row],[Calculated sales]]-Table1_1[[#This Row],[Total cost]]</f>
        <v>10478</v>
      </c>
      <c r="V1251" s="4">
        <f>IFERROR(Table1_1[[#This Row],[Profit/Loss]]/Table1_1[[#This Row],[Calculated sales]],0)</f>
        <v>0.12990651888219396</v>
      </c>
    </row>
    <row r="1252" spans="1:22" x14ac:dyDescent="0.25">
      <c r="A1252" s="4" t="s">
        <v>1401</v>
      </c>
      <c r="B1252" s="5">
        <v>45925</v>
      </c>
      <c r="C1252" s="4">
        <f>YEAR(Table1_1[[#This Row],[Order Dates]])</f>
        <v>2025</v>
      </c>
      <c r="D1252" s="6">
        <f>MONTH(Table1_1[[#This Row],[Order Dates]])</f>
        <v>9</v>
      </c>
      <c r="E1252" s="4" t="s">
        <v>16</v>
      </c>
      <c r="F1252" s="4" t="s">
        <v>51</v>
      </c>
      <c r="G1252" s="4" t="s">
        <v>26</v>
      </c>
      <c r="H1252" s="4" t="str">
        <f>TRIM(CLEAN(SUBSTITUTE(Table1_1[[#This Row],[Salesperson]],"   "," ")))</f>
        <v>Prateek Shah</v>
      </c>
      <c r="I1252" s="4" t="s">
        <v>19</v>
      </c>
      <c r="J1252" s="4" t="s">
        <v>20</v>
      </c>
      <c r="K1252" s="4" t="s">
        <v>109</v>
      </c>
      <c r="L1252" s="4" t="s">
        <v>159</v>
      </c>
      <c r="M1252" s="4" t="s">
        <v>49</v>
      </c>
      <c r="N1252" s="4" t="s">
        <v>119</v>
      </c>
      <c r="O1252" s="4">
        <v>2</v>
      </c>
      <c r="P1252" s="7">
        <v>18290</v>
      </c>
      <c r="Q1252" s="8">
        <v>0.12</v>
      </c>
      <c r="R1252" s="7">
        <v>10430</v>
      </c>
      <c r="S1252" s="7">
        <f>Table1_1[[#This Row],[Units Sold]]*Table1_1[[#This Row],[Unit Price]]*(1-Table1_1[[#This Row],[Discount %]])</f>
        <v>32190.400000000001</v>
      </c>
      <c r="T1252" s="7">
        <f>Table1_1[[#This Row],[Units Sold]]*Table1_1[[#This Row],[Unit Cost]]</f>
        <v>20860</v>
      </c>
      <c r="U1252" s="7">
        <f>Table1_1[[#This Row],[Calculated sales]]-Table1_1[[#This Row],[Total cost]]</f>
        <v>11330.400000000001</v>
      </c>
      <c r="V1252" s="4">
        <f>IFERROR(Table1_1[[#This Row],[Profit/Loss]]/Table1_1[[#This Row],[Calculated sales]],0)</f>
        <v>0.35198071474725384</v>
      </c>
    </row>
    <row r="1253" spans="1:22" x14ac:dyDescent="0.25">
      <c r="A1253" s="4" t="s">
        <v>1402</v>
      </c>
      <c r="B1253" s="5">
        <v>45926</v>
      </c>
      <c r="C1253" s="4">
        <f>YEAR(Table1_1[[#This Row],[Order Dates]])</f>
        <v>2025</v>
      </c>
      <c r="D1253" s="6">
        <f>MONTH(Table1_1[[#This Row],[Order Dates]])</f>
        <v>9</v>
      </c>
      <c r="E1253" s="4" t="s">
        <v>42</v>
      </c>
      <c r="F1253" s="4" t="s">
        <v>43</v>
      </c>
      <c r="G1253" s="4" t="s">
        <v>64</v>
      </c>
      <c r="H1253" s="4" t="str">
        <f>TRIM(CLEAN(SUBSTITUTE(Table1_1[[#This Row],[Salesperson]],"   "," ")))</f>
        <v>Aditya Verma</v>
      </c>
      <c r="I1253" s="4" t="s">
        <v>92</v>
      </c>
      <c r="J1253" s="4" t="s">
        <v>59</v>
      </c>
      <c r="K1253" s="4" t="s">
        <v>154</v>
      </c>
      <c r="L1253" s="4" t="s">
        <v>155</v>
      </c>
      <c r="M1253" s="4" t="s">
        <v>23</v>
      </c>
      <c r="N1253" s="4" t="s">
        <v>24</v>
      </c>
      <c r="O1253" s="4">
        <v>6</v>
      </c>
      <c r="P1253" s="7">
        <v>11990</v>
      </c>
      <c r="Q1253" s="8">
        <v>0.08</v>
      </c>
      <c r="R1253" s="7">
        <v>8640</v>
      </c>
      <c r="S1253" s="7">
        <f>Table1_1[[#This Row],[Units Sold]]*Table1_1[[#This Row],[Unit Price]]*(1-Table1_1[[#This Row],[Discount %]])</f>
        <v>66184.800000000003</v>
      </c>
      <c r="T1253" s="7">
        <f>Table1_1[[#This Row],[Units Sold]]*Table1_1[[#This Row],[Unit Cost]]</f>
        <v>51840</v>
      </c>
      <c r="U1253" s="7">
        <f>Table1_1[[#This Row],[Calculated sales]]-Table1_1[[#This Row],[Total cost]]</f>
        <v>14344.800000000003</v>
      </c>
      <c r="V1253" s="4">
        <f>IFERROR(Table1_1[[#This Row],[Profit/Loss]]/Table1_1[[#This Row],[Calculated sales]],0)</f>
        <v>0.21673858650324548</v>
      </c>
    </row>
    <row r="1254" spans="1:22" x14ac:dyDescent="0.25">
      <c r="A1254" s="4" t="s">
        <v>1403</v>
      </c>
      <c r="B1254" s="5">
        <v>45927</v>
      </c>
      <c r="C1254" s="4">
        <f>YEAR(Table1_1[[#This Row],[Order Dates]])</f>
        <v>2025</v>
      </c>
      <c r="D1254" s="6">
        <f>MONTH(Table1_1[[#This Row],[Order Dates]])</f>
        <v>9</v>
      </c>
      <c r="E1254" s="4" t="s">
        <v>76</v>
      </c>
      <c r="F1254" s="4" t="s">
        <v>112</v>
      </c>
      <c r="G1254" s="4" t="s">
        <v>170</v>
      </c>
      <c r="H1254" s="4" t="str">
        <f>TRIM(CLEAN(SUBSTITUTE(Table1_1[[#This Row],[Salesperson]],"   "," ")))</f>
        <v>Manish Tiwari</v>
      </c>
      <c r="I1254" s="4" t="s">
        <v>19</v>
      </c>
      <c r="J1254" s="4" t="s">
        <v>46</v>
      </c>
      <c r="K1254" s="4" t="s">
        <v>47</v>
      </c>
      <c r="L1254" s="4" t="s">
        <v>48</v>
      </c>
      <c r="M1254" s="4" t="s">
        <v>23</v>
      </c>
      <c r="N1254" s="4" t="s">
        <v>24</v>
      </c>
      <c r="O1254" s="4">
        <v>40</v>
      </c>
      <c r="P1254" s="7">
        <v>1860</v>
      </c>
      <c r="Q1254" s="8">
        <v>0.2</v>
      </c>
      <c r="R1254" s="7">
        <v>1410</v>
      </c>
      <c r="S1254" s="7">
        <f>Table1_1[[#This Row],[Units Sold]]*Table1_1[[#This Row],[Unit Price]]*(1-Table1_1[[#This Row],[Discount %]])</f>
        <v>59520</v>
      </c>
      <c r="T1254" s="7">
        <f>Table1_1[[#This Row],[Units Sold]]*Table1_1[[#This Row],[Unit Cost]]</f>
        <v>56400</v>
      </c>
      <c r="U1254" s="7">
        <f>Table1_1[[#This Row],[Calculated sales]]-Table1_1[[#This Row],[Total cost]]</f>
        <v>3120</v>
      </c>
      <c r="V1254" s="4">
        <f>IFERROR(Table1_1[[#This Row],[Profit/Loss]]/Table1_1[[#This Row],[Calculated sales]],0)</f>
        <v>5.2419354838709679E-2</v>
      </c>
    </row>
    <row r="1255" spans="1:22" x14ac:dyDescent="0.25">
      <c r="A1255" s="4" t="s">
        <v>1404</v>
      </c>
      <c r="B1255" s="5">
        <v>45927</v>
      </c>
      <c r="C1255" s="4">
        <f>YEAR(Table1_1[[#This Row],[Order Dates]])</f>
        <v>2025</v>
      </c>
      <c r="D1255" s="6">
        <f>MONTH(Table1_1[[#This Row],[Order Dates]])</f>
        <v>9</v>
      </c>
      <c r="E1255" s="4" t="s">
        <v>56</v>
      </c>
      <c r="F1255" s="4" t="s">
        <v>103</v>
      </c>
      <c r="G1255" s="4" t="s">
        <v>91</v>
      </c>
      <c r="H1255" s="4" t="str">
        <f>TRIM(CLEAN(SUBSTITUTE(Table1_1[[#This Row],[Salesperson]],"   "," ")))</f>
        <v>Anjali Menon</v>
      </c>
      <c r="I1255" s="4" t="s">
        <v>19</v>
      </c>
      <c r="J1255" s="4" t="s">
        <v>46</v>
      </c>
      <c r="K1255" s="4" t="s">
        <v>100</v>
      </c>
      <c r="L1255" s="4" t="s">
        <v>101</v>
      </c>
      <c r="M1255" s="4" t="s">
        <v>23</v>
      </c>
      <c r="N1255" s="4" t="s">
        <v>24</v>
      </c>
      <c r="O1255" s="4">
        <v>21</v>
      </c>
      <c r="P1255" s="7">
        <v>1900</v>
      </c>
      <c r="Q1255" s="8">
        <v>0.2</v>
      </c>
      <c r="R1255" s="7">
        <v>1120</v>
      </c>
      <c r="S1255" s="7">
        <f>Table1_1[[#This Row],[Units Sold]]*Table1_1[[#This Row],[Unit Price]]*(1-Table1_1[[#This Row],[Discount %]])</f>
        <v>31920</v>
      </c>
      <c r="T1255" s="7">
        <f>Table1_1[[#This Row],[Units Sold]]*Table1_1[[#This Row],[Unit Cost]]</f>
        <v>23520</v>
      </c>
      <c r="U1255" s="7">
        <f>Table1_1[[#This Row],[Calculated sales]]-Table1_1[[#This Row],[Total cost]]</f>
        <v>8400</v>
      </c>
      <c r="V1255" s="4">
        <f>IFERROR(Table1_1[[#This Row],[Profit/Loss]]/Table1_1[[#This Row],[Calculated sales]],0)</f>
        <v>0.26315789473684209</v>
      </c>
    </row>
    <row r="1256" spans="1:22" x14ac:dyDescent="0.25">
      <c r="A1256" s="4" t="s">
        <v>1405</v>
      </c>
      <c r="B1256" s="5">
        <v>45928</v>
      </c>
      <c r="C1256" s="4">
        <f>YEAR(Table1_1[[#This Row],[Order Dates]])</f>
        <v>2025</v>
      </c>
      <c r="D1256" s="6">
        <f>MONTH(Table1_1[[#This Row],[Order Dates]])</f>
        <v>9</v>
      </c>
      <c r="E1256" s="4" t="s">
        <v>56</v>
      </c>
      <c r="F1256" s="4" t="s">
        <v>103</v>
      </c>
      <c r="G1256" s="4" t="s">
        <v>91</v>
      </c>
      <c r="H1256" s="4" t="str">
        <f>TRIM(CLEAN(SUBSTITUTE(Table1_1[[#This Row],[Salesperson]],"   "," ")))</f>
        <v>Anjali Menon</v>
      </c>
      <c r="I1256" s="4" t="s">
        <v>19</v>
      </c>
      <c r="J1256" s="4" t="s">
        <v>46</v>
      </c>
      <c r="K1256" s="4" t="s">
        <v>47</v>
      </c>
      <c r="L1256" s="4" t="s">
        <v>48</v>
      </c>
      <c r="M1256" s="4" t="s">
        <v>23</v>
      </c>
      <c r="N1256" s="4" t="s">
        <v>119</v>
      </c>
      <c r="O1256" s="4">
        <v>32</v>
      </c>
      <c r="P1256" s="7">
        <v>1830</v>
      </c>
      <c r="Q1256" s="8">
        <v>0</v>
      </c>
      <c r="R1256" s="7">
        <v>1190</v>
      </c>
      <c r="S1256" s="7">
        <f>Table1_1[[#This Row],[Units Sold]]*Table1_1[[#This Row],[Unit Price]]*(1-Table1_1[[#This Row],[Discount %]])</f>
        <v>58560</v>
      </c>
      <c r="T1256" s="7">
        <f>Table1_1[[#This Row],[Units Sold]]*Table1_1[[#This Row],[Unit Cost]]</f>
        <v>38080</v>
      </c>
      <c r="U1256" s="7">
        <f>Table1_1[[#This Row],[Calculated sales]]-Table1_1[[#This Row],[Total cost]]</f>
        <v>20480</v>
      </c>
      <c r="V1256" s="4">
        <f>IFERROR(Table1_1[[#This Row],[Profit/Loss]]/Table1_1[[#This Row],[Calculated sales]],0)</f>
        <v>0.34972677595628415</v>
      </c>
    </row>
    <row r="1257" spans="1:22" x14ac:dyDescent="0.25">
      <c r="A1257" s="4" t="s">
        <v>1406</v>
      </c>
      <c r="B1257" s="5">
        <v>45929</v>
      </c>
      <c r="C1257" s="4">
        <f>YEAR(Table1_1[[#This Row],[Order Dates]])</f>
        <v>2025</v>
      </c>
      <c r="D1257" s="6">
        <f>MONTH(Table1_1[[#This Row],[Order Dates]])</f>
        <v>9</v>
      </c>
      <c r="E1257" s="4" t="s">
        <v>37</v>
      </c>
      <c r="F1257" s="4" t="s">
        <v>213</v>
      </c>
      <c r="G1257" s="4" t="s">
        <v>68</v>
      </c>
      <c r="H1257" s="4" t="str">
        <f>TRIM(CLEAN(SUBSTITUTE(Table1_1[[#This Row],[Salesperson]],"   "," ")))</f>
        <v>Ritika Ghosh</v>
      </c>
      <c r="I1257" s="4" t="s">
        <v>19</v>
      </c>
      <c r="J1257" s="4" t="s">
        <v>20</v>
      </c>
      <c r="K1257" s="4" t="s">
        <v>21</v>
      </c>
      <c r="L1257" s="4" t="s">
        <v>1670</v>
      </c>
      <c r="M1257" s="4" t="s">
        <v>40</v>
      </c>
      <c r="N1257" s="4" t="s">
        <v>35</v>
      </c>
      <c r="O1257" s="4">
        <v>14</v>
      </c>
      <c r="P1257" s="7">
        <v>8830</v>
      </c>
      <c r="Q1257" s="8">
        <v>0.05</v>
      </c>
      <c r="R1257" s="7">
        <v>5310</v>
      </c>
      <c r="S1257" s="7">
        <f>Table1_1[[#This Row],[Units Sold]]*Table1_1[[#This Row],[Unit Price]]*(1-Table1_1[[#This Row],[Discount %]])</f>
        <v>117439</v>
      </c>
      <c r="T1257" s="7">
        <f>Table1_1[[#This Row],[Units Sold]]*Table1_1[[#This Row],[Unit Cost]]</f>
        <v>74340</v>
      </c>
      <c r="U1257" s="7">
        <f>Table1_1[[#This Row],[Calculated sales]]-Table1_1[[#This Row],[Total cost]]</f>
        <v>43099</v>
      </c>
      <c r="V1257" s="4">
        <f>IFERROR(Table1_1[[#This Row],[Profit/Loss]]/Table1_1[[#This Row],[Calculated sales]],0)</f>
        <v>0.36699052273946475</v>
      </c>
    </row>
    <row r="1258" spans="1:22" x14ac:dyDescent="0.25">
      <c r="A1258" s="4" t="s">
        <v>1407</v>
      </c>
      <c r="B1258" s="5">
        <v>45929</v>
      </c>
      <c r="C1258" s="4">
        <f>YEAR(Table1_1[[#This Row],[Order Dates]])</f>
        <v>2025</v>
      </c>
      <c r="D1258" s="6">
        <f>MONTH(Table1_1[[#This Row],[Order Dates]])</f>
        <v>9</v>
      </c>
      <c r="E1258" s="4" t="s">
        <v>37</v>
      </c>
      <c r="F1258" s="4" t="s">
        <v>161</v>
      </c>
      <c r="G1258" s="4" t="s">
        <v>68</v>
      </c>
      <c r="H1258" s="4" t="str">
        <f>TRIM(CLEAN(SUBSTITUTE(Table1_1[[#This Row],[Salesperson]],"   "," ")))</f>
        <v>Ritika Ghosh</v>
      </c>
      <c r="I1258" s="4" t="s">
        <v>92</v>
      </c>
      <c r="J1258" s="4" t="s">
        <v>20</v>
      </c>
      <c r="K1258" s="4" t="s">
        <v>21</v>
      </c>
      <c r="L1258" s="4" t="s">
        <v>1682</v>
      </c>
      <c r="M1258" s="4" t="s">
        <v>40</v>
      </c>
      <c r="N1258" s="4" t="s">
        <v>24</v>
      </c>
      <c r="O1258" s="4">
        <v>23</v>
      </c>
      <c r="P1258" s="7">
        <v>9870</v>
      </c>
      <c r="Q1258" s="8">
        <v>0.1</v>
      </c>
      <c r="R1258" s="7">
        <v>6700</v>
      </c>
      <c r="S1258" s="7">
        <f>Table1_1[[#This Row],[Units Sold]]*Table1_1[[#This Row],[Unit Price]]*(1-Table1_1[[#This Row],[Discount %]])</f>
        <v>204309</v>
      </c>
      <c r="T1258" s="7">
        <f>Table1_1[[#This Row],[Units Sold]]*Table1_1[[#This Row],[Unit Cost]]</f>
        <v>154100</v>
      </c>
      <c r="U1258" s="7">
        <f>Table1_1[[#This Row],[Calculated sales]]-Table1_1[[#This Row],[Total cost]]</f>
        <v>50209</v>
      </c>
      <c r="V1258" s="4">
        <f>IFERROR(Table1_1[[#This Row],[Profit/Loss]]/Table1_1[[#This Row],[Calculated sales]],0)</f>
        <v>0.2457503095800968</v>
      </c>
    </row>
    <row r="1259" spans="1:22" x14ac:dyDescent="0.25">
      <c r="A1259" s="4" t="s">
        <v>1408</v>
      </c>
      <c r="B1259" s="5">
        <v>45929</v>
      </c>
      <c r="C1259" s="4">
        <f>YEAR(Table1_1[[#This Row],[Order Dates]])</f>
        <v>2025</v>
      </c>
      <c r="D1259" s="6">
        <f>MONTH(Table1_1[[#This Row],[Order Dates]])</f>
        <v>9</v>
      </c>
      <c r="E1259" s="4" t="s">
        <v>76</v>
      </c>
      <c r="F1259" s="4" t="s">
        <v>125</v>
      </c>
      <c r="G1259" s="4" t="s">
        <v>170</v>
      </c>
      <c r="H1259" s="4" t="str">
        <f>TRIM(CLEAN(SUBSTITUTE(Table1_1[[#This Row],[Salesperson]],"   "," ")))</f>
        <v>Manish Tiwari</v>
      </c>
      <c r="I1259" s="4" t="s">
        <v>45</v>
      </c>
      <c r="J1259" s="4" t="s">
        <v>27</v>
      </c>
      <c r="K1259" s="4" t="s">
        <v>28</v>
      </c>
      <c r="L1259" s="4" t="s">
        <v>141</v>
      </c>
      <c r="M1259" s="4" t="s">
        <v>23</v>
      </c>
      <c r="N1259" s="4" t="s">
        <v>24</v>
      </c>
      <c r="O1259" s="4">
        <v>2</v>
      </c>
      <c r="P1259" s="7">
        <v>16140</v>
      </c>
      <c r="Q1259" s="8">
        <v>0.08</v>
      </c>
      <c r="R1259" s="7">
        <v>10600</v>
      </c>
      <c r="S1259" s="7">
        <f>Table1_1[[#This Row],[Units Sold]]*Table1_1[[#This Row],[Unit Price]]*(1-Table1_1[[#This Row],[Discount %]])</f>
        <v>29697.600000000002</v>
      </c>
      <c r="T1259" s="7">
        <f>Table1_1[[#This Row],[Units Sold]]*Table1_1[[#This Row],[Unit Cost]]</f>
        <v>21200</v>
      </c>
      <c r="U1259" s="7">
        <f>Table1_1[[#This Row],[Calculated sales]]-Table1_1[[#This Row],[Total cost]]</f>
        <v>8497.6000000000022</v>
      </c>
      <c r="V1259" s="4">
        <f>IFERROR(Table1_1[[#This Row],[Profit/Loss]]/Table1_1[[#This Row],[Calculated sales]],0)</f>
        <v>0.28613760034480906</v>
      </c>
    </row>
    <row r="1260" spans="1:22" x14ac:dyDescent="0.25">
      <c r="A1260" s="4" t="s">
        <v>1409</v>
      </c>
      <c r="B1260" s="5">
        <v>45929</v>
      </c>
      <c r="C1260" s="4">
        <f>YEAR(Table1_1[[#This Row],[Order Dates]])</f>
        <v>2025</v>
      </c>
      <c r="D1260" s="6">
        <f>MONTH(Table1_1[[#This Row],[Order Dates]])</f>
        <v>9</v>
      </c>
      <c r="E1260" s="4" t="s">
        <v>37</v>
      </c>
      <c r="F1260" s="4" t="s">
        <v>115</v>
      </c>
      <c r="G1260" s="4" t="s">
        <v>68</v>
      </c>
      <c r="H1260" s="4" t="str">
        <f>TRIM(CLEAN(SUBSTITUTE(Table1_1[[#This Row],[Salesperson]],"   "," ")))</f>
        <v>Ritika Ghosh</v>
      </c>
      <c r="I1260" s="4" t="s">
        <v>19</v>
      </c>
      <c r="J1260" s="4" t="s">
        <v>46</v>
      </c>
      <c r="K1260" s="4" t="s">
        <v>179</v>
      </c>
      <c r="L1260" s="4" t="s">
        <v>236</v>
      </c>
      <c r="M1260" s="4" t="s">
        <v>23</v>
      </c>
      <c r="N1260" s="4" t="s">
        <v>94</v>
      </c>
      <c r="O1260" s="4">
        <v>38</v>
      </c>
      <c r="P1260" s="7">
        <v>2260</v>
      </c>
      <c r="Q1260" s="8">
        <v>0.12</v>
      </c>
      <c r="R1260" s="7">
        <v>1390</v>
      </c>
      <c r="S1260" s="7">
        <f>Table1_1[[#This Row],[Units Sold]]*Table1_1[[#This Row],[Unit Price]]*(1-Table1_1[[#This Row],[Discount %]])</f>
        <v>75574.399999999994</v>
      </c>
      <c r="T1260" s="7">
        <f>Table1_1[[#This Row],[Units Sold]]*Table1_1[[#This Row],[Unit Cost]]</f>
        <v>52820</v>
      </c>
      <c r="U1260" s="7">
        <f>Table1_1[[#This Row],[Calculated sales]]-Table1_1[[#This Row],[Total cost]]</f>
        <v>22754.399999999994</v>
      </c>
      <c r="V1260" s="4">
        <f>IFERROR(Table1_1[[#This Row],[Profit/Loss]]/Table1_1[[#This Row],[Calculated sales]],0)</f>
        <v>0.30108608205953336</v>
      </c>
    </row>
    <row r="1261" spans="1:22" x14ac:dyDescent="0.25">
      <c r="A1261" s="4" t="s">
        <v>1410</v>
      </c>
      <c r="B1261" s="5">
        <v>45930</v>
      </c>
      <c r="C1261" s="4">
        <f>YEAR(Table1_1[[#This Row],[Order Dates]])</f>
        <v>2025</v>
      </c>
      <c r="D1261" s="6">
        <f>MONTH(Table1_1[[#This Row],[Order Dates]])</f>
        <v>9</v>
      </c>
      <c r="E1261" s="4" t="s">
        <v>16</v>
      </c>
      <c r="F1261" s="4" t="s">
        <v>51</v>
      </c>
      <c r="G1261" s="4" t="s">
        <v>26</v>
      </c>
      <c r="H1261" s="4" t="str">
        <f>TRIM(CLEAN(SUBSTITUTE(Table1_1[[#This Row],[Salesperson]],"   "," ")))</f>
        <v>Prateek Shah</v>
      </c>
      <c r="I1261" s="4" t="s">
        <v>19</v>
      </c>
      <c r="J1261" s="4" t="s">
        <v>27</v>
      </c>
      <c r="K1261" s="4" t="s">
        <v>53</v>
      </c>
      <c r="L1261" s="4" t="s">
        <v>1676</v>
      </c>
      <c r="M1261" s="4" t="s">
        <v>23</v>
      </c>
      <c r="N1261" s="4" t="s">
        <v>24</v>
      </c>
      <c r="O1261" s="4">
        <v>3</v>
      </c>
      <c r="P1261" s="7">
        <v>36090</v>
      </c>
      <c r="Q1261" s="8">
        <v>0.08</v>
      </c>
      <c r="R1261" s="7">
        <v>24540</v>
      </c>
      <c r="S1261" s="7">
        <f>Table1_1[[#This Row],[Units Sold]]*Table1_1[[#This Row],[Unit Price]]*(1-Table1_1[[#This Row],[Discount %]])</f>
        <v>99608.400000000009</v>
      </c>
      <c r="T1261" s="7">
        <f>Table1_1[[#This Row],[Units Sold]]*Table1_1[[#This Row],[Unit Cost]]</f>
        <v>73620</v>
      </c>
      <c r="U1261" s="7">
        <f>Table1_1[[#This Row],[Calculated sales]]-Table1_1[[#This Row],[Total cost]]</f>
        <v>25988.400000000009</v>
      </c>
      <c r="V1261" s="4">
        <f>IFERROR(Table1_1[[#This Row],[Profit/Loss]]/Table1_1[[#This Row],[Calculated sales]],0)</f>
        <v>0.26090570674762376</v>
      </c>
    </row>
    <row r="1262" spans="1:22" x14ac:dyDescent="0.25">
      <c r="A1262" s="4" t="s">
        <v>1411</v>
      </c>
      <c r="B1262" s="5">
        <v>45930</v>
      </c>
      <c r="C1262" s="4">
        <f>YEAR(Table1_1[[#This Row],[Order Dates]])</f>
        <v>2025</v>
      </c>
      <c r="D1262" s="6">
        <f>MONTH(Table1_1[[#This Row],[Order Dates]])</f>
        <v>9</v>
      </c>
      <c r="E1262" s="4" t="s">
        <v>76</v>
      </c>
      <c r="F1262" s="4" t="s">
        <v>77</v>
      </c>
      <c r="G1262" s="4" t="s">
        <v>78</v>
      </c>
      <c r="H1262" s="4" t="str">
        <f>TRIM(CLEAN(SUBSTITUTE(Table1_1[[#This Row],[Salesperson]],"   "," ")))</f>
        <v>Pooja Chouhan</v>
      </c>
      <c r="I1262" s="4" t="s">
        <v>19</v>
      </c>
      <c r="J1262" s="4" t="s">
        <v>83</v>
      </c>
      <c r="K1262" s="4" t="s">
        <v>184</v>
      </c>
      <c r="L1262" s="4" t="s">
        <v>196</v>
      </c>
      <c r="M1262" s="4" t="s">
        <v>49</v>
      </c>
      <c r="N1262" s="4" t="s">
        <v>24</v>
      </c>
      <c r="O1262" s="4">
        <v>11</v>
      </c>
      <c r="P1262" s="7">
        <v>3310</v>
      </c>
      <c r="Q1262" s="8">
        <v>0.25</v>
      </c>
      <c r="R1262" s="7">
        <v>1980</v>
      </c>
      <c r="S1262" s="7">
        <f>Table1_1[[#This Row],[Units Sold]]*Table1_1[[#This Row],[Unit Price]]*(1-Table1_1[[#This Row],[Discount %]])</f>
        <v>27307.5</v>
      </c>
      <c r="T1262" s="7">
        <f>Table1_1[[#This Row],[Units Sold]]*Table1_1[[#This Row],[Unit Cost]]</f>
        <v>21780</v>
      </c>
      <c r="U1262" s="7">
        <f>Table1_1[[#This Row],[Calculated sales]]-Table1_1[[#This Row],[Total cost]]</f>
        <v>5527.5</v>
      </c>
      <c r="V1262" s="4">
        <f>IFERROR(Table1_1[[#This Row],[Profit/Loss]]/Table1_1[[#This Row],[Calculated sales]],0)</f>
        <v>0.20241691842900303</v>
      </c>
    </row>
    <row r="1263" spans="1:22" x14ac:dyDescent="0.25">
      <c r="A1263" s="4" t="s">
        <v>1412</v>
      </c>
      <c r="B1263" s="5">
        <v>45930</v>
      </c>
      <c r="C1263" s="4">
        <f>YEAR(Table1_1[[#This Row],[Order Dates]])</f>
        <v>2025</v>
      </c>
      <c r="D1263" s="6">
        <f>MONTH(Table1_1[[#This Row],[Order Dates]])</f>
        <v>9</v>
      </c>
      <c r="E1263" s="4" t="s">
        <v>42</v>
      </c>
      <c r="F1263" s="4" t="s">
        <v>265</v>
      </c>
      <c r="G1263" s="4" t="s">
        <v>97</v>
      </c>
      <c r="H1263" s="4" t="str">
        <f>TRIM(CLEAN(SUBSTITUTE(Table1_1[[#This Row],[Salesperson]],"   "," ")))</f>
        <v>Rohit Malhotra</v>
      </c>
      <c r="I1263" s="4" t="s">
        <v>52</v>
      </c>
      <c r="J1263" s="4" t="s">
        <v>46</v>
      </c>
      <c r="K1263" s="4" t="s">
        <v>179</v>
      </c>
      <c r="L1263" s="4" t="s">
        <v>180</v>
      </c>
      <c r="M1263" s="4" t="s">
        <v>23</v>
      </c>
      <c r="N1263" s="4" t="s">
        <v>24</v>
      </c>
      <c r="O1263" s="4">
        <v>13</v>
      </c>
      <c r="P1263" s="7">
        <v>3670</v>
      </c>
      <c r="Q1263" s="8">
        <v>0.12</v>
      </c>
      <c r="R1263" s="7">
        <v>2810</v>
      </c>
      <c r="S1263" s="7">
        <f>Table1_1[[#This Row],[Units Sold]]*Table1_1[[#This Row],[Unit Price]]*(1-Table1_1[[#This Row],[Discount %]])</f>
        <v>41984.800000000003</v>
      </c>
      <c r="T1263" s="7">
        <f>Table1_1[[#This Row],[Units Sold]]*Table1_1[[#This Row],[Unit Cost]]</f>
        <v>36530</v>
      </c>
      <c r="U1263" s="7">
        <f>Table1_1[[#This Row],[Calculated sales]]-Table1_1[[#This Row],[Total cost]]</f>
        <v>5454.8000000000029</v>
      </c>
      <c r="V1263" s="4">
        <f>IFERROR(Table1_1[[#This Row],[Profit/Loss]]/Table1_1[[#This Row],[Calculated sales]],0)</f>
        <v>0.12992321030468176</v>
      </c>
    </row>
    <row r="1264" spans="1:22" x14ac:dyDescent="0.25">
      <c r="A1264" s="4" t="s">
        <v>1413</v>
      </c>
      <c r="B1264" s="5">
        <v>45931</v>
      </c>
      <c r="C1264" s="4">
        <f>YEAR(Table1_1[[#This Row],[Order Dates]])</f>
        <v>2025</v>
      </c>
      <c r="D1264" s="6">
        <f>MONTH(Table1_1[[#This Row],[Order Dates]])</f>
        <v>10</v>
      </c>
      <c r="E1264" s="4" t="s">
        <v>76</v>
      </c>
      <c r="F1264" s="4" t="s">
        <v>77</v>
      </c>
      <c r="G1264" s="4" t="s">
        <v>78</v>
      </c>
      <c r="H1264" s="4" t="str">
        <f>TRIM(CLEAN(SUBSTITUTE(Table1_1[[#This Row],[Salesperson]],"   "," ")))</f>
        <v>Pooja Chouhan</v>
      </c>
      <c r="I1264" s="4" t="s">
        <v>92</v>
      </c>
      <c r="J1264" s="4" t="s">
        <v>27</v>
      </c>
      <c r="K1264" s="4" t="s">
        <v>214</v>
      </c>
      <c r="L1264" s="4" t="s">
        <v>1680</v>
      </c>
      <c r="M1264" s="4" t="s">
        <v>40</v>
      </c>
      <c r="N1264" s="4" t="s">
        <v>24</v>
      </c>
      <c r="O1264" s="4">
        <v>6</v>
      </c>
      <c r="P1264" s="7">
        <v>34680</v>
      </c>
      <c r="Q1264" s="8">
        <v>0.05</v>
      </c>
      <c r="R1264" s="7">
        <v>25010</v>
      </c>
      <c r="S1264" s="7">
        <f>Table1_1[[#This Row],[Units Sold]]*Table1_1[[#This Row],[Unit Price]]*(1-Table1_1[[#This Row],[Discount %]])</f>
        <v>197676</v>
      </c>
      <c r="T1264" s="7">
        <f>Table1_1[[#This Row],[Units Sold]]*Table1_1[[#This Row],[Unit Cost]]</f>
        <v>150060</v>
      </c>
      <c r="U1264" s="7">
        <f>Table1_1[[#This Row],[Calculated sales]]-Table1_1[[#This Row],[Total cost]]</f>
        <v>47616</v>
      </c>
      <c r="V1264" s="4">
        <f>IFERROR(Table1_1[[#This Row],[Profit/Loss]]/Table1_1[[#This Row],[Calculated sales]],0)</f>
        <v>0.24087901414435745</v>
      </c>
    </row>
    <row r="1265" spans="1:22" x14ac:dyDescent="0.25">
      <c r="A1265" s="4" t="s">
        <v>1414</v>
      </c>
      <c r="B1265" s="5">
        <v>45931</v>
      </c>
      <c r="C1265" s="4">
        <f>YEAR(Table1_1[[#This Row],[Order Dates]])</f>
        <v>2025</v>
      </c>
      <c r="D1265" s="6">
        <f>MONTH(Table1_1[[#This Row],[Order Dates]])</f>
        <v>10</v>
      </c>
      <c r="E1265" s="4" t="s">
        <v>16</v>
      </c>
      <c r="F1265" s="4" t="s">
        <v>31</v>
      </c>
      <c r="G1265" s="4" t="s">
        <v>18</v>
      </c>
      <c r="H1265" s="4" t="str">
        <f>TRIM(CLEAN(SUBSTITUTE(Table1_1[[#This Row],[Salesperson]],"   "," ")))</f>
        <v>Imran Sheikh</v>
      </c>
      <c r="I1265" s="4" t="s">
        <v>19</v>
      </c>
      <c r="J1265" s="4" t="s">
        <v>20</v>
      </c>
      <c r="K1265" s="4" t="s">
        <v>87</v>
      </c>
      <c r="L1265" s="4" t="s">
        <v>1672</v>
      </c>
      <c r="M1265" s="4" t="s">
        <v>23</v>
      </c>
      <c r="N1265" s="4" t="s">
        <v>94</v>
      </c>
      <c r="O1265" s="4">
        <v>1</v>
      </c>
      <c r="P1265" s="7">
        <v>30850</v>
      </c>
      <c r="Q1265" s="8">
        <v>0.08</v>
      </c>
      <c r="R1265" s="7">
        <v>19480</v>
      </c>
      <c r="S1265" s="7">
        <f>Table1_1[[#This Row],[Units Sold]]*Table1_1[[#This Row],[Unit Price]]*(1-Table1_1[[#This Row],[Discount %]])</f>
        <v>28382</v>
      </c>
      <c r="T1265" s="7">
        <f>Table1_1[[#This Row],[Units Sold]]*Table1_1[[#This Row],[Unit Cost]]</f>
        <v>19480</v>
      </c>
      <c r="U1265" s="7">
        <f>Table1_1[[#This Row],[Calculated sales]]-Table1_1[[#This Row],[Total cost]]</f>
        <v>8902</v>
      </c>
      <c r="V1265" s="4">
        <f>IFERROR(Table1_1[[#This Row],[Profit/Loss]]/Table1_1[[#This Row],[Calculated sales]],0)</f>
        <v>0.31364949615953774</v>
      </c>
    </row>
    <row r="1266" spans="1:22" x14ac:dyDescent="0.25">
      <c r="A1266" s="4" t="s">
        <v>1415</v>
      </c>
      <c r="B1266" s="5">
        <v>45931</v>
      </c>
      <c r="C1266" s="4">
        <f>YEAR(Table1_1[[#This Row],[Order Dates]])</f>
        <v>2025</v>
      </c>
      <c r="D1266" s="6">
        <f>MONTH(Table1_1[[#This Row],[Order Dates]])</f>
        <v>10</v>
      </c>
      <c r="E1266" s="4" t="s">
        <v>42</v>
      </c>
      <c r="F1266" s="4" t="s">
        <v>123</v>
      </c>
      <c r="G1266" s="4" t="s">
        <v>64</v>
      </c>
      <c r="H1266" s="4" t="str">
        <f>TRIM(CLEAN(SUBSTITUTE(Table1_1[[#This Row],[Salesperson]],"   "," ")))</f>
        <v>Aditya Verma</v>
      </c>
      <c r="I1266" s="4" t="s">
        <v>19</v>
      </c>
      <c r="J1266" s="4" t="s">
        <v>20</v>
      </c>
      <c r="K1266" s="4" t="s">
        <v>21</v>
      </c>
      <c r="L1266" s="4" t="s">
        <v>1667</v>
      </c>
      <c r="M1266" s="4" t="s">
        <v>23</v>
      </c>
      <c r="N1266" s="4" t="s">
        <v>24</v>
      </c>
      <c r="O1266" s="4">
        <v>36</v>
      </c>
      <c r="P1266" s="7">
        <v>1740</v>
      </c>
      <c r="Q1266" s="8">
        <v>0.15</v>
      </c>
      <c r="R1266" s="7">
        <v>1270</v>
      </c>
      <c r="S1266" s="7">
        <f>Table1_1[[#This Row],[Units Sold]]*Table1_1[[#This Row],[Unit Price]]*(1-Table1_1[[#This Row],[Discount %]])</f>
        <v>53244</v>
      </c>
      <c r="T1266" s="7">
        <f>Table1_1[[#This Row],[Units Sold]]*Table1_1[[#This Row],[Unit Cost]]</f>
        <v>45720</v>
      </c>
      <c r="U1266" s="7">
        <f>Table1_1[[#This Row],[Calculated sales]]-Table1_1[[#This Row],[Total cost]]</f>
        <v>7524</v>
      </c>
      <c r="V1266" s="4">
        <f>IFERROR(Table1_1[[#This Row],[Profit/Loss]]/Table1_1[[#This Row],[Calculated sales]],0)</f>
        <v>0.14131169709263017</v>
      </c>
    </row>
    <row r="1267" spans="1:22" x14ac:dyDescent="0.25">
      <c r="A1267" s="4" t="s">
        <v>1416</v>
      </c>
      <c r="B1267" s="5">
        <v>45931</v>
      </c>
      <c r="C1267" s="4">
        <f>YEAR(Table1_1[[#This Row],[Order Dates]])</f>
        <v>2025</v>
      </c>
      <c r="D1267" s="6">
        <f>MONTH(Table1_1[[#This Row],[Order Dates]])</f>
        <v>10</v>
      </c>
      <c r="E1267" s="4" t="s">
        <v>42</v>
      </c>
      <c r="F1267" s="4" t="s">
        <v>265</v>
      </c>
      <c r="G1267" s="4" t="s">
        <v>97</v>
      </c>
      <c r="H1267" s="4" t="str">
        <f>TRIM(CLEAN(SUBSTITUTE(Table1_1[[#This Row],[Salesperson]],"   "," ")))</f>
        <v>Rohit Malhotra</v>
      </c>
      <c r="I1267" s="4" t="s">
        <v>45</v>
      </c>
      <c r="J1267" s="4" t="s">
        <v>20</v>
      </c>
      <c r="K1267" s="4" t="s">
        <v>109</v>
      </c>
      <c r="L1267" s="4" t="s">
        <v>171</v>
      </c>
      <c r="M1267" s="4" t="s">
        <v>49</v>
      </c>
      <c r="N1267" s="4" t="s">
        <v>35</v>
      </c>
      <c r="O1267" s="4">
        <v>2</v>
      </c>
      <c r="P1267" s="7">
        <v>21970</v>
      </c>
      <c r="Q1267" s="8">
        <v>0.18</v>
      </c>
      <c r="R1267" s="7">
        <v>12380</v>
      </c>
      <c r="S1267" s="7">
        <f>Table1_1[[#This Row],[Units Sold]]*Table1_1[[#This Row],[Unit Price]]*(1-Table1_1[[#This Row],[Discount %]])</f>
        <v>36030.800000000003</v>
      </c>
      <c r="T1267" s="7">
        <f>Table1_1[[#This Row],[Units Sold]]*Table1_1[[#This Row],[Unit Cost]]</f>
        <v>24760</v>
      </c>
      <c r="U1267" s="7">
        <f>Table1_1[[#This Row],[Calculated sales]]-Table1_1[[#This Row],[Total cost]]</f>
        <v>11270.800000000003</v>
      </c>
      <c r="V1267" s="4">
        <f>IFERROR(Table1_1[[#This Row],[Profit/Loss]]/Table1_1[[#This Row],[Calculated sales]],0)</f>
        <v>0.31281015131498613</v>
      </c>
    </row>
    <row r="1268" spans="1:22" x14ac:dyDescent="0.25">
      <c r="A1268" s="4" t="s">
        <v>1417</v>
      </c>
      <c r="B1268" s="5">
        <v>45931</v>
      </c>
      <c r="C1268" s="4">
        <f>YEAR(Table1_1[[#This Row],[Order Dates]])</f>
        <v>2025</v>
      </c>
      <c r="D1268" s="6">
        <f>MONTH(Table1_1[[#This Row],[Order Dates]])</f>
        <v>10</v>
      </c>
      <c r="E1268" s="4" t="s">
        <v>42</v>
      </c>
      <c r="F1268" s="4" t="s">
        <v>43</v>
      </c>
      <c r="G1268" s="4" t="s">
        <v>44</v>
      </c>
      <c r="H1268" s="4" t="str">
        <f>TRIM(CLEAN(SUBSTITUTE(Table1_1[[#This Row],[Salesperson]],"   "," ")))</f>
        <v>Simran Kaur</v>
      </c>
      <c r="I1268" s="4" t="s">
        <v>52</v>
      </c>
      <c r="J1268" s="4" t="s">
        <v>27</v>
      </c>
      <c r="K1268" s="4" t="s">
        <v>214</v>
      </c>
      <c r="L1268" s="4" t="s">
        <v>1681</v>
      </c>
      <c r="M1268" s="4" t="s">
        <v>23</v>
      </c>
      <c r="N1268" s="4" t="s">
        <v>24</v>
      </c>
      <c r="O1268" s="4">
        <v>8</v>
      </c>
      <c r="P1268" s="7">
        <v>14050</v>
      </c>
      <c r="Q1268" s="8">
        <v>0.12</v>
      </c>
      <c r="R1268" s="7">
        <v>8220</v>
      </c>
      <c r="S1268" s="7">
        <f>Table1_1[[#This Row],[Units Sold]]*Table1_1[[#This Row],[Unit Price]]*(1-Table1_1[[#This Row],[Discount %]])</f>
        <v>98912</v>
      </c>
      <c r="T1268" s="7">
        <f>Table1_1[[#This Row],[Units Sold]]*Table1_1[[#This Row],[Unit Cost]]</f>
        <v>65760</v>
      </c>
      <c r="U1268" s="7">
        <f>Table1_1[[#This Row],[Calculated sales]]-Table1_1[[#This Row],[Total cost]]</f>
        <v>33152</v>
      </c>
      <c r="V1268" s="4">
        <f>IFERROR(Table1_1[[#This Row],[Profit/Loss]]/Table1_1[[#This Row],[Calculated sales]],0)</f>
        <v>0.33516661274668391</v>
      </c>
    </row>
    <row r="1269" spans="1:22" x14ac:dyDescent="0.25">
      <c r="A1269" s="4" t="s">
        <v>1418</v>
      </c>
      <c r="B1269" s="5">
        <v>45931</v>
      </c>
      <c r="C1269" s="4">
        <f>YEAR(Table1_1[[#This Row],[Order Dates]])</f>
        <v>2025</v>
      </c>
      <c r="D1269" s="6">
        <f>MONTH(Table1_1[[#This Row],[Order Dates]])</f>
        <v>10</v>
      </c>
      <c r="E1269" s="4" t="s">
        <v>76</v>
      </c>
      <c r="F1269" s="4" t="s">
        <v>112</v>
      </c>
      <c r="G1269" s="4" t="s">
        <v>78</v>
      </c>
      <c r="H1269" s="4" t="str">
        <f>TRIM(CLEAN(SUBSTITUTE(Table1_1[[#This Row],[Salesperson]],"   "," ")))</f>
        <v>Pooja Chouhan</v>
      </c>
      <c r="I1269" s="4" t="s">
        <v>52</v>
      </c>
      <c r="J1269" s="4" t="s">
        <v>46</v>
      </c>
      <c r="K1269" s="4" t="s">
        <v>179</v>
      </c>
      <c r="L1269" s="4" t="s">
        <v>180</v>
      </c>
      <c r="M1269" s="4" t="s">
        <v>23</v>
      </c>
      <c r="N1269" s="4" t="s">
        <v>94</v>
      </c>
      <c r="O1269" s="4">
        <v>12</v>
      </c>
      <c r="P1269" s="7">
        <v>3980</v>
      </c>
      <c r="Q1269" s="8">
        <v>0.2</v>
      </c>
      <c r="R1269" s="7">
        <v>2320</v>
      </c>
      <c r="S1269" s="7">
        <f>Table1_1[[#This Row],[Units Sold]]*Table1_1[[#This Row],[Unit Price]]*(1-Table1_1[[#This Row],[Discount %]])</f>
        <v>38208</v>
      </c>
      <c r="T1269" s="7">
        <f>Table1_1[[#This Row],[Units Sold]]*Table1_1[[#This Row],[Unit Cost]]</f>
        <v>27840</v>
      </c>
      <c r="U1269" s="7">
        <f>Table1_1[[#This Row],[Calculated sales]]-Table1_1[[#This Row],[Total cost]]</f>
        <v>10368</v>
      </c>
      <c r="V1269" s="4">
        <f>IFERROR(Table1_1[[#This Row],[Profit/Loss]]/Table1_1[[#This Row],[Calculated sales]],0)</f>
        <v>0.271356783919598</v>
      </c>
    </row>
    <row r="1270" spans="1:22" x14ac:dyDescent="0.25">
      <c r="A1270" s="4" t="s">
        <v>1419</v>
      </c>
      <c r="B1270" s="5">
        <v>45932</v>
      </c>
      <c r="C1270" s="4">
        <f>YEAR(Table1_1[[#This Row],[Order Dates]])</f>
        <v>2025</v>
      </c>
      <c r="D1270" s="6">
        <f>MONTH(Table1_1[[#This Row],[Order Dates]])</f>
        <v>10</v>
      </c>
      <c r="E1270" s="4" t="s">
        <v>56</v>
      </c>
      <c r="F1270" s="4" t="s">
        <v>127</v>
      </c>
      <c r="G1270" s="4" t="s">
        <v>58</v>
      </c>
      <c r="H1270" s="4" t="str">
        <f>TRIM(CLEAN(SUBSTITUTE(Table1_1[[#This Row],[Salesperson]],"   "," ")))</f>
        <v>Karthik Raman</v>
      </c>
      <c r="I1270" s="4" t="s">
        <v>52</v>
      </c>
      <c r="J1270" s="4" t="s">
        <v>27</v>
      </c>
      <c r="K1270" s="4" t="s">
        <v>53</v>
      </c>
      <c r="L1270" s="4" t="s">
        <v>1669</v>
      </c>
      <c r="M1270" s="4" t="s">
        <v>49</v>
      </c>
      <c r="N1270" s="4" t="s">
        <v>24</v>
      </c>
      <c r="O1270" s="4">
        <v>3</v>
      </c>
      <c r="P1270" s="7">
        <v>42450</v>
      </c>
      <c r="Q1270" s="8">
        <v>0.05</v>
      </c>
      <c r="R1270" s="7">
        <v>26890</v>
      </c>
      <c r="S1270" s="7">
        <f>Table1_1[[#This Row],[Units Sold]]*Table1_1[[#This Row],[Unit Price]]*(1-Table1_1[[#This Row],[Discount %]])</f>
        <v>120982.5</v>
      </c>
      <c r="T1270" s="7">
        <f>Table1_1[[#This Row],[Units Sold]]*Table1_1[[#This Row],[Unit Cost]]</f>
        <v>80670</v>
      </c>
      <c r="U1270" s="7">
        <f>Table1_1[[#This Row],[Calculated sales]]-Table1_1[[#This Row],[Total cost]]</f>
        <v>40312.5</v>
      </c>
      <c r="V1270" s="4">
        <f>IFERROR(Table1_1[[#This Row],[Profit/Loss]]/Table1_1[[#This Row],[Calculated sales]],0)</f>
        <v>0.33320934845948796</v>
      </c>
    </row>
    <row r="1271" spans="1:22" x14ac:dyDescent="0.25">
      <c r="A1271" s="4" t="s">
        <v>1420</v>
      </c>
      <c r="B1271" s="5">
        <v>45932</v>
      </c>
      <c r="C1271" s="4">
        <f>YEAR(Table1_1[[#This Row],[Order Dates]])</f>
        <v>2025</v>
      </c>
      <c r="D1271" s="6">
        <f>MONTH(Table1_1[[#This Row],[Order Dates]])</f>
        <v>10</v>
      </c>
      <c r="E1271" s="4" t="s">
        <v>56</v>
      </c>
      <c r="F1271" s="4" t="s">
        <v>57</v>
      </c>
      <c r="G1271" s="4" t="s">
        <v>134</v>
      </c>
      <c r="H1271" s="4" t="str">
        <f>TRIM(CLEAN(SUBSTITUTE(Table1_1[[#This Row],[Salesperson]],"   "," ")))</f>
        <v>Divya Nair</v>
      </c>
      <c r="I1271" s="4" t="s">
        <v>19</v>
      </c>
      <c r="J1271" s="4" t="s">
        <v>20</v>
      </c>
      <c r="K1271" s="4" t="s">
        <v>87</v>
      </c>
      <c r="L1271" s="4" t="s">
        <v>1674</v>
      </c>
      <c r="M1271" s="4" t="s">
        <v>49</v>
      </c>
      <c r="N1271" s="4" t="s">
        <v>119</v>
      </c>
      <c r="O1271" s="4">
        <v>4</v>
      </c>
      <c r="P1271" s="7">
        <v>52950</v>
      </c>
      <c r="Q1271" s="8">
        <v>0.08</v>
      </c>
      <c r="R1271" s="7">
        <v>40350</v>
      </c>
      <c r="S1271" s="7">
        <f>Table1_1[[#This Row],[Units Sold]]*Table1_1[[#This Row],[Unit Price]]*(1-Table1_1[[#This Row],[Discount %]])</f>
        <v>194856</v>
      </c>
      <c r="T1271" s="7">
        <f>Table1_1[[#This Row],[Units Sold]]*Table1_1[[#This Row],[Unit Cost]]</f>
        <v>161400</v>
      </c>
      <c r="U1271" s="7">
        <f>Table1_1[[#This Row],[Calculated sales]]-Table1_1[[#This Row],[Total cost]]</f>
        <v>33456</v>
      </c>
      <c r="V1271" s="4">
        <f>IFERROR(Table1_1[[#This Row],[Profit/Loss]]/Table1_1[[#This Row],[Calculated sales]],0)</f>
        <v>0.1716960216775465</v>
      </c>
    </row>
    <row r="1272" spans="1:22" x14ac:dyDescent="0.25">
      <c r="A1272" s="4" t="s">
        <v>1421</v>
      </c>
      <c r="B1272" s="5">
        <v>45932</v>
      </c>
      <c r="C1272" s="4">
        <f>YEAR(Table1_1[[#This Row],[Order Dates]])</f>
        <v>2025</v>
      </c>
      <c r="D1272" s="6">
        <f>MONTH(Table1_1[[#This Row],[Order Dates]])</f>
        <v>10</v>
      </c>
      <c r="E1272" s="4" t="s">
        <v>42</v>
      </c>
      <c r="F1272" s="4" t="s">
        <v>123</v>
      </c>
      <c r="G1272" s="4" t="s">
        <v>44</v>
      </c>
      <c r="H1272" s="4" t="str">
        <f>TRIM(CLEAN(SUBSTITUTE(Table1_1[[#This Row],[Salesperson]],"   "," ")))</f>
        <v>Simran Kaur</v>
      </c>
      <c r="I1272" s="4" t="s">
        <v>52</v>
      </c>
      <c r="J1272" s="4" t="s">
        <v>27</v>
      </c>
      <c r="K1272" s="4" t="s">
        <v>79</v>
      </c>
      <c r="L1272" s="4" t="s">
        <v>80</v>
      </c>
      <c r="M1272" s="4" t="s">
        <v>23</v>
      </c>
      <c r="N1272" s="4" t="s">
        <v>24</v>
      </c>
      <c r="O1272" s="4">
        <v>15</v>
      </c>
      <c r="P1272" s="7">
        <v>4730</v>
      </c>
      <c r="Q1272" s="8">
        <v>0.12</v>
      </c>
      <c r="R1272" s="7">
        <v>3560</v>
      </c>
      <c r="S1272" s="7">
        <f>Table1_1[[#This Row],[Units Sold]]*Table1_1[[#This Row],[Unit Price]]*(1-Table1_1[[#This Row],[Discount %]])</f>
        <v>62436</v>
      </c>
      <c r="T1272" s="7">
        <f>Table1_1[[#This Row],[Units Sold]]*Table1_1[[#This Row],[Unit Cost]]</f>
        <v>53400</v>
      </c>
      <c r="U1272" s="7">
        <f>Table1_1[[#This Row],[Calculated sales]]-Table1_1[[#This Row],[Total cost]]</f>
        <v>9036</v>
      </c>
      <c r="V1272" s="4">
        <f>IFERROR(Table1_1[[#This Row],[Profit/Loss]]/Table1_1[[#This Row],[Calculated sales]],0)</f>
        <v>0.1447241975783202</v>
      </c>
    </row>
    <row r="1273" spans="1:22" x14ac:dyDescent="0.25">
      <c r="A1273" s="4" t="s">
        <v>1422</v>
      </c>
      <c r="B1273" s="5">
        <v>45932</v>
      </c>
      <c r="C1273" s="4">
        <f>YEAR(Table1_1[[#This Row],[Order Dates]])</f>
        <v>2025</v>
      </c>
      <c r="D1273" s="6">
        <f>MONTH(Table1_1[[#This Row],[Order Dates]])</f>
        <v>10</v>
      </c>
      <c r="E1273" s="4" t="s">
        <v>16</v>
      </c>
      <c r="F1273" s="4" t="s">
        <v>51</v>
      </c>
      <c r="G1273" s="4" t="s">
        <v>32</v>
      </c>
      <c r="H1273" s="4" t="str">
        <f>TRIM(CLEAN(SUBSTITUTE(Table1_1[[#This Row],[Salesperson]],"   "," ")))</f>
        <v>Neha Deshpande</v>
      </c>
      <c r="I1273" s="4" t="s">
        <v>19</v>
      </c>
      <c r="J1273" s="4" t="s">
        <v>83</v>
      </c>
      <c r="K1273" s="4" t="s">
        <v>84</v>
      </c>
      <c r="L1273" s="4" t="s">
        <v>1671</v>
      </c>
      <c r="M1273" s="4" t="s">
        <v>23</v>
      </c>
      <c r="N1273" s="4" t="s">
        <v>24</v>
      </c>
      <c r="O1273" s="4">
        <v>37</v>
      </c>
      <c r="P1273" s="7">
        <v>2520</v>
      </c>
      <c r="Q1273" s="8">
        <v>0.05</v>
      </c>
      <c r="R1273" s="7">
        <v>1670</v>
      </c>
      <c r="S1273" s="7">
        <f>Table1_1[[#This Row],[Units Sold]]*Table1_1[[#This Row],[Unit Price]]*(1-Table1_1[[#This Row],[Discount %]])</f>
        <v>88578</v>
      </c>
      <c r="T1273" s="7">
        <f>Table1_1[[#This Row],[Units Sold]]*Table1_1[[#This Row],[Unit Cost]]</f>
        <v>61790</v>
      </c>
      <c r="U1273" s="7">
        <f>Table1_1[[#This Row],[Calculated sales]]-Table1_1[[#This Row],[Total cost]]</f>
        <v>26788</v>
      </c>
      <c r="V1273" s="4">
        <f>IFERROR(Table1_1[[#This Row],[Profit/Loss]]/Table1_1[[#This Row],[Calculated sales]],0)</f>
        <v>0.30242272347535504</v>
      </c>
    </row>
    <row r="1274" spans="1:22" x14ac:dyDescent="0.25">
      <c r="A1274" s="4" t="s">
        <v>1423</v>
      </c>
      <c r="B1274" s="5">
        <v>45932</v>
      </c>
      <c r="C1274" s="4">
        <f>YEAR(Table1_1[[#This Row],[Order Dates]])</f>
        <v>2025</v>
      </c>
      <c r="D1274" s="6">
        <f>MONTH(Table1_1[[#This Row],[Order Dates]])</f>
        <v>10</v>
      </c>
      <c r="E1274" s="4" t="s">
        <v>42</v>
      </c>
      <c r="F1274" s="4" t="s">
        <v>96</v>
      </c>
      <c r="G1274" s="4" t="s">
        <v>44</v>
      </c>
      <c r="H1274" s="4" t="str">
        <f>TRIM(CLEAN(SUBSTITUTE(Table1_1[[#This Row],[Salesperson]],"   "," ")))</f>
        <v>Simran Kaur</v>
      </c>
      <c r="I1274" s="4" t="s">
        <v>52</v>
      </c>
      <c r="J1274" s="4" t="s">
        <v>27</v>
      </c>
      <c r="K1274" s="4" t="s">
        <v>28</v>
      </c>
      <c r="L1274" s="4" t="s">
        <v>141</v>
      </c>
      <c r="M1274" s="4" t="s">
        <v>40</v>
      </c>
      <c r="N1274" s="4" t="s">
        <v>94</v>
      </c>
      <c r="O1274" s="4">
        <v>7</v>
      </c>
      <c r="P1274" s="7">
        <v>16570</v>
      </c>
      <c r="Q1274" s="8">
        <v>0.05</v>
      </c>
      <c r="R1274" s="7">
        <v>12660</v>
      </c>
      <c r="S1274" s="7">
        <f>Table1_1[[#This Row],[Units Sold]]*Table1_1[[#This Row],[Unit Price]]*(1-Table1_1[[#This Row],[Discount %]])</f>
        <v>110190.5</v>
      </c>
      <c r="T1274" s="7">
        <f>Table1_1[[#This Row],[Units Sold]]*Table1_1[[#This Row],[Unit Cost]]</f>
        <v>88620</v>
      </c>
      <c r="U1274" s="7">
        <f>Table1_1[[#This Row],[Calculated sales]]-Table1_1[[#This Row],[Total cost]]</f>
        <v>21570.5</v>
      </c>
      <c r="V1274" s="4">
        <f>IFERROR(Table1_1[[#This Row],[Profit/Loss]]/Table1_1[[#This Row],[Calculated sales]],0)</f>
        <v>0.19575643998348316</v>
      </c>
    </row>
    <row r="1275" spans="1:22" x14ac:dyDescent="0.25">
      <c r="A1275" s="4" t="s">
        <v>1424</v>
      </c>
      <c r="B1275" s="5">
        <v>45933</v>
      </c>
      <c r="C1275" s="4">
        <f>YEAR(Table1_1[[#This Row],[Order Dates]])</f>
        <v>2025</v>
      </c>
      <c r="D1275" s="6">
        <f>MONTH(Table1_1[[#This Row],[Order Dates]])</f>
        <v>10</v>
      </c>
      <c r="E1275" s="4" t="s">
        <v>16</v>
      </c>
      <c r="F1275" s="4" t="s">
        <v>153</v>
      </c>
      <c r="G1275" s="4" t="s">
        <v>18</v>
      </c>
      <c r="H1275" s="4" t="str">
        <f>TRIM(CLEAN(SUBSTITUTE(Table1_1[[#This Row],[Salesperson]],"   "," ")))</f>
        <v>Imran Sheikh</v>
      </c>
      <c r="I1275" s="4" t="s">
        <v>52</v>
      </c>
      <c r="J1275" s="4" t="s">
        <v>20</v>
      </c>
      <c r="K1275" s="4" t="s">
        <v>87</v>
      </c>
      <c r="L1275" s="4" t="s">
        <v>1674</v>
      </c>
      <c r="M1275" s="4" t="s">
        <v>40</v>
      </c>
      <c r="N1275" s="4" t="s">
        <v>24</v>
      </c>
      <c r="O1275" s="4">
        <v>4</v>
      </c>
      <c r="P1275" s="7">
        <v>52840</v>
      </c>
      <c r="Q1275" s="8">
        <v>0.15</v>
      </c>
      <c r="R1275" s="7">
        <v>41340</v>
      </c>
      <c r="S1275" s="7">
        <f>Table1_1[[#This Row],[Units Sold]]*Table1_1[[#This Row],[Unit Price]]*(1-Table1_1[[#This Row],[Discount %]])</f>
        <v>179656</v>
      </c>
      <c r="T1275" s="7">
        <f>Table1_1[[#This Row],[Units Sold]]*Table1_1[[#This Row],[Unit Cost]]</f>
        <v>165360</v>
      </c>
      <c r="U1275" s="7">
        <f>Table1_1[[#This Row],[Calculated sales]]-Table1_1[[#This Row],[Total cost]]</f>
        <v>14296</v>
      </c>
      <c r="V1275" s="4">
        <f>IFERROR(Table1_1[[#This Row],[Profit/Loss]]/Table1_1[[#This Row],[Calculated sales]],0)</f>
        <v>7.9574297546422049E-2</v>
      </c>
    </row>
    <row r="1276" spans="1:22" x14ac:dyDescent="0.25">
      <c r="A1276" s="4" t="s">
        <v>1425</v>
      </c>
      <c r="B1276" s="5">
        <v>45933</v>
      </c>
      <c r="C1276" s="4">
        <f>YEAR(Table1_1[[#This Row],[Order Dates]])</f>
        <v>2025</v>
      </c>
      <c r="D1276" s="6">
        <f>MONTH(Table1_1[[#This Row],[Order Dates]])</f>
        <v>10</v>
      </c>
      <c r="E1276" s="4" t="s">
        <v>42</v>
      </c>
      <c r="F1276" s="4" t="s">
        <v>43</v>
      </c>
      <c r="G1276" s="4" t="s">
        <v>97</v>
      </c>
      <c r="H1276" s="4" t="str">
        <f>TRIM(CLEAN(SUBSTITUTE(Table1_1[[#This Row],[Salesperson]],"   "," ")))</f>
        <v>Rohit Malhotra</v>
      </c>
      <c r="I1276" s="4" t="s">
        <v>52</v>
      </c>
      <c r="J1276" s="4" t="s">
        <v>27</v>
      </c>
      <c r="K1276" s="4" t="s">
        <v>214</v>
      </c>
      <c r="L1276" s="4" t="s">
        <v>1680</v>
      </c>
      <c r="M1276" s="4" t="s">
        <v>23</v>
      </c>
      <c r="N1276" s="4" t="s">
        <v>24</v>
      </c>
      <c r="O1276" s="4">
        <v>2</v>
      </c>
      <c r="P1276" s="7">
        <v>33120</v>
      </c>
      <c r="Q1276" s="8">
        <v>0</v>
      </c>
      <c r="R1276" s="7">
        <v>21200</v>
      </c>
      <c r="S1276" s="7">
        <f>Table1_1[[#This Row],[Units Sold]]*Table1_1[[#This Row],[Unit Price]]*(1-Table1_1[[#This Row],[Discount %]])</f>
        <v>66240</v>
      </c>
      <c r="T1276" s="7">
        <f>Table1_1[[#This Row],[Units Sold]]*Table1_1[[#This Row],[Unit Cost]]</f>
        <v>42400</v>
      </c>
      <c r="U1276" s="7">
        <f>Table1_1[[#This Row],[Calculated sales]]-Table1_1[[#This Row],[Total cost]]</f>
        <v>23840</v>
      </c>
      <c r="V1276" s="4">
        <f>IFERROR(Table1_1[[#This Row],[Profit/Loss]]/Table1_1[[#This Row],[Calculated sales]],0)</f>
        <v>0.35990338164251207</v>
      </c>
    </row>
    <row r="1277" spans="1:22" x14ac:dyDescent="0.25">
      <c r="A1277" s="4" t="s">
        <v>1426</v>
      </c>
      <c r="B1277" s="5">
        <v>45934</v>
      </c>
      <c r="C1277" s="4">
        <f>YEAR(Table1_1[[#This Row],[Order Dates]])</f>
        <v>2025</v>
      </c>
      <c r="D1277" s="6">
        <f>MONTH(Table1_1[[#This Row],[Order Dates]])</f>
        <v>10</v>
      </c>
      <c r="E1277" s="4" t="s">
        <v>16</v>
      </c>
      <c r="F1277" s="4" t="s">
        <v>191</v>
      </c>
      <c r="G1277" s="4" t="s">
        <v>26</v>
      </c>
      <c r="H1277" s="4" t="str">
        <f>TRIM(CLEAN(SUBSTITUTE(Table1_1[[#This Row],[Salesperson]],"   "," ")))</f>
        <v>Prateek Shah</v>
      </c>
      <c r="I1277" s="4" t="s">
        <v>19</v>
      </c>
      <c r="J1277" s="4" t="s">
        <v>46</v>
      </c>
      <c r="K1277" s="4" t="s">
        <v>179</v>
      </c>
      <c r="L1277" s="4" t="s">
        <v>221</v>
      </c>
      <c r="M1277" s="4" t="s">
        <v>49</v>
      </c>
      <c r="N1277" s="4" t="s">
        <v>24</v>
      </c>
      <c r="O1277" s="4">
        <v>10</v>
      </c>
      <c r="P1277" s="7">
        <v>1630</v>
      </c>
      <c r="Q1277" s="8">
        <v>0.08</v>
      </c>
      <c r="R1277" s="7">
        <v>1130</v>
      </c>
      <c r="S1277" s="7">
        <f>Table1_1[[#This Row],[Units Sold]]*Table1_1[[#This Row],[Unit Price]]*(1-Table1_1[[#This Row],[Discount %]])</f>
        <v>14996</v>
      </c>
      <c r="T1277" s="7">
        <f>Table1_1[[#This Row],[Units Sold]]*Table1_1[[#This Row],[Unit Cost]]</f>
        <v>11300</v>
      </c>
      <c r="U1277" s="7">
        <f>Table1_1[[#This Row],[Calculated sales]]-Table1_1[[#This Row],[Total cost]]</f>
        <v>3696</v>
      </c>
      <c r="V1277" s="4">
        <f>IFERROR(Table1_1[[#This Row],[Profit/Loss]]/Table1_1[[#This Row],[Calculated sales]],0)</f>
        <v>0.24646572419311816</v>
      </c>
    </row>
    <row r="1278" spans="1:22" x14ac:dyDescent="0.25">
      <c r="A1278" s="4" t="s">
        <v>1427</v>
      </c>
      <c r="B1278" s="5">
        <v>45934</v>
      </c>
      <c r="C1278" s="4">
        <f>YEAR(Table1_1[[#This Row],[Order Dates]])</f>
        <v>2025</v>
      </c>
      <c r="D1278" s="6">
        <f>MONTH(Table1_1[[#This Row],[Order Dates]])</f>
        <v>10</v>
      </c>
      <c r="E1278" s="4" t="s">
        <v>42</v>
      </c>
      <c r="F1278" s="4" t="s">
        <v>146</v>
      </c>
      <c r="G1278" s="4" t="s">
        <v>64</v>
      </c>
      <c r="H1278" s="4" t="str">
        <f>TRIM(CLEAN(SUBSTITUTE(Table1_1[[#This Row],[Salesperson]],"   "," ")))</f>
        <v>Aditya Verma</v>
      </c>
      <c r="I1278" s="4" t="s">
        <v>19</v>
      </c>
      <c r="J1278" s="4" t="s">
        <v>46</v>
      </c>
      <c r="K1278" s="4" t="s">
        <v>47</v>
      </c>
      <c r="L1278" s="4" t="s">
        <v>259</v>
      </c>
      <c r="M1278" s="4" t="s">
        <v>23</v>
      </c>
      <c r="N1278" s="4" t="s">
        <v>24</v>
      </c>
      <c r="O1278" s="4">
        <v>32</v>
      </c>
      <c r="P1278" s="7">
        <v>2920</v>
      </c>
      <c r="Q1278" s="8">
        <v>0.18</v>
      </c>
      <c r="R1278" s="7">
        <v>2040</v>
      </c>
      <c r="S1278" s="7">
        <f>Table1_1[[#This Row],[Units Sold]]*Table1_1[[#This Row],[Unit Price]]*(1-Table1_1[[#This Row],[Discount %]])</f>
        <v>76620.800000000003</v>
      </c>
      <c r="T1278" s="7">
        <f>Table1_1[[#This Row],[Units Sold]]*Table1_1[[#This Row],[Unit Cost]]</f>
        <v>65280</v>
      </c>
      <c r="U1278" s="7">
        <f>Table1_1[[#This Row],[Calculated sales]]-Table1_1[[#This Row],[Total cost]]</f>
        <v>11340.800000000003</v>
      </c>
      <c r="V1278" s="4">
        <f>IFERROR(Table1_1[[#This Row],[Profit/Loss]]/Table1_1[[#This Row],[Calculated sales]],0)</f>
        <v>0.14801202806548616</v>
      </c>
    </row>
    <row r="1279" spans="1:22" x14ac:dyDescent="0.25">
      <c r="A1279" s="4" t="s">
        <v>1428</v>
      </c>
      <c r="B1279" s="5">
        <v>45934</v>
      </c>
      <c r="C1279" s="4">
        <f>YEAR(Table1_1[[#This Row],[Order Dates]])</f>
        <v>2025</v>
      </c>
      <c r="D1279" s="6">
        <f>MONTH(Table1_1[[#This Row],[Order Dates]])</f>
        <v>10</v>
      </c>
      <c r="E1279" s="4" t="s">
        <v>42</v>
      </c>
      <c r="F1279" s="4" t="s">
        <v>123</v>
      </c>
      <c r="G1279" s="4" t="s">
        <v>44</v>
      </c>
      <c r="H1279" s="4" t="str">
        <f>TRIM(CLEAN(SUBSTITUTE(Table1_1[[#This Row],[Salesperson]],"   "," ")))</f>
        <v>Simran Kaur</v>
      </c>
      <c r="I1279" s="4" t="s">
        <v>92</v>
      </c>
      <c r="J1279" s="4" t="s">
        <v>20</v>
      </c>
      <c r="K1279" s="4" t="s">
        <v>33</v>
      </c>
      <c r="L1279" s="4" t="s">
        <v>34</v>
      </c>
      <c r="M1279" s="4" t="s">
        <v>40</v>
      </c>
      <c r="N1279" s="4" t="s">
        <v>24</v>
      </c>
      <c r="O1279" s="4">
        <v>7</v>
      </c>
      <c r="P1279" s="7">
        <v>54360</v>
      </c>
      <c r="Q1279" s="8">
        <v>0.08</v>
      </c>
      <c r="R1279" s="7">
        <v>35640</v>
      </c>
      <c r="S1279" s="7">
        <f>Table1_1[[#This Row],[Units Sold]]*Table1_1[[#This Row],[Unit Price]]*(1-Table1_1[[#This Row],[Discount %]])</f>
        <v>350078.4</v>
      </c>
      <c r="T1279" s="7">
        <f>Table1_1[[#This Row],[Units Sold]]*Table1_1[[#This Row],[Unit Cost]]</f>
        <v>249480</v>
      </c>
      <c r="U1279" s="7">
        <f>Table1_1[[#This Row],[Calculated sales]]-Table1_1[[#This Row],[Total cost]]</f>
        <v>100598.40000000002</v>
      </c>
      <c r="V1279" s="4">
        <f>IFERROR(Table1_1[[#This Row],[Profit/Loss]]/Table1_1[[#This Row],[Calculated sales]],0)</f>
        <v>0.28735963144255694</v>
      </c>
    </row>
    <row r="1280" spans="1:22" x14ac:dyDescent="0.25">
      <c r="A1280" s="4" t="s">
        <v>1429</v>
      </c>
      <c r="B1280" s="5">
        <v>45934</v>
      </c>
      <c r="C1280" s="4">
        <f>YEAR(Table1_1[[#This Row],[Order Dates]])</f>
        <v>2025</v>
      </c>
      <c r="D1280" s="6">
        <f>MONTH(Table1_1[[#This Row],[Order Dates]])</f>
        <v>10</v>
      </c>
      <c r="E1280" s="4" t="s">
        <v>42</v>
      </c>
      <c r="F1280" s="4" t="s">
        <v>123</v>
      </c>
      <c r="G1280" s="4" t="s">
        <v>64</v>
      </c>
      <c r="H1280" s="4" t="str">
        <f>TRIM(CLEAN(SUBSTITUTE(Table1_1[[#This Row],[Salesperson]],"   "," ")))</f>
        <v>Aditya Verma</v>
      </c>
      <c r="I1280" s="4" t="s">
        <v>19</v>
      </c>
      <c r="J1280" s="4" t="s">
        <v>20</v>
      </c>
      <c r="K1280" s="4" t="s">
        <v>21</v>
      </c>
      <c r="L1280" s="4" t="s">
        <v>1667</v>
      </c>
      <c r="M1280" s="4" t="s">
        <v>40</v>
      </c>
      <c r="N1280" s="4" t="s">
        <v>24</v>
      </c>
      <c r="O1280" s="4">
        <v>40</v>
      </c>
      <c r="P1280" s="7">
        <v>1830</v>
      </c>
      <c r="Q1280" s="8">
        <v>0.05</v>
      </c>
      <c r="R1280" s="7">
        <v>1030</v>
      </c>
      <c r="S1280" s="7">
        <f>Table1_1[[#This Row],[Units Sold]]*Table1_1[[#This Row],[Unit Price]]*(1-Table1_1[[#This Row],[Discount %]])</f>
        <v>69540</v>
      </c>
      <c r="T1280" s="7">
        <f>Table1_1[[#This Row],[Units Sold]]*Table1_1[[#This Row],[Unit Cost]]</f>
        <v>41200</v>
      </c>
      <c r="U1280" s="7">
        <f>Table1_1[[#This Row],[Calculated sales]]-Table1_1[[#This Row],[Total cost]]</f>
        <v>28340</v>
      </c>
      <c r="V1280" s="4">
        <f>IFERROR(Table1_1[[#This Row],[Profit/Loss]]/Table1_1[[#This Row],[Calculated sales]],0)</f>
        <v>0.40753523152142651</v>
      </c>
    </row>
    <row r="1281" spans="1:22" x14ac:dyDescent="0.25">
      <c r="A1281" s="4" t="s">
        <v>1430</v>
      </c>
      <c r="B1281" s="5">
        <v>45935</v>
      </c>
      <c r="C1281" s="4">
        <f>YEAR(Table1_1[[#This Row],[Order Dates]])</f>
        <v>2025</v>
      </c>
      <c r="D1281" s="6">
        <f>MONTH(Table1_1[[#This Row],[Order Dates]])</f>
        <v>10</v>
      </c>
      <c r="E1281" s="4" t="s">
        <v>42</v>
      </c>
      <c r="F1281" s="4" t="s">
        <v>96</v>
      </c>
      <c r="G1281" s="4" t="s">
        <v>64</v>
      </c>
      <c r="H1281" s="4" t="str">
        <f>TRIM(CLEAN(SUBSTITUTE(Table1_1[[#This Row],[Salesperson]],"   "," ")))</f>
        <v>Aditya Verma</v>
      </c>
      <c r="I1281" s="4" t="s">
        <v>52</v>
      </c>
      <c r="J1281" s="4" t="s">
        <v>20</v>
      </c>
      <c r="K1281" s="4" t="s">
        <v>21</v>
      </c>
      <c r="L1281" s="4" t="s">
        <v>1682</v>
      </c>
      <c r="M1281" s="4" t="s">
        <v>23</v>
      </c>
      <c r="N1281" s="4" t="s">
        <v>24</v>
      </c>
      <c r="O1281" s="4">
        <v>2</v>
      </c>
      <c r="P1281" s="7">
        <v>8910</v>
      </c>
      <c r="Q1281" s="8">
        <v>0.1</v>
      </c>
      <c r="R1281" s="7">
        <v>5200</v>
      </c>
      <c r="S1281" s="7">
        <f>Table1_1[[#This Row],[Units Sold]]*Table1_1[[#This Row],[Unit Price]]*(1-Table1_1[[#This Row],[Discount %]])</f>
        <v>16038</v>
      </c>
      <c r="T1281" s="7">
        <f>Table1_1[[#This Row],[Units Sold]]*Table1_1[[#This Row],[Unit Cost]]</f>
        <v>10400</v>
      </c>
      <c r="U1281" s="7">
        <f>Table1_1[[#This Row],[Calculated sales]]-Table1_1[[#This Row],[Total cost]]</f>
        <v>5638</v>
      </c>
      <c r="V1281" s="4">
        <f>IFERROR(Table1_1[[#This Row],[Profit/Loss]]/Table1_1[[#This Row],[Calculated sales]],0)</f>
        <v>0.35154009228083299</v>
      </c>
    </row>
    <row r="1282" spans="1:22" x14ac:dyDescent="0.25">
      <c r="A1282" s="4" t="s">
        <v>1431</v>
      </c>
      <c r="B1282" s="5">
        <v>45935</v>
      </c>
      <c r="C1282" s="4">
        <f>YEAR(Table1_1[[#This Row],[Order Dates]])</f>
        <v>2025</v>
      </c>
      <c r="D1282" s="6">
        <f>MONTH(Table1_1[[#This Row],[Order Dates]])</f>
        <v>10</v>
      </c>
      <c r="E1282" s="4" t="s">
        <v>56</v>
      </c>
      <c r="F1282" s="4" t="s">
        <v>143</v>
      </c>
      <c r="G1282" s="4" t="s">
        <v>134</v>
      </c>
      <c r="H1282" s="4" t="str">
        <f>TRIM(CLEAN(SUBSTITUTE(Table1_1[[#This Row],[Salesperson]],"   "," ")))</f>
        <v>Divya Nair</v>
      </c>
      <c r="I1282" s="4" t="s">
        <v>45</v>
      </c>
      <c r="J1282" s="4" t="s">
        <v>83</v>
      </c>
      <c r="K1282" s="4" t="s">
        <v>184</v>
      </c>
      <c r="L1282" s="4" t="s">
        <v>1679</v>
      </c>
      <c r="M1282" s="4" t="s">
        <v>40</v>
      </c>
      <c r="N1282" s="4" t="s">
        <v>24</v>
      </c>
      <c r="O1282" s="4">
        <v>11</v>
      </c>
      <c r="P1282" s="7">
        <v>4810</v>
      </c>
      <c r="Q1282" s="8">
        <v>0</v>
      </c>
      <c r="R1282" s="7">
        <v>2950</v>
      </c>
      <c r="S1282" s="7">
        <f>Table1_1[[#This Row],[Units Sold]]*Table1_1[[#This Row],[Unit Price]]*(1-Table1_1[[#This Row],[Discount %]])</f>
        <v>52910</v>
      </c>
      <c r="T1282" s="7">
        <f>Table1_1[[#This Row],[Units Sold]]*Table1_1[[#This Row],[Unit Cost]]</f>
        <v>32450</v>
      </c>
      <c r="U1282" s="7">
        <f>Table1_1[[#This Row],[Calculated sales]]-Table1_1[[#This Row],[Total cost]]</f>
        <v>20460</v>
      </c>
      <c r="V1282" s="4">
        <f>IFERROR(Table1_1[[#This Row],[Profit/Loss]]/Table1_1[[#This Row],[Calculated sales]],0)</f>
        <v>0.38669438669438672</v>
      </c>
    </row>
    <row r="1283" spans="1:22" x14ac:dyDescent="0.25">
      <c r="A1283" s="4" t="s">
        <v>1432</v>
      </c>
      <c r="B1283" s="5">
        <v>45936</v>
      </c>
      <c r="C1283" s="4">
        <f>YEAR(Table1_1[[#This Row],[Order Dates]])</f>
        <v>2025</v>
      </c>
      <c r="D1283" s="6">
        <f>MONTH(Table1_1[[#This Row],[Order Dates]])</f>
        <v>10</v>
      </c>
      <c r="E1283" s="4" t="s">
        <v>42</v>
      </c>
      <c r="F1283" s="4" t="s">
        <v>43</v>
      </c>
      <c r="G1283" s="4" t="s">
        <v>44</v>
      </c>
      <c r="H1283" s="4" t="str">
        <f>TRIM(CLEAN(SUBSTITUTE(Table1_1[[#This Row],[Salesperson]],"   "," ")))</f>
        <v>Simran Kaur</v>
      </c>
      <c r="I1283" s="4" t="s">
        <v>92</v>
      </c>
      <c r="J1283" s="4" t="s">
        <v>46</v>
      </c>
      <c r="K1283" s="4" t="s">
        <v>100</v>
      </c>
      <c r="L1283" s="4" t="s">
        <v>101</v>
      </c>
      <c r="M1283" s="4" t="s">
        <v>49</v>
      </c>
      <c r="N1283" s="4" t="s">
        <v>119</v>
      </c>
      <c r="O1283" s="4">
        <v>51</v>
      </c>
      <c r="P1283" s="7">
        <v>1890</v>
      </c>
      <c r="Q1283" s="8">
        <v>0.08</v>
      </c>
      <c r="R1283" s="7">
        <v>1410</v>
      </c>
      <c r="S1283" s="7">
        <f>Table1_1[[#This Row],[Units Sold]]*Table1_1[[#This Row],[Unit Price]]*(1-Table1_1[[#This Row],[Discount %]])</f>
        <v>88678.8</v>
      </c>
      <c r="T1283" s="7">
        <f>Table1_1[[#This Row],[Units Sold]]*Table1_1[[#This Row],[Unit Cost]]</f>
        <v>71910</v>
      </c>
      <c r="U1283" s="7">
        <f>Table1_1[[#This Row],[Calculated sales]]-Table1_1[[#This Row],[Total cost]]</f>
        <v>16768.800000000003</v>
      </c>
      <c r="V1283" s="4">
        <f>IFERROR(Table1_1[[#This Row],[Profit/Loss]]/Table1_1[[#This Row],[Calculated sales]],0)</f>
        <v>0.18909592822636304</v>
      </c>
    </row>
    <row r="1284" spans="1:22" x14ac:dyDescent="0.25">
      <c r="A1284" s="4" t="s">
        <v>1433</v>
      </c>
      <c r="B1284" s="5">
        <v>45936</v>
      </c>
      <c r="C1284" s="4">
        <f>YEAR(Table1_1[[#This Row],[Order Dates]])</f>
        <v>2025</v>
      </c>
      <c r="D1284" s="6">
        <f>MONTH(Table1_1[[#This Row],[Order Dates]])</f>
        <v>10</v>
      </c>
      <c r="E1284" s="4" t="s">
        <v>56</v>
      </c>
      <c r="F1284" s="4" t="s">
        <v>57</v>
      </c>
      <c r="G1284" s="4" t="s">
        <v>91</v>
      </c>
      <c r="H1284" s="4" t="str">
        <f>TRIM(CLEAN(SUBSTITUTE(Table1_1[[#This Row],[Salesperson]],"   "," ")))</f>
        <v>Anjali Menon</v>
      </c>
      <c r="I1284" s="4" t="s">
        <v>92</v>
      </c>
      <c r="J1284" s="4" t="s">
        <v>27</v>
      </c>
      <c r="K1284" s="4" t="s">
        <v>28</v>
      </c>
      <c r="L1284" s="4" t="s">
        <v>141</v>
      </c>
      <c r="M1284" s="4" t="s">
        <v>23</v>
      </c>
      <c r="N1284" s="4" t="s">
        <v>24</v>
      </c>
      <c r="O1284" s="4">
        <v>7</v>
      </c>
      <c r="P1284" s="7">
        <v>15860</v>
      </c>
      <c r="Q1284" s="8">
        <v>0</v>
      </c>
      <c r="R1284" s="7">
        <v>11750</v>
      </c>
      <c r="S1284" s="7">
        <f>Table1_1[[#This Row],[Units Sold]]*Table1_1[[#This Row],[Unit Price]]*(1-Table1_1[[#This Row],[Discount %]])</f>
        <v>111020</v>
      </c>
      <c r="T1284" s="7">
        <f>Table1_1[[#This Row],[Units Sold]]*Table1_1[[#This Row],[Unit Cost]]</f>
        <v>82250</v>
      </c>
      <c r="U1284" s="7">
        <f>Table1_1[[#This Row],[Calculated sales]]-Table1_1[[#This Row],[Total cost]]</f>
        <v>28770</v>
      </c>
      <c r="V1284" s="4">
        <f>IFERROR(Table1_1[[#This Row],[Profit/Loss]]/Table1_1[[#This Row],[Calculated sales]],0)</f>
        <v>0.25914249684741486</v>
      </c>
    </row>
    <row r="1285" spans="1:22" x14ac:dyDescent="0.25">
      <c r="A1285" s="4" t="s">
        <v>1434</v>
      </c>
      <c r="B1285" s="5">
        <v>45936</v>
      </c>
      <c r="C1285" s="4">
        <f>YEAR(Table1_1[[#This Row],[Order Dates]])</f>
        <v>2025</v>
      </c>
      <c r="D1285" s="6">
        <f>MONTH(Table1_1[[#This Row],[Order Dates]])</f>
        <v>10</v>
      </c>
      <c r="E1285" s="4" t="s">
        <v>56</v>
      </c>
      <c r="F1285" s="4" t="s">
        <v>57</v>
      </c>
      <c r="G1285" s="4" t="s">
        <v>134</v>
      </c>
      <c r="H1285" s="4" t="str">
        <f>TRIM(CLEAN(SUBSTITUTE(Table1_1[[#This Row],[Salesperson]],"   "," ")))</f>
        <v>Divya Nair</v>
      </c>
      <c r="I1285" s="4" t="s">
        <v>45</v>
      </c>
      <c r="J1285" s="4" t="s">
        <v>59</v>
      </c>
      <c r="K1285" s="4" t="s">
        <v>60</v>
      </c>
      <c r="L1285" s="4" t="s">
        <v>200</v>
      </c>
      <c r="M1285" s="4" t="s">
        <v>40</v>
      </c>
      <c r="N1285" s="4" t="s">
        <v>24</v>
      </c>
      <c r="O1285" s="4">
        <v>25</v>
      </c>
      <c r="P1285" s="7">
        <v>8400</v>
      </c>
      <c r="Q1285" s="8">
        <v>0</v>
      </c>
      <c r="R1285" s="7">
        <v>5900</v>
      </c>
      <c r="S1285" s="7">
        <f>Table1_1[[#This Row],[Units Sold]]*Table1_1[[#This Row],[Unit Price]]*(1-Table1_1[[#This Row],[Discount %]])</f>
        <v>210000</v>
      </c>
      <c r="T1285" s="7">
        <f>Table1_1[[#This Row],[Units Sold]]*Table1_1[[#This Row],[Unit Cost]]</f>
        <v>147500</v>
      </c>
      <c r="U1285" s="7">
        <f>Table1_1[[#This Row],[Calculated sales]]-Table1_1[[#This Row],[Total cost]]</f>
        <v>62500</v>
      </c>
      <c r="V1285" s="4">
        <f>IFERROR(Table1_1[[#This Row],[Profit/Loss]]/Table1_1[[#This Row],[Calculated sales]],0)</f>
        <v>0.29761904761904762</v>
      </c>
    </row>
    <row r="1286" spans="1:22" x14ac:dyDescent="0.25">
      <c r="A1286" s="4" t="s">
        <v>1435</v>
      </c>
      <c r="B1286" s="5">
        <v>45936</v>
      </c>
      <c r="C1286" s="4">
        <f>YEAR(Table1_1[[#This Row],[Order Dates]])</f>
        <v>2025</v>
      </c>
      <c r="D1286" s="6">
        <f>MONTH(Table1_1[[#This Row],[Order Dates]])</f>
        <v>10</v>
      </c>
      <c r="E1286" s="4" t="s">
        <v>16</v>
      </c>
      <c r="F1286" s="4" t="s">
        <v>51</v>
      </c>
      <c r="G1286" s="4" t="s">
        <v>32</v>
      </c>
      <c r="H1286" s="4" t="str">
        <f>TRIM(CLEAN(SUBSTITUTE(Table1_1[[#This Row],[Salesperson]],"   "," ")))</f>
        <v>Neha Deshpande</v>
      </c>
      <c r="I1286" s="4" t="s">
        <v>19</v>
      </c>
      <c r="J1286" s="4" t="s">
        <v>20</v>
      </c>
      <c r="K1286" s="4" t="s">
        <v>33</v>
      </c>
      <c r="L1286" s="4" t="s">
        <v>34</v>
      </c>
      <c r="M1286" s="4" t="s">
        <v>23</v>
      </c>
      <c r="N1286" s="4" t="s">
        <v>24</v>
      </c>
      <c r="O1286" s="4">
        <v>3</v>
      </c>
      <c r="P1286" s="7">
        <v>56820</v>
      </c>
      <c r="Q1286" s="8">
        <v>0.15</v>
      </c>
      <c r="R1286" s="7">
        <v>38940</v>
      </c>
      <c r="S1286" s="7">
        <f>Table1_1[[#This Row],[Units Sold]]*Table1_1[[#This Row],[Unit Price]]*(1-Table1_1[[#This Row],[Discount %]])</f>
        <v>144891</v>
      </c>
      <c r="T1286" s="7">
        <f>Table1_1[[#This Row],[Units Sold]]*Table1_1[[#This Row],[Unit Cost]]</f>
        <v>116820</v>
      </c>
      <c r="U1286" s="7">
        <f>Table1_1[[#This Row],[Calculated sales]]-Table1_1[[#This Row],[Total cost]]</f>
        <v>28071</v>
      </c>
      <c r="V1286" s="4">
        <f>IFERROR(Table1_1[[#This Row],[Profit/Loss]]/Table1_1[[#This Row],[Calculated sales]],0)</f>
        <v>0.19373874153674142</v>
      </c>
    </row>
    <row r="1287" spans="1:22" x14ac:dyDescent="0.25">
      <c r="A1287" s="4" t="s">
        <v>1436</v>
      </c>
      <c r="B1287" s="5">
        <v>45937</v>
      </c>
      <c r="C1287" s="4">
        <f>YEAR(Table1_1[[#This Row],[Order Dates]])</f>
        <v>2025</v>
      </c>
      <c r="D1287" s="6">
        <f>MONTH(Table1_1[[#This Row],[Order Dates]])</f>
        <v>10</v>
      </c>
      <c r="E1287" s="4" t="s">
        <v>42</v>
      </c>
      <c r="F1287" s="4" t="s">
        <v>130</v>
      </c>
      <c r="G1287" s="4" t="s">
        <v>64</v>
      </c>
      <c r="H1287" s="4" t="str">
        <f>TRIM(CLEAN(SUBSTITUTE(Table1_1[[#This Row],[Salesperson]],"   "," ")))</f>
        <v>Aditya Verma</v>
      </c>
      <c r="I1287" s="4" t="s">
        <v>92</v>
      </c>
      <c r="J1287" s="4" t="s">
        <v>27</v>
      </c>
      <c r="K1287" s="4" t="s">
        <v>53</v>
      </c>
      <c r="L1287" s="4" t="s">
        <v>1669</v>
      </c>
      <c r="M1287" s="4" t="s">
        <v>40</v>
      </c>
      <c r="N1287" s="4" t="s">
        <v>24</v>
      </c>
      <c r="O1287" s="4">
        <v>2</v>
      </c>
      <c r="P1287" s="7">
        <v>42960</v>
      </c>
      <c r="Q1287" s="8">
        <v>0.05</v>
      </c>
      <c r="R1287" s="7">
        <v>30790</v>
      </c>
      <c r="S1287" s="7">
        <f>Table1_1[[#This Row],[Units Sold]]*Table1_1[[#This Row],[Unit Price]]*(1-Table1_1[[#This Row],[Discount %]])</f>
        <v>81624</v>
      </c>
      <c r="T1287" s="7">
        <f>Table1_1[[#This Row],[Units Sold]]*Table1_1[[#This Row],[Unit Cost]]</f>
        <v>61580</v>
      </c>
      <c r="U1287" s="7">
        <f>Table1_1[[#This Row],[Calculated sales]]-Table1_1[[#This Row],[Total cost]]</f>
        <v>20044</v>
      </c>
      <c r="V1287" s="4">
        <f>IFERROR(Table1_1[[#This Row],[Profit/Loss]]/Table1_1[[#This Row],[Calculated sales]],0)</f>
        <v>0.24556502989316867</v>
      </c>
    </row>
    <row r="1288" spans="1:22" x14ac:dyDescent="0.25">
      <c r="A1288" s="4" t="s">
        <v>1437</v>
      </c>
      <c r="B1288" s="5">
        <v>45937</v>
      </c>
      <c r="C1288" s="4">
        <f>YEAR(Table1_1[[#This Row],[Order Dates]])</f>
        <v>2025</v>
      </c>
      <c r="D1288" s="6">
        <f>MONTH(Table1_1[[#This Row],[Order Dates]])</f>
        <v>10</v>
      </c>
      <c r="E1288" s="4" t="s">
        <v>56</v>
      </c>
      <c r="F1288" s="4" t="s">
        <v>133</v>
      </c>
      <c r="G1288" s="4" t="s">
        <v>91</v>
      </c>
      <c r="H1288" s="4" t="str">
        <f>TRIM(CLEAN(SUBSTITUTE(Table1_1[[#This Row],[Salesperson]],"   "," ")))</f>
        <v>Anjali Menon</v>
      </c>
      <c r="I1288" s="4" t="s">
        <v>19</v>
      </c>
      <c r="J1288" s="4" t="s">
        <v>27</v>
      </c>
      <c r="K1288" s="4" t="s">
        <v>28</v>
      </c>
      <c r="L1288" s="4" t="s">
        <v>1668</v>
      </c>
      <c r="M1288" s="4" t="s">
        <v>23</v>
      </c>
      <c r="N1288" s="4" t="s">
        <v>119</v>
      </c>
      <c r="O1288" s="4">
        <v>5</v>
      </c>
      <c r="P1288" s="7">
        <v>27850</v>
      </c>
      <c r="Q1288" s="8">
        <v>0.05</v>
      </c>
      <c r="R1288" s="7">
        <v>19020</v>
      </c>
      <c r="S1288" s="7">
        <f>Table1_1[[#This Row],[Units Sold]]*Table1_1[[#This Row],[Unit Price]]*(1-Table1_1[[#This Row],[Discount %]])</f>
        <v>132287.5</v>
      </c>
      <c r="T1288" s="7">
        <f>Table1_1[[#This Row],[Units Sold]]*Table1_1[[#This Row],[Unit Cost]]</f>
        <v>95100</v>
      </c>
      <c r="U1288" s="7">
        <f>Table1_1[[#This Row],[Calculated sales]]-Table1_1[[#This Row],[Total cost]]</f>
        <v>37187.5</v>
      </c>
      <c r="V1288" s="4">
        <f>IFERROR(Table1_1[[#This Row],[Profit/Loss]]/Table1_1[[#This Row],[Calculated sales]],0)</f>
        <v>0.28111121610129453</v>
      </c>
    </row>
    <row r="1289" spans="1:22" x14ac:dyDescent="0.25">
      <c r="A1289" s="4" t="s">
        <v>1438</v>
      </c>
      <c r="B1289" s="5">
        <v>45937</v>
      </c>
      <c r="C1289" s="4">
        <f>YEAR(Table1_1[[#This Row],[Order Dates]])</f>
        <v>2025</v>
      </c>
      <c r="D1289" s="6">
        <f>MONTH(Table1_1[[#This Row],[Order Dates]])</f>
        <v>10</v>
      </c>
      <c r="E1289" s="4" t="s">
        <v>42</v>
      </c>
      <c r="F1289" s="4" t="s">
        <v>146</v>
      </c>
      <c r="G1289" s="4" t="s">
        <v>97</v>
      </c>
      <c r="H1289" s="4" t="str">
        <f>TRIM(CLEAN(SUBSTITUTE(Table1_1[[#This Row],[Salesperson]],"   "," ")))</f>
        <v>Rohit Malhotra</v>
      </c>
      <c r="I1289" s="4" t="s">
        <v>19</v>
      </c>
      <c r="J1289" s="4" t="s">
        <v>20</v>
      </c>
      <c r="K1289" s="4" t="s">
        <v>21</v>
      </c>
      <c r="L1289" s="4" t="s">
        <v>1682</v>
      </c>
      <c r="M1289" s="4" t="s">
        <v>23</v>
      </c>
      <c r="N1289" s="4" t="s">
        <v>24</v>
      </c>
      <c r="O1289" s="4">
        <v>12</v>
      </c>
      <c r="P1289" s="7">
        <v>8740</v>
      </c>
      <c r="Q1289" s="8">
        <v>0.12</v>
      </c>
      <c r="R1289" s="7">
        <v>5360</v>
      </c>
      <c r="S1289" s="7">
        <f>Table1_1[[#This Row],[Units Sold]]*Table1_1[[#This Row],[Unit Price]]*(1-Table1_1[[#This Row],[Discount %]])</f>
        <v>92294.399999999994</v>
      </c>
      <c r="T1289" s="7">
        <f>Table1_1[[#This Row],[Units Sold]]*Table1_1[[#This Row],[Unit Cost]]</f>
        <v>64320</v>
      </c>
      <c r="U1289" s="7">
        <f>Table1_1[[#This Row],[Calculated sales]]-Table1_1[[#This Row],[Total cost]]</f>
        <v>27974.399999999994</v>
      </c>
      <c r="V1289" s="4">
        <f>IFERROR(Table1_1[[#This Row],[Profit/Loss]]/Table1_1[[#This Row],[Calculated sales]],0)</f>
        <v>0.30309964634907421</v>
      </c>
    </row>
    <row r="1290" spans="1:22" x14ac:dyDescent="0.25">
      <c r="A1290" s="4" t="s">
        <v>1439</v>
      </c>
      <c r="B1290" s="5">
        <v>45937</v>
      </c>
      <c r="C1290" s="4">
        <f>YEAR(Table1_1[[#This Row],[Order Dates]])</f>
        <v>2025</v>
      </c>
      <c r="D1290" s="6">
        <f>MONTH(Table1_1[[#This Row],[Order Dates]])</f>
        <v>10</v>
      </c>
      <c r="E1290" s="4" t="s">
        <v>16</v>
      </c>
      <c r="F1290" s="4" t="s">
        <v>31</v>
      </c>
      <c r="G1290" s="4" t="s">
        <v>32</v>
      </c>
      <c r="H1290" s="4" t="str">
        <f>TRIM(CLEAN(SUBSTITUTE(Table1_1[[#This Row],[Salesperson]],"   "," ")))</f>
        <v>Neha Deshpande</v>
      </c>
      <c r="I1290" s="4" t="s">
        <v>52</v>
      </c>
      <c r="J1290" s="4" t="s">
        <v>20</v>
      </c>
      <c r="K1290" s="4" t="s">
        <v>87</v>
      </c>
      <c r="L1290" s="4" t="s">
        <v>1672</v>
      </c>
      <c r="M1290" s="4" t="s">
        <v>49</v>
      </c>
      <c r="N1290" s="4" t="s">
        <v>24</v>
      </c>
      <c r="O1290" s="4">
        <v>2</v>
      </c>
      <c r="P1290" s="7">
        <v>33100</v>
      </c>
      <c r="Q1290" s="8">
        <v>0</v>
      </c>
      <c r="R1290" s="7">
        <v>21490</v>
      </c>
      <c r="S1290" s="7">
        <f>Table1_1[[#This Row],[Units Sold]]*Table1_1[[#This Row],[Unit Price]]*(1-Table1_1[[#This Row],[Discount %]])</f>
        <v>66200</v>
      </c>
      <c r="T1290" s="7">
        <f>Table1_1[[#This Row],[Units Sold]]*Table1_1[[#This Row],[Unit Cost]]</f>
        <v>42980</v>
      </c>
      <c r="U1290" s="7">
        <f>Table1_1[[#This Row],[Calculated sales]]-Table1_1[[#This Row],[Total cost]]</f>
        <v>23220</v>
      </c>
      <c r="V1290" s="4">
        <f>IFERROR(Table1_1[[#This Row],[Profit/Loss]]/Table1_1[[#This Row],[Calculated sales]],0)</f>
        <v>0.35075528700906344</v>
      </c>
    </row>
    <row r="1291" spans="1:22" x14ac:dyDescent="0.25">
      <c r="A1291" s="4" t="s">
        <v>1440</v>
      </c>
      <c r="B1291" s="5">
        <v>45938</v>
      </c>
      <c r="C1291" s="4">
        <f>YEAR(Table1_1[[#This Row],[Order Dates]])</f>
        <v>2025</v>
      </c>
      <c r="D1291" s="6">
        <f>MONTH(Table1_1[[#This Row],[Order Dates]])</f>
        <v>10</v>
      </c>
      <c r="E1291" s="4" t="s">
        <v>56</v>
      </c>
      <c r="F1291" s="4" t="s">
        <v>57</v>
      </c>
      <c r="G1291" s="4" t="s">
        <v>58</v>
      </c>
      <c r="H1291" s="4" t="str">
        <f>TRIM(CLEAN(SUBSTITUTE(Table1_1[[#This Row],[Salesperson]],"   "," ")))</f>
        <v>Karthik Raman</v>
      </c>
      <c r="I1291" s="4" t="s">
        <v>19</v>
      </c>
      <c r="J1291" s="4" t="s">
        <v>20</v>
      </c>
      <c r="K1291" s="4" t="s">
        <v>87</v>
      </c>
      <c r="L1291" s="4" t="s">
        <v>1672</v>
      </c>
      <c r="M1291" s="4" t="s">
        <v>23</v>
      </c>
      <c r="N1291" s="4" t="s">
        <v>24</v>
      </c>
      <c r="O1291" s="4">
        <v>4</v>
      </c>
      <c r="P1291" s="7">
        <v>31950</v>
      </c>
      <c r="Q1291" s="8">
        <v>0</v>
      </c>
      <c r="R1291" s="7">
        <v>23520</v>
      </c>
      <c r="S1291" s="7">
        <f>Table1_1[[#This Row],[Units Sold]]*Table1_1[[#This Row],[Unit Price]]*(1-Table1_1[[#This Row],[Discount %]])</f>
        <v>127800</v>
      </c>
      <c r="T1291" s="7">
        <f>Table1_1[[#This Row],[Units Sold]]*Table1_1[[#This Row],[Unit Cost]]</f>
        <v>94080</v>
      </c>
      <c r="U1291" s="7">
        <f>Table1_1[[#This Row],[Calculated sales]]-Table1_1[[#This Row],[Total cost]]</f>
        <v>33720</v>
      </c>
      <c r="V1291" s="4">
        <f>IFERROR(Table1_1[[#This Row],[Profit/Loss]]/Table1_1[[#This Row],[Calculated sales]],0)</f>
        <v>0.26384976525821596</v>
      </c>
    </row>
    <row r="1292" spans="1:22" x14ac:dyDescent="0.25">
      <c r="A1292" s="4" t="s">
        <v>1441</v>
      </c>
      <c r="B1292" s="5">
        <v>45939</v>
      </c>
      <c r="C1292" s="4">
        <f>YEAR(Table1_1[[#This Row],[Order Dates]])</f>
        <v>2025</v>
      </c>
      <c r="D1292" s="6">
        <f>MONTH(Table1_1[[#This Row],[Order Dates]])</f>
        <v>10</v>
      </c>
      <c r="E1292" s="4" t="s">
        <v>37</v>
      </c>
      <c r="F1292" s="4" t="s">
        <v>213</v>
      </c>
      <c r="G1292" s="4" t="s">
        <v>68</v>
      </c>
      <c r="H1292" s="4" t="str">
        <f>TRIM(CLEAN(SUBSTITUTE(Table1_1[[#This Row],[Salesperson]],"   "," ")))</f>
        <v>Ritika Ghosh</v>
      </c>
      <c r="I1292" s="4" t="s">
        <v>92</v>
      </c>
      <c r="J1292" s="4" t="s">
        <v>59</v>
      </c>
      <c r="K1292" s="4" t="s">
        <v>69</v>
      </c>
      <c r="L1292" s="4" t="s">
        <v>121</v>
      </c>
      <c r="M1292" s="4" t="s">
        <v>23</v>
      </c>
      <c r="N1292" s="4" t="s">
        <v>24</v>
      </c>
      <c r="O1292" s="4">
        <v>8</v>
      </c>
      <c r="P1292" s="7">
        <v>3490</v>
      </c>
      <c r="Q1292" s="8">
        <v>0.15</v>
      </c>
      <c r="R1292" s="7">
        <v>2230</v>
      </c>
      <c r="S1292" s="7">
        <f>Table1_1[[#This Row],[Units Sold]]*Table1_1[[#This Row],[Unit Price]]*(1-Table1_1[[#This Row],[Discount %]])</f>
        <v>23732</v>
      </c>
      <c r="T1292" s="7">
        <f>Table1_1[[#This Row],[Units Sold]]*Table1_1[[#This Row],[Unit Cost]]</f>
        <v>17840</v>
      </c>
      <c r="U1292" s="7">
        <f>Table1_1[[#This Row],[Calculated sales]]-Table1_1[[#This Row],[Total cost]]</f>
        <v>5892</v>
      </c>
      <c r="V1292" s="4">
        <f>IFERROR(Table1_1[[#This Row],[Profit/Loss]]/Table1_1[[#This Row],[Calculated sales]],0)</f>
        <v>0.24827237485251979</v>
      </c>
    </row>
    <row r="1293" spans="1:22" x14ac:dyDescent="0.25">
      <c r="A1293" s="4" t="s">
        <v>1442</v>
      </c>
      <c r="B1293" s="5">
        <v>45939</v>
      </c>
      <c r="C1293" s="4">
        <f>YEAR(Table1_1[[#This Row],[Order Dates]])</f>
        <v>2025</v>
      </c>
      <c r="D1293" s="6">
        <f>MONTH(Table1_1[[#This Row],[Order Dates]])</f>
        <v>10</v>
      </c>
      <c r="E1293" s="4" t="s">
        <v>42</v>
      </c>
      <c r="F1293" s="4" t="s">
        <v>96</v>
      </c>
      <c r="G1293" s="4" t="s">
        <v>97</v>
      </c>
      <c r="H1293" s="4" t="str">
        <f>TRIM(CLEAN(SUBSTITUTE(Table1_1[[#This Row],[Salesperson]],"   "," ")))</f>
        <v>Rohit Malhotra</v>
      </c>
      <c r="I1293" s="4" t="s">
        <v>52</v>
      </c>
      <c r="J1293" s="4" t="s">
        <v>46</v>
      </c>
      <c r="K1293" s="4" t="s">
        <v>179</v>
      </c>
      <c r="L1293" s="4" t="s">
        <v>180</v>
      </c>
      <c r="M1293" s="4" t="s">
        <v>40</v>
      </c>
      <c r="N1293" s="4" t="s">
        <v>24</v>
      </c>
      <c r="O1293" s="4">
        <v>5</v>
      </c>
      <c r="P1293" s="7">
        <v>3920</v>
      </c>
      <c r="Q1293" s="8">
        <v>0</v>
      </c>
      <c r="R1293" s="7">
        <v>2690</v>
      </c>
      <c r="S1293" s="7">
        <f>Table1_1[[#This Row],[Units Sold]]*Table1_1[[#This Row],[Unit Price]]*(1-Table1_1[[#This Row],[Discount %]])</f>
        <v>19600</v>
      </c>
      <c r="T1293" s="7">
        <f>Table1_1[[#This Row],[Units Sold]]*Table1_1[[#This Row],[Unit Cost]]</f>
        <v>13450</v>
      </c>
      <c r="U1293" s="7">
        <f>Table1_1[[#This Row],[Calculated sales]]-Table1_1[[#This Row],[Total cost]]</f>
        <v>6150</v>
      </c>
      <c r="V1293" s="4">
        <f>IFERROR(Table1_1[[#This Row],[Profit/Loss]]/Table1_1[[#This Row],[Calculated sales]],0)</f>
        <v>0.31377551020408162</v>
      </c>
    </row>
    <row r="1294" spans="1:22" x14ac:dyDescent="0.25">
      <c r="A1294" s="4" t="s">
        <v>1443</v>
      </c>
      <c r="B1294" s="5">
        <v>45939</v>
      </c>
      <c r="C1294" s="4">
        <f>YEAR(Table1_1[[#This Row],[Order Dates]])</f>
        <v>2025</v>
      </c>
      <c r="D1294" s="6">
        <f>MONTH(Table1_1[[#This Row],[Order Dates]])</f>
        <v>10</v>
      </c>
      <c r="E1294" s="4" t="s">
        <v>56</v>
      </c>
      <c r="F1294" s="4" t="s">
        <v>133</v>
      </c>
      <c r="G1294" s="4" t="s">
        <v>134</v>
      </c>
      <c r="H1294" s="4" t="str">
        <f>TRIM(CLEAN(SUBSTITUTE(Table1_1[[#This Row],[Salesperson]],"   "," ")))</f>
        <v>Divya Nair</v>
      </c>
      <c r="I1294" s="4" t="s">
        <v>45</v>
      </c>
      <c r="J1294" s="4" t="s">
        <v>83</v>
      </c>
      <c r="K1294" s="4" t="s">
        <v>136</v>
      </c>
      <c r="L1294" s="4" t="s">
        <v>307</v>
      </c>
      <c r="M1294" s="4" t="s">
        <v>49</v>
      </c>
      <c r="N1294" s="4" t="s">
        <v>24</v>
      </c>
      <c r="O1294" s="4">
        <v>57</v>
      </c>
      <c r="P1294" s="7">
        <v>920</v>
      </c>
      <c r="Q1294" s="8">
        <v>0.18</v>
      </c>
      <c r="R1294" s="7">
        <v>580</v>
      </c>
      <c r="S1294" s="7">
        <f>Table1_1[[#This Row],[Units Sold]]*Table1_1[[#This Row],[Unit Price]]*(1-Table1_1[[#This Row],[Discount %]])</f>
        <v>43000.800000000003</v>
      </c>
      <c r="T1294" s="7">
        <f>Table1_1[[#This Row],[Units Sold]]*Table1_1[[#This Row],[Unit Cost]]</f>
        <v>33060</v>
      </c>
      <c r="U1294" s="7">
        <f>Table1_1[[#This Row],[Calculated sales]]-Table1_1[[#This Row],[Total cost]]</f>
        <v>9940.8000000000029</v>
      </c>
      <c r="V1294" s="4">
        <f>IFERROR(Table1_1[[#This Row],[Profit/Loss]]/Table1_1[[#This Row],[Calculated sales]],0)</f>
        <v>0.23117709437963951</v>
      </c>
    </row>
    <row r="1295" spans="1:22" x14ac:dyDescent="0.25">
      <c r="A1295" s="4" t="s">
        <v>1444</v>
      </c>
      <c r="B1295" s="5">
        <v>45939</v>
      </c>
      <c r="C1295" s="4">
        <f>YEAR(Table1_1[[#This Row],[Order Dates]])</f>
        <v>2025</v>
      </c>
      <c r="D1295" s="6">
        <f>MONTH(Table1_1[[#This Row],[Order Dates]])</f>
        <v>10</v>
      </c>
      <c r="E1295" s="4" t="s">
        <v>37</v>
      </c>
      <c r="F1295" s="4" t="s">
        <v>38</v>
      </c>
      <c r="G1295" s="4" t="s">
        <v>39</v>
      </c>
      <c r="H1295" s="4" t="str">
        <f>TRIM(CLEAN(SUBSTITUTE(Table1_1[[#This Row],[Salesperson]],"   "," ")))</f>
        <v>Sourav Das</v>
      </c>
      <c r="I1295" s="4" t="s">
        <v>45</v>
      </c>
      <c r="J1295" s="4" t="s">
        <v>83</v>
      </c>
      <c r="K1295" s="4" t="s">
        <v>84</v>
      </c>
      <c r="L1295" s="4" t="s">
        <v>1671</v>
      </c>
      <c r="M1295" s="4" t="s">
        <v>40</v>
      </c>
      <c r="N1295" s="4" t="s">
        <v>24</v>
      </c>
      <c r="O1295" s="4">
        <v>51</v>
      </c>
      <c r="P1295" s="7">
        <v>2550</v>
      </c>
      <c r="Q1295" s="8">
        <v>0.1</v>
      </c>
      <c r="R1295" s="7">
        <v>1500</v>
      </c>
      <c r="S1295" s="7">
        <f>Table1_1[[#This Row],[Units Sold]]*Table1_1[[#This Row],[Unit Price]]*(1-Table1_1[[#This Row],[Discount %]])</f>
        <v>117045</v>
      </c>
      <c r="T1295" s="7">
        <f>Table1_1[[#This Row],[Units Sold]]*Table1_1[[#This Row],[Unit Cost]]</f>
        <v>76500</v>
      </c>
      <c r="U1295" s="7">
        <f>Table1_1[[#This Row],[Calculated sales]]-Table1_1[[#This Row],[Total cost]]</f>
        <v>40545</v>
      </c>
      <c r="V1295" s="4">
        <f>IFERROR(Table1_1[[#This Row],[Profit/Loss]]/Table1_1[[#This Row],[Calculated sales]],0)</f>
        <v>0.34640522875816993</v>
      </c>
    </row>
    <row r="1296" spans="1:22" x14ac:dyDescent="0.25">
      <c r="A1296" s="4" t="s">
        <v>1445</v>
      </c>
      <c r="B1296" s="5">
        <v>45939</v>
      </c>
      <c r="C1296" s="4">
        <f>YEAR(Table1_1[[#This Row],[Order Dates]])</f>
        <v>2025</v>
      </c>
      <c r="D1296" s="6">
        <f>MONTH(Table1_1[[#This Row],[Order Dates]])</f>
        <v>10</v>
      </c>
      <c r="E1296" s="4" t="s">
        <v>42</v>
      </c>
      <c r="F1296" s="4" t="s">
        <v>146</v>
      </c>
      <c r="G1296" s="4" t="s">
        <v>44</v>
      </c>
      <c r="H1296" s="4" t="str">
        <f>TRIM(CLEAN(SUBSTITUTE(Table1_1[[#This Row],[Salesperson]],"   "," ")))</f>
        <v>Simran Kaur</v>
      </c>
      <c r="I1296" s="4" t="s">
        <v>19</v>
      </c>
      <c r="J1296" s="4" t="s">
        <v>83</v>
      </c>
      <c r="K1296" s="4" t="s">
        <v>84</v>
      </c>
      <c r="L1296" s="4" t="s">
        <v>1671</v>
      </c>
      <c r="M1296" s="4" t="s">
        <v>49</v>
      </c>
      <c r="N1296" s="4" t="s">
        <v>24</v>
      </c>
      <c r="O1296" s="4">
        <v>6</v>
      </c>
      <c r="P1296" s="7">
        <v>2530</v>
      </c>
      <c r="Q1296" s="8">
        <v>0.08</v>
      </c>
      <c r="R1296" s="7">
        <v>1620</v>
      </c>
      <c r="S1296" s="7">
        <f>Table1_1[[#This Row],[Units Sold]]*Table1_1[[#This Row],[Unit Price]]*(1-Table1_1[[#This Row],[Discount %]])</f>
        <v>13965.6</v>
      </c>
      <c r="T1296" s="7">
        <f>Table1_1[[#This Row],[Units Sold]]*Table1_1[[#This Row],[Unit Cost]]</f>
        <v>9720</v>
      </c>
      <c r="U1296" s="7">
        <f>Table1_1[[#This Row],[Calculated sales]]-Table1_1[[#This Row],[Total cost]]</f>
        <v>4245.6000000000004</v>
      </c>
      <c r="V1296" s="4">
        <f>IFERROR(Table1_1[[#This Row],[Profit/Loss]]/Table1_1[[#This Row],[Calculated sales]],0)</f>
        <v>0.30400412442000346</v>
      </c>
    </row>
    <row r="1297" spans="1:22" x14ac:dyDescent="0.25">
      <c r="A1297" s="4" t="s">
        <v>1446</v>
      </c>
      <c r="B1297" s="5">
        <v>45939</v>
      </c>
      <c r="C1297" s="4">
        <f>YEAR(Table1_1[[#This Row],[Order Dates]])</f>
        <v>2025</v>
      </c>
      <c r="D1297" s="6">
        <f>MONTH(Table1_1[[#This Row],[Order Dates]])</f>
        <v>10</v>
      </c>
      <c r="E1297" s="4" t="s">
        <v>37</v>
      </c>
      <c r="F1297" s="4" t="s">
        <v>115</v>
      </c>
      <c r="G1297" s="4" t="s">
        <v>68</v>
      </c>
      <c r="H1297" s="4" t="str">
        <f>TRIM(CLEAN(SUBSTITUTE(Table1_1[[#This Row],[Salesperson]],"   "," ")))</f>
        <v>Ritika Ghosh</v>
      </c>
      <c r="I1297" s="4" t="s">
        <v>92</v>
      </c>
      <c r="J1297" s="4" t="s">
        <v>83</v>
      </c>
      <c r="K1297" s="4" t="s">
        <v>84</v>
      </c>
      <c r="L1297" s="4" t="s">
        <v>292</v>
      </c>
      <c r="M1297" s="4" t="s">
        <v>23</v>
      </c>
      <c r="N1297" s="4" t="s">
        <v>24</v>
      </c>
      <c r="O1297" s="4">
        <v>4</v>
      </c>
      <c r="P1297" s="7">
        <v>44950</v>
      </c>
      <c r="Q1297" s="8">
        <v>0</v>
      </c>
      <c r="R1297" s="7">
        <v>28230</v>
      </c>
      <c r="S1297" s="7">
        <f>Table1_1[[#This Row],[Units Sold]]*Table1_1[[#This Row],[Unit Price]]*(1-Table1_1[[#This Row],[Discount %]])</f>
        <v>179800</v>
      </c>
      <c r="T1297" s="7">
        <f>Table1_1[[#This Row],[Units Sold]]*Table1_1[[#This Row],[Unit Cost]]</f>
        <v>112920</v>
      </c>
      <c r="U1297" s="7">
        <f>Table1_1[[#This Row],[Calculated sales]]-Table1_1[[#This Row],[Total cost]]</f>
        <v>66880</v>
      </c>
      <c r="V1297" s="4">
        <f>IFERROR(Table1_1[[#This Row],[Profit/Loss]]/Table1_1[[#This Row],[Calculated sales]],0)</f>
        <v>0.37196885428253618</v>
      </c>
    </row>
    <row r="1298" spans="1:22" x14ac:dyDescent="0.25">
      <c r="A1298" s="4" t="s">
        <v>1447</v>
      </c>
      <c r="B1298" s="5">
        <v>45939</v>
      </c>
      <c r="C1298" s="4">
        <f>YEAR(Table1_1[[#This Row],[Order Dates]])</f>
        <v>2025</v>
      </c>
      <c r="D1298" s="6">
        <f>MONTH(Table1_1[[#This Row],[Order Dates]])</f>
        <v>10</v>
      </c>
      <c r="E1298" s="4" t="s">
        <v>42</v>
      </c>
      <c r="F1298" s="4" t="s">
        <v>123</v>
      </c>
      <c r="G1298" s="4" t="s">
        <v>64</v>
      </c>
      <c r="H1298" s="4" t="str">
        <f>TRIM(CLEAN(SUBSTITUTE(Table1_1[[#This Row],[Salesperson]],"   "," ")))</f>
        <v>Aditya Verma</v>
      </c>
      <c r="I1298" s="4" t="s">
        <v>19</v>
      </c>
      <c r="J1298" s="4" t="s">
        <v>20</v>
      </c>
      <c r="K1298" s="4" t="s">
        <v>33</v>
      </c>
      <c r="L1298" s="4" t="s">
        <v>1678</v>
      </c>
      <c r="M1298" s="4" t="s">
        <v>40</v>
      </c>
      <c r="N1298" s="4" t="s">
        <v>24</v>
      </c>
      <c r="O1298" s="4">
        <v>4</v>
      </c>
      <c r="P1298" s="7">
        <v>107160</v>
      </c>
      <c r="Q1298" s="8">
        <v>0.18</v>
      </c>
      <c r="R1298" s="7">
        <v>72560</v>
      </c>
      <c r="S1298" s="7">
        <f>Table1_1[[#This Row],[Units Sold]]*Table1_1[[#This Row],[Unit Price]]*(1-Table1_1[[#This Row],[Discount %]])</f>
        <v>351484.80000000005</v>
      </c>
      <c r="T1298" s="7">
        <f>Table1_1[[#This Row],[Units Sold]]*Table1_1[[#This Row],[Unit Cost]]</f>
        <v>290240</v>
      </c>
      <c r="U1298" s="7">
        <f>Table1_1[[#This Row],[Calculated sales]]-Table1_1[[#This Row],[Total cost]]</f>
        <v>61244.800000000047</v>
      </c>
      <c r="V1298" s="4">
        <f>IFERROR(Table1_1[[#This Row],[Profit/Loss]]/Table1_1[[#This Row],[Calculated sales]],0)</f>
        <v>0.17424594178752548</v>
      </c>
    </row>
    <row r="1299" spans="1:22" x14ac:dyDescent="0.25">
      <c r="A1299" s="4" t="s">
        <v>1448</v>
      </c>
      <c r="B1299" s="5">
        <v>45940</v>
      </c>
      <c r="C1299" s="4">
        <f>YEAR(Table1_1[[#This Row],[Order Dates]])</f>
        <v>2025</v>
      </c>
      <c r="D1299" s="6">
        <f>MONTH(Table1_1[[#This Row],[Order Dates]])</f>
        <v>10</v>
      </c>
      <c r="E1299" s="4" t="s">
        <v>16</v>
      </c>
      <c r="F1299" s="4" t="s">
        <v>51</v>
      </c>
      <c r="G1299" s="4" t="s">
        <v>18</v>
      </c>
      <c r="H1299" s="4" t="str">
        <f>TRIM(CLEAN(SUBSTITUTE(Table1_1[[#This Row],[Salesperson]],"   "," ")))</f>
        <v>Imran Sheikh</v>
      </c>
      <c r="I1299" s="4" t="s">
        <v>92</v>
      </c>
      <c r="J1299" s="4" t="s">
        <v>59</v>
      </c>
      <c r="K1299" s="4" t="s">
        <v>154</v>
      </c>
      <c r="L1299" s="4" t="s">
        <v>155</v>
      </c>
      <c r="M1299" s="4" t="s">
        <v>23</v>
      </c>
      <c r="N1299" s="4" t="s">
        <v>24</v>
      </c>
      <c r="O1299" s="4">
        <v>12</v>
      </c>
      <c r="P1299" s="7">
        <v>12950</v>
      </c>
      <c r="Q1299" s="8">
        <v>0.2</v>
      </c>
      <c r="R1299" s="7">
        <v>8680</v>
      </c>
      <c r="S1299" s="7">
        <f>Table1_1[[#This Row],[Units Sold]]*Table1_1[[#This Row],[Unit Price]]*(1-Table1_1[[#This Row],[Discount %]])</f>
        <v>124320</v>
      </c>
      <c r="T1299" s="7">
        <f>Table1_1[[#This Row],[Units Sold]]*Table1_1[[#This Row],[Unit Cost]]</f>
        <v>104160</v>
      </c>
      <c r="U1299" s="7">
        <f>Table1_1[[#This Row],[Calculated sales]]-Table1_1[[#This Row],[Total cost]]</f>
        <v>20160</v>
      </c>
      <c r="V1299" s="4">
        <f>IFERROR(Table1_1[[#This Row],[Profit/Loss]]/Table1_1[[#This Row],[Calculated sales]],0)</f>
        <v>0.16216216216216217</v>
      </c>
    </row>
    <row r="1300" spans="1:22" x14ac:dyDescent="0.25">
      <c r="A1300" s="4" t="s">
        <v>1449</v>
      </c>
      <c r="B1300" s="5">
        <v>45940</v>
      </c>
      <c r="C1300" s="4">
        <f>YEAR(Table1_1[[#This Row],[Order Dates]])</f>
        <v>2025</v>
      </c>
      <c r="D1300" s="6">
        <f>MONTH(Table1_1[[#This Row],[Order Dates]])</f>
        <v>10</v>
      </c>
      <c r="E1300" s="4" t="s">
        <v>16</v>
      </c>
      <c r="F1300" s="4" t="s">
        <v>51</v>
      </c>
      <c r="G1300" s="4" t="s">
        <v>26</v>
      </c>
      <c r="H1300" s="4" t="str">
        <f>TRIM(CLEAN(SUBSTITUTE(Table1_1[[#This Row],[Salesperson]],"   "," ")))</f>
        <v>Prateek Shah</v>
      </c>
      <c r="I1300" s="4" t="s">
        <v>92</v>
      </c>
      <c r="J1300" s="4" t="s">
        <v>20</v>
      </c>
      <c r="K1300" s="4" t="s">
        <v>21</v>
      </c>
      <c r="L1300" s="4" t="s">
        <v>1667</v>
      </c>
      <c r="M1300" s="4" t="s">
        <v>40</v>
      </c>
      <c r="N1300" s="4" t="s">
        <v>24</v>
      </c>
      <c r="O1300" s="4">
        <v>53</v>
      </c>
      <c r="P1300" s="7">
        <v>1920</v>
      </c>
      <c r="Q1300" s="8">
        <v>0.12</v>
      </c>
      <c r="R1300" s="7">
        <v>1140</v>
      </c>
      <c r="S1300" s="7">
        <f>Table1_1[[#This Row],[Units Sold]]*Table1_1[[#This Row],[Unit Price]]*(1-Table1_1[[#This Row],[Discount %]])</f>
        <v>89548.800000000003</v>
      </c>
      <c r="T1300" s="7">
        <f>Table1_1[[#This Row],[Units Sold]]*Table1_1[[#This Row],[Unit Cost]]</f>
        <v>60420</v>
      </c>
      <c r="U1300" s="7">
        <f>Table1_1[[#This Row],[Calculated sales]]-Table1_1[[#This Row],[Total cost]]</f>
        <v>29128.800000000003</v>
      </c>
      <c r="V1300" s="4">
        <f>IFERROR(Table1_1[[#This Row],[Profit/Loss]]/Table1_1[[#This Row],[Calculated sales]],0)</f>
        <v>0.32528409090909094</v>
      </c>
    </row>
    <row r="1301" spans="1:22" x14ac:dyDescent="0.25">
      <c r="A1301" s="4" t="s">
        <v>1450</v>
      </c>
      <c r="B1301" s="5">
        <v>45941</v>
      </c>
      <c r="C1301" s="4">
        <f>YEAR(Table1_1[[#This Row],[Order Dates]])</f>
        <v>2025</v>
      </c>
      <c r="D1301" s="6">
        <f>MONTH(Table1_1[[#This Row],[Order Dates]])</f>
        <v>10</v>
      </c>
      <c r="E1301" s="4" t="s">
        <v>56</v>
      </c>
      <c r="F1301" s="4" t="s">
        <v>143</v>
      </c>
      <c r="G1301" s="4" t="s">
        <v>91</v>
      </c>
      <c r="H1301" s="4" t="str">
        <f>TRIM(CLEAN(SUBSTITUTE(Table1_1[[#This Row],[Salesperson]],"   "," ")))</f>
        <v>Anjali Menon</v>
      </c>
      <c r="I1301" s="4" t="s">
        <v>52</v>
      </c>
      <c r="J1301" s="4" t="s">
        <v>27</v>
      </c>
      <c r="K1301" s="4" t="s">
        <v>28</v>
      </c>
      <c r="L1301" s="4" t="s">
        <v>141</v>
      </c>
      <c r="M1301" s="4" t="s">
        <v>23</v>
      </c>
      <c r="N1301" s="4" t="s">
        <v>24</v>
      </c>
      <c r="O1301" s="4">
        <v>4</v>
      </c>
      <c r="P1301" s="7">
        <v>15990</v>
      </c>
      <c r="Q1301" s="8">
        <v>0.05</v>
      </c>
      <c r="R1301" s="7">
        <v>9850</v>
      </c>
      <c r="S1301" s="7">
        <f>Table1_1[[#This Row],[Units Sold]]*Table1_1[[#This Row],[Unit Price]]*(1-Table1_1[[#This Row],[Discount %]])</f>
        <v>60762</v>
      </c>
      <c r="T1301" s="7">
        <f>Table1_1[[#This Row],[Units Sold]]*Table1_1[[#This Row],[Unit Cost]]</f>
        <v>39400</v>
      </c>
      <c r="U1301" s="7">
        <f>Table1_1[[#This Row],[Calculated sales]]-Table1_1[[#This Row],[Total cost]]</f>
        <v>21362</v>
      </c>
      <c r="V1301" s="4">
        <f>IFERROR(Table1_1[[#This Row],[Profit/Loss]]/Table1_1[[#This Row],[Calculated sales]],0)</f>
        <v>0.35156841446956982</v>
      </c>
    </row>
    <row r="1302" spans="1:22" x14ac:dyDescent="0.25">
      <c r="A1302" s="4" t="s">
        <v>1451</v>
      </c>
      <c r="B1302" s="5">
        <v>45941</v>
      </c>
      <c r="C1302" s="4">
        <f>YEAR(Table1_1[[#This Row],[Order Dates]])</f>
        <v>2025</v>
      </c>
      <c r="D1302" s="6">
        <f>MONTH(Table1_1[[#This Row],[Order Dates]])</f>
        <v>10</v>
      </c>
      <c r="E1302" s="4" t="s">
        <v>16</v>
      </c>
      <c r="F1302" s="4" t="s">
        <v>17</v>
      </c>
      <c r="G1302" s="4" t="s">
        <v>18</v>
      </c>
      <c r="H1302" s="4" t="str">
        <f>TRIM(CLEAN(SUBSTITUTE(Table1_1[[#This Row],[Salesperson]],"   "," ")))</f>
        <v>Imran Sheikh</v>
      </c>
      <c r="I1302" s="4" t="s">
        <v>52</v>
      </c>
      <c r="J1302" s="4" t="s">
        <v>83</v>
      </c>
      <c r="K1302" s="4" t="s">
        <v>184</v>
      </c>
      <c r="L1302" s="4" t="s">
        <v>196</v>
      </c>
      <c r="M1302" s="4" t="s">
        <v>23</v>
      </c>
      <c r="N1302" s="4" t="s">
        <v>24</v>
      </c>
      <c r="O1302" s="4">
        <v>6</v>
      </c>
      <c r="P1302" s="7">
        <v>3050</v>
      </c>
      <c r="Q1302" s="8">
        <v>0.08</v>
      </c>
      <c r="R1302" s="7">
        <v>2380</v>
      </c>
      <c r="S1302" s="7">
        <f>Table1_1[[#This Row],[Units Sold]]*Table1_1[[#This Row],[Unit Price]]*(1-Table1_1[[#This Row],[Discount %]])</f>
        <v>16836</v>
      </c>
      <c r="T1302" s="7">
        <f>Table1_1[[#This Row],[Units Sold]]*Table1_1[[#This Row],[Unit Cost]]</f>
        <v>14280</v>
      </c>
      <c r="U1302" s="7">
        <f>Table1_1[[#This Row],[Calculated sales]]-Table1_1[[#This Row],[Total cost]]</f>
        <v>2556</v>
      </c>
      <c r="V1302" s="4">
        <f>IFERROR(Table1_1[[#This Row],[Profit/Loss]]/Table1_1[[#This Row],[Calculated sales]],0)</f>
        <v>0.15181753385602281</v>
      </c>
    </row>
    <row r="1303" spans="1:22" x14ac:dyDescent="0.25">
      <c r="A1303" s="4" t="s">
        <v>1452</v>
      </c>
      <c r="B1303" s="5">
        <v>45941</v>
      </c>
      <c r="C1303" s="4">
        <f>YEAR(Table1_1[[#This Row],[Order Dates]])</f>
        <v>2025</v>
      </c>
      <c r="D1303" s="6">
        <f>MONTH(Table1_1[[#This Row],[Order Dates]])</f>
        <v>10</v>
      </c>
      <c r="E1303" s="4" t="s">
        <v>76</v>
      </c>
      <c r="F1303" s="4" t="s">
        <v>125</v>
      </c>
      <c r="G1303" s="4" t="s">
        <v>78</v>
      </c>
      <c r="H1303" s="4" t="str">
        <f>TRIM(CLEAN(SUBSTITUTE(Table1_1[[#This Row],[Salesperson]],"   "," ")))</f>
        <v>Pooja Chouhan</v>
      </c>
      <c r="I1303" s="4" t="s">
        <v>19</v>
      </c>
      <c r="J1303" s="4" t="s">
        <v>20</v>
      </c>
      <c r="K1303" s="4" t="s">
        <v>21</v>
      </c>
      <c r="L1303" s="4" t="s">
        <v>1670</v>
      </c>
      <c r="M1303" s="4" t="s">
        <v>40</v>
      </c>
      <c r="N1303" s="4" t="s">
        <v>24</v>
      </c>
      <c r="O1303" s="4">
        <v>13</v>
      </c>
      <c r="P1303" s="7">
        <v>9050</v>
      </c>
      <c r="Q1303" s="8">
        <v>0</v>
      </c>
      <c r="R1303" s="7">
        <v>5230</v>
      </c>
      <c r="S1303" s="7">
        <f>Table1_1[[#This Row],[Units Sold]]*Table1_1[[#This Row],[Unit Price]]*(1-Table1_1[[#This Row],[Discount %]])</f>
        <v>117650</v>
      </c>
      <c r="T1303" s="7">
        <f>Table1_1[[#This Row],[Units Sold]]*Table1_1[[#This Row],[Unit Cost]]</f>
        <v>67990</v>
      </c>
      <c r="U1303" s="7">
        <f>Table1_1[[#This Row],[Calculated sales]]-Table1_1[[#This Row],[Total cost]]</f>
        <v>49660</v>
      </c>
      <c r="V1303" s="4">
        <f>IFERROR(Table1_1[[#This Row],[Profit/Loss]]/Table1_1[[#This Row],[Calculated sales]],0)</f>
        <v>0.42209944751381218</v>
      </c>
    </row>
    <row r="1304" spans="1:22" x14ac:dyDescent="0.25">
      <c r="A1304" s="4" t="s">
        <v>1453</v>
      </c>
      <c r="B1304" s="5">
        <v>45941</v>
      </c>
      <c r="C1304" s="4">
        <f>YEAR(Table1_1[[#This Row],[Order Dates]])</f>
        <v>2025</v>
      </c>
      <c r="D1304" s="6">
        <f>MONTH(Table1_1[[#This Row],[Order Dates]])</f>
        <v>10</v>
      </c>
      <c r="E1304" s="4" t="s">
        <v>42</v>
      </c>
      <c r="F1304" s="4" t="s">
        <v>265</v>
      </c>
      <c r="G1304" s="4" t="s">
        <v>44</v>
      </c>
      <c r="H1304" s="4" t="str">
        <f>TRIM(CLEAN(SUBSTITUTE(Table1_1[[#This Row],[Salesperson]],"   "," ")))</f>
        <v>Simran Kaur</v>
      </c>
      <c r="I1304" s="4" t="s">
        <v>92</v>
      </c>
      <c r="J1304" s="4" t="s">
        <v>59</v>
      </c>
      <c r="K1304" s="4" t="s">
        <v>60</v>
      </c>
      <c r="L1304" s="4" t="s">
        <v>61</v>
      </c>
      <c r="M1304" s="4" t="s">
        <v>23</v>
      </c>
      <c r="N1304" s="4" t="s">
        <v>24</v>
      </c>
      <c r="O1304" s="4">
        <v>3</v>
      </c>
      <c r="P1304" s="7">
        <v>25400</v>
      </c>
      <c r="Q1304" s="8">
        <v>0.05</v>
      </c>
      <c r="R1304" s="7">
        <v>17470</v>
      </c>
      <c r="S1304" s="7">
        <f>Table1_1[[#This Row],[Units Sold]]*Table1_1[[#This Row],[Unit Price]]*(1-Table1_1[[#This Row],[Discount %]])</f>
        <v>72390</v>
      </c>
      <c r="T1304" s="7">
        <f>Table1_1[[#This Row],[Units Sold]]*Table1_1[[#This Row],[Unit Cost]]</f>
        <v>52410</v>
      </c>
      <c r="U1304" s="7">
        <f>Table1_1[[#This Row],[Calculated sales]]-Table1_1[[#This Row],[Total cost]]</f>
        <v>19980</v>
      </c>
      <c r="V1304" s="4">
        <f>IFERROR(Table1_1[[#This Row],[Profit/Loss]]/Table1_1[[#This Row],[Calculated sales]],0)</f>
        <v>0.27600497306257771</v>
      </c>
    </row>
    <row r="1305" spans="1:22" x14ac:dyDescent="0.25">
      <c r="A1305" s="4" t="s">
        <v>1454</v>
      </c>
      <c r="B1305" s="5">
        <v>45941</v>
      </c>
      <c r="C1305" s="4">
        <f>YEAR(Table1_1[[#This Row],[Order Dates]])</f>
        <v>2025</v>
      </c>
      <c r="D1305" s="6">
        <f>MONTH(Table1_1[[#This Row],[Order Dates]])</f>
        <v>10</v>
      </c>
      <c r="E1305" s="4" t="s">
        <v>16</v>
      </c>
      <c r="F1305" s="4" t="s">
        <v>82</v>
      </c>
      <c r="G1305" s="4" t="s">
        <v>26</v>
      </c>
      <c r="H1305" s="4" t="str">
        <f>TRIM(CLEAN(SUBSTITUTE(Table1_1[[#This Row],[Salesperson]],"   "," ")))</f>
        <v>Prateek Shah</v>
      </c>
      <c r="I1305" s="4" t="s">
        <v>19</v>
      </c>
      <c r="J1305" s="4" t="s">
        <v>27</v>
      </c>
      <c r="K1305" s="4" t="s">
        <v>79</v>
      </c>
      <c r="L1305" s="4" t="s">
        <v>168</v>
      </c>
      <c r="M1305" s="4" t="s">
        <v>49</v>
      </c>
      <c r="N1305" s="4" t="s">
        <v>94</v>
      </c>
      <c r="O1305" s="4">
        <v>9</v>
      </c>
      <c r="P1305" s="7">
        <v>9650</v>
      </c>
      <c r="Q1305" s="8">
        <v>0.08</v>
      </c>
      <c r="R1305" s="7">
        <v>6100</v>
      </c>
      <c r="S1305" s="7">
        <f>Table1_1[[#This Row],[Units Sold]]*Table1_1[[#This Row],[Unit Price]]*(1-Table1_1[[#This Row],[Discount %]])</f>
        <v>79902</v>
      </c>
      <c r="T1305" s="7">
        <f>Table1_1[[#This Row],[Units Sold]]*Table1_1[[#This Row],[Unit Cost]]</f>
        <v>54900</v>
      </c>
      <c r="U1305" s="7">
        <f>Table1_1[[#This Row],[Calculated sales]]-Table1_1[[#This Row],[Total cost]]</f>
        <v>25002</v>
      </c>
      <c r="V1305" s="4">
        <f>IFERROR(Table1_1[[#This Row],[Profit/Loss]]/Table1_1[[#This Row],[Calculated sales]],0)</f>
        <v>0.3129083126830367</v>
      </c>
    </row>
    <row r="1306" spans="1:22" x14ac:dyDescent="0.25">
      <c r="A1306" s="4" t="s">
        <v>1455</v>
      </c>
      <c r="B1306" s="5">
        <v>45942</v>
      </c>
      <c r="C1306" s="4">
        <f>YEAR(Table1_1[[#This Row],[Order Dates]])</f>
        <v>2025</v>
      </c>
      <c r="D1306" s="6">
        <f>MONTH(Table1_1[[#This Row],[Order Dates]])</f>
        <v>10</v>
      </c>
      <c r="E1306" s="4" t="s">
        <v>42</v>
      </c>
      <c r="F1306" s="4" t="s">
        <v>96</v>
      </c>
      <c r="G1306" s="4" t="s">
        <v>44</v>
      </c>
      <c r="H1306" s="4" t="str">
        <f>TRIM(CLEAN(SUBSTITUTE(Table1_1[[#This Row],[Salesperson]],"   "," ")))</f>
        <v>Simran Kaur</v>
      </c>
      <c r="I1306" s="4" t="s">
        <v>45</v>
      </c>
      <c r="J1306" s="4" t="s">
        <v>46</v>
      </c>
      <c r="K1306" s="4" t="s">
        <v>47</v>
      </c>
      <c r="L1306" s="4" t="s">
        <v>48</v>
      </c>
      <c r="M1306" s="4" t="s">
        <v>49</v>
      </c>
      <c r="N1306" s="4" t="s">
        <v>24</v>
      </c>
      <c r="O1306" s="4">
        <v>67</v>
      </c>
      <c r="P1306" s="7">
        <v>1810</v>
      </c>
      <c r="Q1306" s="8">
        <v>0.08</v>
      </c>
      <c r="R1306" s="7">
        <v>1400</v>
      </c>
      <c r="S1306" s="7">
        <f>Table1_1[[#This Row],[Units Sold]]*Table1_1[[#This Row],[Unit Price]]*(1-Table1_1[[#This Row],[Discount %]])</f>
        <v>111568.40000000001</v>
      </c>
      <c r="T1306" s="7">
        <f>Table1_1[[#This Row],[Units Sold]]*Table1_1[[#This Row],[Unit Cost]]</f>
        <v>93800</v>
      </c>
      <c r="U1306" s="7">
        <f>Table1_1[[#This Row],[Calculated sales]]-Table1_1[[#This Row],[Total cost]]</f>
        <v>17768.400000000009</v>
      </c>
      <c r="V1306" s="4">
        <f>IFERROR(Table1_1[[#This Row],[Profit/Loss]]/Table1_1[[#This Row],[Calculated sales]],0)</f>
        <v>0.15926014893105939</v>
      </c>
    </row>
    <row r="1307" spans="1:22" x14ac:dyDescent="0.25">
      <c r="A1307" s="4" t="s">
        <v>1456</v>
      </c>
      <c r="B1307" s="5">
        <v>45942</v>
      </c>
      <c r="C1307" s="4">
        <f>YEAR(Table1_1[[#This Row],[Order Dates]])</f>
        <v>2025</v>
      </c>
      <c r="D1307" s="6">
        <f>MONTH(Table1_1[[#This Row],[Order Dates]])</f>
        <v>10</v>
      </c>
      <c r="E1307" s="4" t="s">
        <v>37</v>
      </c>
      <c r="F1307" s="4" t="s">
        <v>67</v>
      </c>
      <c r="G1307" s="4" t="s">
        <v>68</v>
      </c>
      <c r="H1307" s="4" t="str">
        <f>TRIM(CLEAN(SUBSTITUTE(Table1_1[[#This Row],[Salesperson]],"   "," ")))</f>
        <v>Ritika Ghosh</v>
      </c>
      <c r="I1307" s="4" t="s">
        <v>19</v>
      </c>
      <c r="J1307" s="4" t="s">
        <v>20</v>
      </c>
      <c r="K1307" s="4" t="s">
        <v>87</v>
      </c>
      <c r="L1307" s="4" t="s">
        <v>1674</v>
      </c>
      <c r="M1307" s="4" t="s">
        <v>40</v>
      </c>
      <c r="N1307" s="4" t="s">
        <v>24</v>
      </c>
      <c r="O1307" s="4">
        <v>1</v>
      </c>
      <c r="P1307" s="7">
        <v>52150</v>
      </c>
      <c r="Q1307" s="8">
        <v>0</v>
      </c>
      <c r="R1307" s="7">
        <v>29730</v>
      </c>
      <c r="S1307" s="7">
        <f>Table1_1[[#This Row],[Units Sold]]*Table1_1[[#This Row],[Unit Price]]*(1-Table1_1[[#This Row],[Discount %]])</f>
        <v>52150</v>
      </c>
      <c r="T1307" s="7">
        <f>Table1_1[[#This Row],[Units Sold]]*Table1_1[[#This Row],[Unit Cost]]</f>
        <v>29730</v>
      </c>
      <c r="U1307" s="7">
        <f>Table1_1[[#This Row],[Calculated sales]]-Table1_1[[#This Row],[Total cost]]</f>
        <v>22420</v>
      </c>
      <c r="V1307" s="4">
        <f>IFERROR(Table1_1[[#This Row],[Profit/Loss]]/Table1_1[[#This Row],[Calculated sales]],0)</f>
        <v>0.42991371045062321</v>
      </c>
    </row>
    <row r="1308" spans="1:22" x14ac:dyDescent="0.25">
      <c r="A1308" s="4" t="s">
        <v>1457</v>
      </c>
      <c r="B1308" s="5">
        <v>45944</v>
      </c>
      <c r="C1308" s="4">
        <f>YEAR(Table1_1[[#This Row],[Order Dates]])</f>
        <v>2025</v>
      </c>
      <c r="D1308" s="6">
        <f>MONTH(Table1_1[[#This Row],[Order Dates]])</f>
        <v>10</v>
      </c>
      <c r="E1308" s="4" t="s">
        <v>56</v>
      </c>
      <c r="F1308" s="4" t="s">
        <v>72</v>
      </c>
      <c r="G1308" s="4" t="s">
        <v>91</v>
      </c>
      <c r="H1308" s="4" t="str">
        <f>TRIM(CLEAN(SUBSTITUTE(Table1_1[[#This Row],[Salesperson]],"   "," ")))</f>
        <v>Anjali Menon</v>
      </c>
      <c r="I1308" s="4" t="s">
        <v>52</v>
      </c>
      <c r="J1308" s="4" t="s">
        <v>20</v>
      </c>
      <c r="K1308" s="4" t="s">
        <v>87</v>
      </c>
      <c r="L1308" s="4" t="s">
        <v>1674</v>
      </c>
      <c r="M1308" s="4" t="s">
        <v>49</v>
      </c>
      <c r="N1308" s="4" t="s">
        <v>24</v>
      </c>
      <c r="O1308" s="4">
        <v>1</v>
      </c>
      <c r="P1308" s="7">
        <v>53880</v>
      </c>
      <c r="Q1308" s="8">
        <v>0.05</v>
      </c>
      <c r="R1308" s="7">
        <v>31540</v>
      </c>
      <c r="S1308" s="7">
        <f>Table1_1[[#This Row],[Units Sold]]*Table1_1[[#This Row],[Unit Price]]*(1-Table1_1[[#This Row],[Discount %]])</f>
        <v>51186</v>
      </c>
      <c r="T1308" s="7">
        <f>Table1_1[[#This Row],[Units Sold]]*Table1_1[[#This Row],[Unit Cost]]</f>
        <v>31540</v>
      </c>
      <c r="U1308" s="7">
        <f>Table1_1[[#This Row],[Calculated sales]]-Table1_1[[#This Row],[Total cost]]</f>
        <v>19646</v>
      </c>
      <c r="V1308" s="4">
        <f>IFERROR(Table1_1[[#This Row],[Profit/Loss]]/Table1_1[[#This Row],[Calculated sales]],0)</f>
        <v>0.38381588715664439</v>
      </c>
    </row>
    <row r="1309" spans="1:22" x14ac:dyDescent="0.25">
      <c r="A1309" s="4" t="s">
        <v>1458</v>
      </c>
      <c r="B1309" s="5">
        <v>45945</v>
      </c>
      <c r="C1309" s="4">
        <f>YEAR(Table1_1[[#This Row],[Order Dates]])</f>
        <v>2025</v>
      </c>
      <c r="D1309" s="6">
        <f>MONTH(Table1_1[[#This Row],[Order Dates]])</f>
        <v>10</v>
      </c>
      <c r="E1309" s="4" t="s">
        <v>37</v>
      </c>
      <c r="F1309" s="4" t="s">
        <v>161</v>
      </c>
      <c r="G1309" s="4" t="s">
        <v>68</v>
      </c>
      <c r="H1309" s="4" t="str">
        <f>TRIM(CLEAN(SUBSTITUTE(Table1_1[[#This Row],[Salesperson]],"   "," ")))</f>
        <v>Ritika Ghosh</v>
      </c>
      <c r="I1309" s="4" t="s">
        <v>19</v>
      </c>
      <c r="J1309" s="4" t="s">
        <v>59</v>
      </c>
      <c r="K1309" s="4" t="s">
        <v>154</v>
      </c>
      <c r="L1309" s="4" t="s">
        <v>249</v>
      </c>
      <c r="M1309" s="4" t="s">
        <v>49</v>
      </c>
      <c r="N1309" s="4" t="s">
        <v>24</v>
      </c>
      <c r="O1309" s="4">
        <v>4</v>
      </c>
      <c r="P1309" s="7">
        <v>6720</v>
      </c>
      <c r="Q1309" s="8">
        <v>0.18</v>
      </c>
      <c r="R1309" s="7">
        <v>3920</v>
      </c>
      <c r="S1309" s="7">
        <f>Table1_1[[#This Row],[Units Sold]]*Table1_1[[#This Row],[Unit Price]]*(1-Table1_1[[#This Row],[Discount %]])</f>
        <v>22041.600000000002</v>
      </c>
      <c r="T1309" s="7">
        <f>Table1_1[[#This Row],[Units Sold]]*Table1_1[[#This Row],[Unit Cost]]</f>
        <v>15680</v>
      </c>
      <c r="U1309" s="7">
        <f>Table1_1[[#This Row],[Calculated sales]]-Table1_1[[#This Row],[Total cost]]</f>
        <v>6361.6000000000022</v>
      </c>
      <c r="V1309" s="4">
        <f>IFERROR(Table1_1[[#This Row],[Profit/Loss]]/Table1_1[[#This Row],[Calculated sales]],0)</f>
        <v>0.28861788617886186</v>
      </c>
    </row>
    <row r="1310" spans="1:22" x14ac:dyDescent="0.25">
      <c r="A1310" s="4" t="s">
        <v>1459</v>
      </c>
      <c r="B1310" s="5">
        <v>45945</v>
      </c>
      <c r="C1310" s="4">
        <f>YEAR(Table1_1[[#This Row],[Order Dates]])</f>
        <v>2025</v>
      </c>
      <c r="D1310" s="6">
        <f>MONTH(Table1_1[[#This Row],[Order Dates]])</f>
        <v>10</v>
      </c>
      <c r="E1310" s="4" t="s">
        <v>42</v>
      </c>
      <c r="F1310" s="4" t="s">
        <v>96</v>
      </c>
      <c r="G1310" s="4" t="s">
        <v>97</v>
      </c>
      <c r="H1310" s="4" t="str">
        <f>TRIM(CLEAN(SUBSTITUTE(Table1_1[[#This Row],[Salesperson]],"   "," ")))</f>
        <v>Rohit Malhotra</v>
      </c>
      <c r="I1310" s="4" t="s">
        <v>52</v>
      </c>
      <c r="J1310" s="4" t="s">
        <v>83</v>
      </c>
      <c r="K1310" s="4" t="s">
        <v>136</v>
      </c>
      <c r="L1310" s="4" t="s">
        <v>137</v>
      </c>
      <c r="M1310" s="4" t="s">
        <v>23</v>
      </c>
      <c r="N1310" s="4" t="s">
        <v>24</v>
      </c>
      <c r="O1310" s="4">
        <v>23</v>
      </c>
      <c r="P1310" s="7">
        <v>1680</v>
      </c>
      <c r="Q1310" s="8">
        <v>0.12</v>
      </c>
      <c r="R1310" s="7">
        <v>1180</v>
      </c>
      <c r="S1310" s="7">
        <f>Table1_1[[#This Row],[Units Sold]]*Table1_1[[#This Row],[Unit Price]]*(1-Table1_1[[#This Row],[Discount %]])</f>
        <v>34003.199999999997</v>
      </c>
      <c r="T1310" s="7">
        <f>Table1_1[[#This Row],[Units Sold]]*Table1_1[[#This Row],[Unit Cost]]</f>
        <v>27140</v>
      </c>
      <c r="U1310" s="7">
        <f>Table1_1[[#This Row],[Calculated sales]]-Table1_1[[#This Row],[Total cost]]</f>
        <v>6863.1999999999971</v>
      </c>
      <c r="V1310" s="4">
        <f>IFERROR(Table1_1[[#This Row],[Profit/Loss]]/Table1_1[[#This Row],[Calculated sales]],0)</f>
        <v>0.20183982683982676</v>
      </c>
    </row>
    <row r="1311" spans="1:22" x14ac:dyDescent="0.25">
      <c r="A1311" s="4" t="s">
        <v>1460</v>
      </c>
      <c r="B1311" s="5">
        <v>45945</v>
      </c>
      <c r="C1311" s="4">
        <f>YEAR(Table1_1[[#This Row],[Order Dates]])</f>
        <v>2025</v>
      </c>
      <c r="D1311" s="6">
        <f>MONTH(Table1_1[[#This Row],[Order Dates]])</f>
        <v>10</v>
      </c>
      <c r="E1311" s="4" t="s">
        <v>16</v>
      </c>
      <c r="F1311" s="4" t="s">
        <v>191</v>
      </c>
      <c r="G1311" s="4" t="s">
        <v>18</v>
      </c>
      <c r="H1311" s="4" t="str">
        <f>TRIM(CLEAN(SUBSTITUTE(Table1_1[[#This Row],[Salesperson]],"   "," ")))</f>
        <v>Imran Sheikh</v>
      </c>
      <c r="I1311" s="4" t="s">
        <v>45</v>
      </c>
      <c r="J1311" s="4" t="s">
        <v>59</v>
      </c>
      <c r="K1311" s="4" t="s">
        <v>69</v>
      </c>
      <c r="L1311" s="4" t="s">
        <v>70</v>
      </c>
      <c r="M1311" s="4" t="s">
        <v>49</v>
      </c>
      <c r="N1311" s="4" t="s">
        <v>24</v>
      </c>
      <c r="O1311" s="4">
        <v>8</v>
      </c>
      <c r="P1311" s="7">
        <v>28230</v>
      </c>
      <c r="Q1311" s="8">
        <v>0.18</v>
      </c>
      <c r="R1311" s="7">
        <v>21480</v>
      </c>
      <c r="S1311" s="7">
        <f>Table1_1[[#This Row],[Units Sold]]*Table1_1[[#This Row],[Unit Price]]*(1-Table1_1[[#This Row],[Discount %]])</f>
        <v>185188.80000000002</v>
      </c>
      <c r="T1311" s="7">
        <f>Table1_1[[#This Row],[Units Sold]]*Table1_1[[#This Row],[Unit Cost]]</f>
        <v>171840</v>
      </c>
      <c r="U1311" s="7">
        <f>Table1_1[[#This Row],[Calculated sales]]-Table1_1[[#This Row],[Total cost]]</f>
        <v>13348.800000000017</v>
      </c>
      <c r="V1311" s="4">
        <f>IFERROR(Table1_1[[#This Row],[Profit/Loss]]/Table1_1[[#This Row],[Calculated sales]],0)</f>
        <v>7.2082112957155164E-2</v>
      </c>
    </row>
    <row r="1312" spans="1:22" x14ac:dyDescent="0.25">
      <c r="A1312" s="4" t="s">
        <v>1461</v>
      </c>
      <c r="B1312" s="5">
        <v>45945</v>
      </c>
      <c r="C1312" s="4">
        <f>YEAR(Table1_1[[#This Row],[Order Dates]])</f>
        <v>2025</v>
      </c>
      <c r="D1312" s="6">
        <f>MONTH(Table1_1[[#This Row],[Order Dates]])</f>
        <v>10</v>
      </c>
      <c r="E1312" s="4" t="s">
        <v>76</v>
      </c>
      <c r="F1312" s="4" t="s">
        <v>125</v>
      </c>
      <c r="G1312" s="4" t="s">
        <v>78</v>
      </c>
      <c r="H1312" s="4" t="str">
        <f>TRIM(CLEAN(SUBSTITUTE(Table1_1[[#This Row],[Salesperson]],"   "," ")))</f>
        <v>Pooja Chouhan</v>
      </c>
      <c r="I1312" s="4" t="s">
        <v>19</v>
      </c>
      <c r="J1312" s="4" t="s">
        <v>20</v>
      </c>
      <c r="K1312" s="4" t="s">
        <v>109</v>
      </c>
      <c r="L1312" s="4" t="s">
        <v>159</v>
      </c>
      <c r="M1312" s="4" t="s">
        <v>23</v>
      </c>
      <c r="N1312" s="4" t="s">
        <v>35</v>
      </c>
      <c r="O1312" s="4">
        <v>6</v>
      </c>
      <c r="P1312" s="7">
        <v>19390</v>
      </c>
      <c r="Q1312" s="8">
        <v>0.08</v>
      </c>
      <c r="R1312" s="7">
        <v>12180</v>
      </c>
      <c r="S1312" s="7">
        <f>Table1_1[[#This Row],[Units Sold]]*Table1_1[[#This Row],[Unit Price]]*(1-Table1_1[[#This Row],[Discount %]])</f>
        <v>107032.8</v>
      </c>
      <c r="T1312" s="7">
        <f>Table1_1[[#This Row],[Units Sold]]*Table1_1[[#This Row],[Unit Cost]]</f>
        <v>73080</v>
      </c>
      <c r="U1312" s="7">
        <f>Table1_1[[#This Row],[Calculated sales]]-Table1_1[[#This Row],[Total cost]]</f>
        <v>33952.800000000003</v>
      </c>
      <c r="V1312" s="4">
        <f>IFERROR(Table1_1[[#This Row],[Profit/Loss]]/Table1_1[[#This Row],[Calculated sales]],0)</f>
        <v>0.31721864699419244</v>
      </c>
    </row>
    <row r="1313" spans="1:22" x14ac:dyDescent="0.25">
      <c r="A1313" s="4" t="s">
        <v>1462</v>
      </c>
      <c r="B1313" s="5">
        <v>45945</v>
      </c>
      <c r="C1313" s="4">
        <f>YEAR(Table1_1[[#This Row],[Order Dates]])</f>
        <v>2025</v>
      </c>
      <c r="D1313" s="6">
        <f>MONTH(Table1_1[[#This Row],[Order Dates]])</f>
        <v>10</v>
      </c>
      <c r="E1313" s="4" t="s">
        <v>42</v>
      </c>
      <c r="F1313" s="4" t="s">
        <v>43</v>
      </c>
      <c r="G1313" s="4" t="s">
        <v>97</v>
      </c>
      <c r="H1313" s="4" t="str">
        <f>TRIM(CLEAN(SUBSTITUTE(Table1_1[[#This Row],[Salesperson]],"   "," ")))</f>
        <v>Rohit Malhotra</v>
      </c>
      <c r="I1313" s="4" t="s">
        <v>19</v>
      </c>
      <c r="J1313" s="4" t="s">
        <v>83</v>
      </c>
      <c r="K1313" s="4" t="s">
        <v>136</v>
      </c>
      <c r="L1313" s="4" t="s">
        <v>307</v>
      </c>
      <c r="M1313" s="4" t="s">
        <v>40</v>
      </c>
      <c r="N1313" s="4" t="s">
        <v>24</v>
      </c>
      <c r="O1313" s="4">
        <v>15</v>
      </c>
      <c r="P1313" s="7">
        <v>860</v>
      </c>
      <c r="Q1313" s="8">
        <v>0.05</v>
      </c>
      <c r="R1313" s="7">
        <v>480</v>
      </c>
      <c r="S1313" s="7">
        <f>Table1_1[[#This Row],[Units Sold]]*Table1_1[[#This Row],[Unit Price]]*(1-Table1_1[[#This Row],[Discount %]])</f>
        <v>12255</v>
      </c>
      <c r="T1313" s="7">
        <f>Table1_1[[#This Row],[Units Sold]]*Table1_1[[#This Row],[Unit Cost]]</f>
        <v>7200</v>
      </c>
      <c r="U1313" s="7">
        <f>Table1_1[[#This Row],[Calculated sales]]-Table1_1[[#This Row],[Total cost]]</f>
        <v>5055</v>
      </c>
      <c r="V1313" s="4">
        <f>IFERROR(Table1_1[[#This Row],[Profit/Loss]]/Table1_1[[#This Row],[Calculated sales]],0)</f>
        <v>0.41248470012239902</v>
      </c>
    </row>
    <row r="1314" spans="1:22" x14ac:dyDescent="0.25">
      <c r="A1314" s="4" t="s">
        <v>1463</v>
      </c>
      <c r="B1314" s="5">
        <v>45945</v>
      </c>
      <c r="C1314" s="4">
        <f>YEAR(Table1_1[[#This Row],[Order Dates]])</f>
        <v>2025</v>
      </c>
      <c r="D1314" s="6">
        <f>MONTH(Table1_1[[#This Row],[Order Dates]])</f>
        <v>10</v>
      </c>
      <c r="E1314" s="4" t="s">
        <v>76</v>
      </c>
      <c r="F1314" s="4" t="s">
        <v>217</v>
      </c>
      <c r="G1314" s="4" t="s">
        <v>78</v>
      </c>
      <c r="H1314" s="4" t="str">
        <f>TRIM(CLEAN(SUBSTITUTE(Table1_1[[#This Row],[Salesperson]],"   "," ")))</f>
        <v>Pooja Chouhan</v>
      </c>
      <c r="I1314" s="4" t="s">
        <v>52</v>
      </c>
      <c r="J1314" s="4" t="s">
        <v>46</v>
      </c>
      <c r="K1314" s="4" t="s">
        <v>179</v>
      </c>
      <c r="L1314" s="4" t="s">
        <v>236</v>
      </c>
      <c r="M1314" s="4" t="s">
        <v>49</v>
      </c>
      <c r="N1314" s="4" t="s">
        <v>24</v>
      </c>
      <c r="O1314" s="4">
        <v>5</v>
      </c>
      <c r="P1314" s="7">
        <v>2190</v>
      </c>
      <c r="Q1314" s="8">
        <v>0.12</v>
      </c>
      <c r="R1314" s="7">
        <v>1570</v>
      </c>
      <c r="S1314" s="7">
        <f>Table1_1[[#This Row],[Units Sold]]*Table1_1[[#This Row],[Unit Price]]*(1-Table1_1[[#This Row],[Discount %]])</f>
        <v>9636</v>
      </c>
      <c r="T1314" s="7">
        <f>Table1_1[[#This Row],[Units Sold]]*Table1_1[[#This Row],[Unit Cost]]</f>
        <v>7850</v>
      </c>
      <c r="U1314" s="7">
        <f>Table1_1[[#This Row],[Calculated sales]]-Table1_1[[#This Row],[Total cost]]</f>
        <v>1786</v>
      </c>
      <c r="V1314" s="4">
        <f>IFERROR(Table1_1[[#This Row],[Profit/Loss]]/Table1_1[[#This Row],[Calculated sales]],0)</f>
        <v>0.18534661685346618</v>
      </c>
    </row>
    <row r="1315" spans="1:22" x14ac:dyDescent="0.25">
      <c r="A1315" s="4" t="s">
        <v>1464</v>
      </c>
      <c r="B1315" s="5">
        <v>45946</v>
      </c>
      <c r="C1315" s="4">
        <f>YEAR(Table1_1[[#This Row],[Order Dates]])</f>
        <v>2025</v>
      </c>
      <c r="D1315" s="6">
        <f>MONTH(Table1_1[[#This Row],[Order Dates]])</f>
        <v>10</v>
      </c>
      <c r="E1315" s="4" t="s">
        <v>42</v>
      </c>
      <c r="F1315" s="4" t="s">
        <v>123</v>
      </c>
      <c r="G1315" s="4" t="s">
        <v>44</v>
      </c>
      <c r="H1315" s="4" t="str">
        <f>TRIM(CLEAN(SUBSTITUTE(Table1_1[[#This Row],[Salesperson]],"   "," ")))</f>
        <v>Simran Kaur</v>
      </c>
      <c r="I1315" s="4" t="s">
        <v>19</v>
      </c>
      <c r="J1315" s="4" t="s">
        <v>20</v>
      </c>
      <c r="K1315" s="4" t="s">
        <v>21</v>
      </c>
      <c r="L1315" s="4" t="s">
        <v>1682</v>
      </c>
      <c r="M1315" s="4" t="s">
        <v>23</v>
      </c>
      <c r="N1315" s="4" t="s">
        <v>24</v>
      </c>
      <c r="O1315" s="4">
        <v>4</v>
      </c>
      <c r="P1315" s="7">
        <v>9270</v>
      </c>
      <c r="Q1315" s="8">
        <v>0</v>
      </c>
      <c r="R1315" s="7">
        <v>6150</v>
      </c>
      <c r="S1315" s="7">
        <f>Table1_1[[#This Row],[Units Sold]]*Table1_1[[#This Row],[Unit Price]]*(1-Table1_1[[#This Row],[Discount %]])</f>
        <v>37080</v>
      </c>
      <c r="T1315" s="7">
        <f>Table1_1[[#This Row],[Units Sold]]*Table1_1[[#This Row],[Unit Cost]]</f>
        <v>24600</v>
      </c>
      <c r="U1315" s="7">
        <f>Table1_1[[#This Row],[Calculated sales]]-Table1_1[[#This Row],[Total cost]]</f>
        <v>12480</v>
      </c>
      <c r="V1315" s="4">
        <f>IFERROR(Table1_1[[#This Row],[Profit/Loss]]/Table1_1[[#This Row],[Calculated sales]],0)</f>
        <v>0.33656957928802589</v>
      </c>
    </row>
    <row r="1316" spans="1:22" x14ac:dyDescent="0.25">
      <c r="A1316" s="4" t="s">
        <v>1465</v>
      </c>
      <c r="B1316" s="5">
        <v>45947</v>
      </c>
      <c r="C1316" s="4">
        <f>YEAR(Table1_1[[#This Row],[Order Dates]])</f>
        <v>2025</v>
      </c>
      <c r="D1316" s="6">
        <f>MONTH(Table1_1[[#This Row],[Order Dates]])</f>
        <v>10</v>
      </c>
      <c r="E1316" s="4" t="s">
        <v>37</v>
      </c>
      <c r="F1316" s="4" t="s">
        <v>38</v>
      </c>
      <c r="G1316" s="4" t="s">
        <v>39</v>
      </c>
      <c r="H1316" s="4" t="str">
        <f>TRIM(CLEAN(SUBSTITUTE(Table1_1[[#This Row],[Salesperson]],"   "," ")))</f>
        <v>Sourav Das</v>
      </c>
      <c r="I1316" s="4" t="s">
        <v>19</v>
      </c>
      <c r="J1316" s="4" t="s">
        <v>20</v>
      </c>
      <c r="K1316" s="4" t="s">
        <v>87</v>
      </c>
      <c r="L1316" s="4" t="s">
        <v>1674</v>
      </c>
      <c r="M1316" s="4" t="s">
        <v>23</v>
      </c>
      <c r="N1316" s="4" t="s">
        <v>24</v>
      </c>
      <c r="O1316" s="4">
        <v>1</v>
      </c>
      <c r="P1316" s="7">
        <v>50720</v>
      </c>
      <c r="Q1316" s="8">
        <v>0</v>
      </c>
      <c r="R1316" s="7">
        <v>29620</v>
      </c>
      <c r="S1316" s="7">
        <f>Table1_1[[#This Row],[Units Sold]]*Table1_1[[#This Row],[Unit Price]]*(1-Table1_1[[#This Row],[Discount %]])</f>
        <v>50720</v>
      </c>
      <c r="T1316" s="7">
        <f>Table1_1[[#This Row],[Units Sold]]*Table1_1[[#This Row],[Unit Cost]]</f>
        <v>29620</v>
      </c>
      <c r="U1316" s="7">
        <f>Table1_1[[#This Row],[Calculated sales]]-Table1_1[[#This Row],[Total cost]]</f>
        <v>21100</v>
      </c>
      <c r="V1316" s="4">
        <f>IFERROR(Table1_1[[#This Row],[Profit/Loss]]/Table1_1[[#This Row],[Calculated sales]],0)</f>
        <v>0.4160094637223975</v>
      </c>
    </row>
    <row r="1317" spans="1:22" x14ac:dyDescent="0.25">
      <c r="A1317" s="4" t="s">
        <v>1466</v>
      </c>
      <c r="B1317" s="5">
        <v>45947</v>
      </c>
      <c r="C1317" s="4">
        <f>YEAR(Table1_1[[#This Row],[Order Dates]])</f>
        <v>2025</v>
      </c>
      <c r="D1317" s="6">
        <f>MONTH(Table1_1[[#This Row],[Order Dates]])</f>
        <v>10</v>
      </c>
      <c r="E1317" s="4" t="s">
        <v>37</v>
      </c>
      <c r="F1317" s="4" t="s">
        <v>115</v>
      </c>
      <c r="G1317" s="4" t="s">
        <v>39</v>
      </c>
      <c r="H1317" s="4" t="str">
        <f>TRIM(CLEAN(SUBSTITUTE(Table1_1[[#This Row],[Salesperson]],"   "," ")))</f>
        <v>Sourav Das</v>
      </c>
      <c r="I1317" s="4" t="s">
        <v>45</v>
      </c>
      <c r="J1317" s="4" t="s">
        <v>83</v>
      </c>
      <c r="K1317" s="4" t="s">
        <v>136</v>
      </c>
      <c r="L1317" s="4" t="s">
        <v>307</v>
      </c>
      <c r="M1317" s="4" t="s">
        <v>23</v>
      </c>
      <c r="N1317" s="4" t="s">
        <v>24</v>
      </c>
      <c r="O1317" s="4">
        <v>47</v>
      </c>
      <c r="P1317" s="7">
        <v>930</v>
      </c>
      <c r="Q1317" s="8">
        <v>0</v>
      </c>
      <c r="R1317" s="7">
        <v>680</v>
      </c>
      <c r="S1317" s="7">
        <f>Table1_1[[#This Row],[Units Sold]]*Table1_1[[#This Row],[Unit Price]]*(1-Table1_1[[#This Row],[Discount %]])</f>
        <v>43710</v>
      </c>
      <c r="T1317" s="7">
        <f>Table1_1[[#This Row],[Units Sold]]*Table1_1[[#This Row],[Unit Cost]]</f>
        <v>31960</v>
      </c>
      <c r="U1317" s="7">
        <f>Table1_1[[#This Row],[Calculated sales]]-Table1_1[[#This Row],[Total cost]]</f>
        <v>11750</v>
      </c>
      <c r="V1317" s="4">
        <f>IFERROR(Table1_1[[#This Row],[Profit/Loss]]/Table1_1[[#This Row],[Calculated sales]],0)</f>
        <v>0.26881720430107525</v>
      </c>
    </row>
    <row r="1318" spans="1:22" x14ac:dyDescent="0.25">
      <c r="A1318" s="4" t="s">
        <v>1467</v>
      </c>
      <c r="B1318" s="5">
        <v>45947</v>
      </c>
      <c r="C1318" s="4">
        <f>YEAR(Table1_1[[#This Row],[Order Dates]])</f>
        <v>2025</v>
      </c>
      <c r="D1318" s="6">
        <f>MONTH(Table1_1[[#This Row],[Order Dates]])</f>
        <v>10</v>
      </c>
      <c r="E1318" s="4" t="s">
        <v>42</v>
      </c>
      <c r="F1318" s="4" t="s">
        <v>146</v>
      </c>
      <c r="G1318" s="4" t="s">
        <v>97</v>
      </c>
      <c r="H1318" s="4" t="str">
        <f>TRIM(CLEAN(SUBSTITUTE(Table1_1[[#This Row],[Salesperson]],"   "," ")))</f>
        <v>Rohit Malhotra</v>
      </c>
      <c r="I1318" s="4" t="s">
        <v>92</v>
      </c>
      <c r="J1318" s="4" t="s">
        <v>27</v>
      </c>
      <c r="K1318" s="4" t="s">
        <v>28</v>
      </c>
      <c r="L1318" s="4" t="s">
        <v>1668</v>
      </c>
      <c r="M1318" s="4" t="s">
        <v>40</v>
      </c>
      <c r="N1318" s="4" t="s">
        <v>94</v>
      </c>
      <c r="O1318" s="4">
        <v>10</v>
      </c>
      <c r="P1318" s="7">
        <v>29230</v>
      </c>
      <c r="Q1318" s="8">
        <v>0</v>
      </c>
      <c r="R1318" s="7">
        <v>17160</v>
      </c>
      <c r="S1318" s="7">
        <f>Table1_1[[#This Row],[Units Sold]]*Table1_1[[#This Row],[Unit Price]]*(1-Table1_1[[#This Row],[Discount %]])</f>
        <v>292300</v>
      </c>
      <c r="T1318" s="7">
        <f>Table1_1[[#This Row],[Units Sold]]*Table1_1[[#This Row],[Unit Cost]]</f>
        <v>171600</v>
      </c>
      <c r="U1318" s="7">
        <f>Table1_1[[#This Row],[Calculated sales]]-Table1_1[[#This Row],[Total cost]]</f>
        <v>120700</v>
      </c>
      <c r="V1318" s="4">
        <f>IFERROR(Table1_1[[#This Row],[Profit/Loss]]/Table1_1[[#This Row],[Calculated sales]],0)</f>
        <v>0.41293191926103318</v>
      </c>
    </row>
    <row r="1319" spans="1:22" x14ac:dyDescent="0.25">
      <c r="A1319" s="4" t="s">
        <v>1468</v>
      </c>
      <c r="B1319" s="5">
        <v>45948</v>
      </c>
      <c r="C1319" s="4">
        <f>YEAR(Table1_1[[#This Row],[Order Dates]])</f>
        <v>2025</v>
      </c>
      <c r="D1319" s="6">
        <f>MONTH(Table1_1[[#This Row],[Order Dates]])</f>
        <v>10</v>
      </c>
      <c r="E1319" s="4" t="s">
        <v>56</v>
      </c>
      <c r="F1319" s="4" t="s">
        <v>143</v>
      </c>
      <c r="G1319" s="4" t="s">
        <v>58</v>
      </c>
      <c r="H1319" s="4" t="str">
        <f>TRIM(CLEAN(SUBSTITUTE(Table1_1[[#This Row],[Salesperson]],"   "," ")))</f>
        <v>Karthik Raman</v>
      </c>
      <c r="I1319" s="4" t="s">
        <v>92</v>
      </c>
      <c r="J1319" s="4" t="s">
        <v>20</v>
      </c>
      <c r="K1319" s="4" t="s">
        <v>33</v>
      </c>
      <c r="L1319" s="4" t="s">
        <v>1677</v>
      </c>
      <c r="M1319" s="4" t="s">
        <v>40</v>
      </c>
      <c r="N1319" s="4" t="s">
        <v>24</v>
      </c>
      <c r="O1319" s="4">
        <v>6</v>
      </c>
      <c r="P1319" s="7">
        <v>65270</v>
      </c>
      <c r="Q1319" s="8">
        <v>0.12</v>
      </c>
      <c r="R1319" s="7">
        <v>39810</v>
      </c>
      <c r="S1319" s="7">
        <f>Table1_1[[#This Row],[Units Sold]]*Table1_1[[#This Row],[Unit Price]]*(1-Table1_1[[#This Row],[Discount %]])</f>
        <v>344625.6</v>
      </c>
      <c r="T1319" s="7">
        <f>Table1_1[[#This Row],[Units Sold]]*Table1_1[[#This Row],[Unit Cost]]</f>
        <v>238860</v>
      </c>
      <c r="U1319" s="7">
        <f>Table1_1[[#This Row],[Calculated sales]]-Table1_1[[#This Row],[Total cost]]</f>
        <v>105765.59999999998</v>
      </c>
      <c r="V1319" s="4">
        <f>IFERROR(Table1_1[[#This Row],[Profit/Loss]]/Table1_1[[#This Row],[Calculated sales]],0)</f>
        <v>0.30690000974971093</v>
      </c>
    </row>
    <row r="1320" spans="1:22" x14ac:dyDescent="0.25">
      <c r="A1320" s="4" t="s">
        <v>1469</v>
      </c>
      <c r="B1320" s="5">
        <v>45948</v>
      </c>
      <c r="C1320" s="4">
        <f>YEAR(Table1_1[[#This Row],[Order Dates]])</f>
        <v>2025</v>
      </c>
      <c r="D1320" s="6">
        <f>MONTH(Table1_1[[#This Row],[Order Dates]])</f>
        <v>10</v>
      </c>
      <c r="E1320" s="4" t="s">
        <v>76</v>
      </c>
      <c r="F1320" s="4" t="s">
        <v>217</v>
      </c>
      <c r="G1320" s="4" t="s">
        <v>78</v>
      </c>
      <c r="H1320" s="4" t="str">
        <f>TRIM(CLEAN(SUBSTITUTE(Table1_1[[#This Row],[Salesperson]],"   "," ")))</f>
        <v>Pooja Chouhan</v>
      </c>
      <c r="I1320" s="4" t="s">
        <v>92</v>
      </c>
      <c r="J1320" s="4" t="s">
        <v>46</v>
      </c>
      <c r="K1320" s="4" t="s">
        <v>179</v>
      </c>
      <c r="L1320" s="4" t="s">
        <v>221</v>
      </c>
      <c r="M1320" s="4" t="s">
        <v>49</v>
      </c>
      <c r="N1320" s="4" t="s">
        <v>24</v>
      </c>
      <c r="O1320" s="4">
        <v>38</v>
      </c>
      <c r="P1320" s="7">
        <v>1710</v>
      </c>
      <c r="Q1320" s="8">
        <v>0.18</v>
      </c>
      <c r="R1320" s="7">
        <v>990</v>
      </c>
      <c r="S1320" s="7">
        <f>Table1_1[[#This Row],[Units Sold]]*Table1_1[[#This Row],[Unit Price]]*(1-Table1_1[[#This Row],[Discount %]])</f>
        <v>53283.600000000006</v>
      </c>
      <c r="T1320" s="7">
        <f>Table1_1[[#This Row],[Units Sold]]*Table1_1[[#This Row],[Unit Cost]]</f>
        <v>37620</v>
      </c>
      <c r="U1320" s="7">
        <f>Table1_1[[#This Row],[Calculated sales]]-Table1_1[[#This Row],[Total cost]]</f>
        <v>15663.600000000006</v>
      </c>
      <c r="V1320" s="4">
        <f>IFERROR(Table1_1[[#This Row],[Profit/Loss]]/Table1_1[[#This Row],[Calculated sales]],0)</f>
        <v>0.29396662387676514</v>
      </c>
    </row>
    <row r="1321" spans="1:22" x14ac:dyDescent="0.25">
      <c r="A1321" s="4" t="s">
        <v>1470</v>
      </c>
      <c r="B1321" s="5">
        <v>45949</v>
      </c>
      <c r="C1321" s="4">
        <f>YEAR(Table1_1[[#This Row],[Order Dates]])</f>
        <v>2025</v>
      </c>
      <c r="D1321" s="6">
        <f>MONTH(Table1_1[[#This Row],[Order Dates]])</f>
        <v>10</v>
      </c>
      <c r="E1321" s="4" t="s">
        <v>42</v>
      </c>
      <c r="F1321" s="4" t="s">
        <v>96</v>
      </c>
      <c r="G1321" s="4" t="s">
        <v>97</v>
      </c>
      <c r="H1321" s="4" t="str">
        <f>TRIM(CLEAN(SUBSTITUTE(Table1_1[[#This Row],[Salesperson]],"   "," ")))</f>
        <v>Rohit Malhotra</v>
      </c>
      <c r="I1321" s="4" t="s">
        <v>19</v>
      </c>
      <c r="J1321" s="4" t="s">
        <v>27</v>
      </c>
      <c r="K1321" s="4" t="s">
        <v>214</v>
      </c>
      <c r="L1321" s="4" t="s">
        <v>1680</v>
      </c>
      <c r="M1321" s="4" t="s">
        <v>23</v>
      </c>
      <c r="N1321" s="4" t="s">
        <v>24</v>
      </c>
      <c r="O1321" s="4">
        <v>4</v>
      </c>
      <c r="P1321" s="7">
        <v>32560</v>
      </c>
      <c r="Q1321" s="8">
        <v>0.15</v>
      </c>
      <c r="R1321" s="7">
        <v>18530</v>
      </c>
      <c r="S1321" s="7">
        <f>Table1_1[[#This Row],[Units Sold]]*Table1_1[[#This Row],[Unit Price]]*(1-Table1_1[[#This Row],[Discount %]])</f>
        <v>110704</v>
      </c>
      <c r="T1321" s="7">
        <f>Table1_1[[#This Row],[Units Sold]]*Table1_1[[#This Row],[Unit Cost]]</f>
        <v>74120</v>
      </c>
      <c r="U1321" s="7">
        <f>Table1_1[[#This Row],[Calculated sales]]-Table1_1[[#This Row],[Total cost]]</f>
        <v>36584</v>
      </c>
      <c r="V1321" s="4">
        <f>IFERROR(Table1_1[[#This Row],[Profit/Loss]]/Table1_1[[#This Row],[Calculated sales]],0)</f>
        <v>0.33046683046683045</v>
      </c>
    </row>
    <row r="1322" spans="1:22" x14ac:dyDescent="0.25">
      <c r="A1322" s="4" t="s">
        <v>1471</v>
      </c>
      <c r="B1322" s="5">
        <v>45949</v>
      </c>
      <c r="C1322" s="4">
        <f>YEAR(Table1_1[[#This Row],[Order Dates]])</f>
        <v>2025</v>
      </c>
      <c r="D1322" s="6">
        <f>MONTH(Table1_1[[#This Row],[Order Dates]])</f>
        <v>10</v>
      </c>
      <c r="E1322" s="4" t="s">
        <v>56</v>
      </c>
      <c r="F1322" s="4" t="s">
        <v>103</v>
      </c>
      <c r="G1322" s="4" t="s">
        <v>134</v>
      </c>
      <c r="H1322" s="4" t="str">
        <f>TRIM(CLEAN(SUBSTITUTE(Table1_1[[#This Row],[Salesperson]],"   "," ")))</f>
        <v>Divya Nair</v>
      </c>
      <c r="I1322" s="4" t="s">
        <v>52</v>
      </c>
      <c r="J1322" s="4" t="s">
        <v>46</v>
      </c>
      <c r="K1322" s="4" t="s">
        <v>179</v>
      </c>
      <c r="L1322" s="4" t="s">
        <v>236</v>
      </c>
      <c r="M1322" s="4" t="s">
        <v>23</v>
      </c>
      <c r="N1322" s="4" t="s">
        <v>94</v>
      </c>
      <c r="O1322" s="4">
        <v>6</v>
      </c>
      <c r="P1322" s="7">
        <v>2320</v>
      </c>
      <c r="Q1322" s="8">
        <v>0.05</v>
      </c>
      <c r="R1322" s="7">
        <v>1330</v>
      </c>
      <c r="S1322" s="7">
        <f>Table1_1[[#This Row],[Units Sold]]*Table1_1[[#This Row],[Unit Price]]*(1-Table1_1[[#This Row],[Discount %]])</f>
        <v>13224</v>
      </c>
      <c r="T1322" s="7">
        <f>Table1_1[[#This Row],[Units Sold]]*Table1_1[[#This Row],[Unit Cost]]</f>
        <v>7980</v>
      </c>
      <c r="U1322" s="7">
        <f>Table1_1[[#This Row],[Calculated sales]]-Table1_1[[#This Row],[Total cost]]</f>
        <v>5244</v>
      </c>
      <c r="V1322" s="4">
        <f>IFERROR(Table1_1[[#This Row],[Profit/Loss]]/Table1_1[[#This Row],[Calculated sales]],0)</f>
        <v>0.39655172413793105</v>
      </c>
    </row>
    <row r="1323" spans="1:22" x14ac:dyDescent="0.25">
      <c r="A1323" s="4" t="s">
        <v>1472</v>
      </c>
      <c r="B1323" s="5">
        <v>45950</v>
      </c>
      <c r="C1323" s="4">
        <f>YEAR(Table1_1[[#This Row],[Order Dates]])</f>
        <v>2025</v>
      </c>
      <c r="D1323" s="6">
        <f>MONTH(Table1_1[[#This Row],[Order Dates]])</f>
        <v>10</v>
      </c>
      <c r="E1323" s="4" t="s">
        <v>16</v>
      </c>
      <c r="F1323" s="4" t="s">
        <v>191</v>
      </c>
      <c r="G1323" s="4" t="s">
        <v>18</v>
      </c>
      <c r="H1323" s="4" t="str">
        <f>TRIM(CLEAN(SUBSTITUTE(Table1_1[[#This Row],[Salesperson]],"   "," ")))</f>
        <v>Imran Sheikh</v>
      </c>
      <c r="I1323" s="4" t="s">
        <v>19</v>
      </c>
      <c r="J1323" s="4" t="s">
        <v>27</v>
      </c>
      <c r="K1323" s="4" t="s">
        <v>214</v>
      </c>
      <c r="L1323" s="4" t="s">
        <v>1681</v>
      </c>
      <c r="M1323" s="4" t="s">
        <v>23</v>
      </c>
      <c r="N1323" s="4" t="s">
        <v>24</v>
      </c>
      <c r="O1323" s="4">
        <v>8</v>
      </c>
      <c r="P1323" s="7">
        <v>14480</v>
      </c>
      <c r="Q1323" s="8">
        <v>0.08</v>
      </c>
      <c r="R1323" s="7">
        <v>9010</v>
      </c>
      <c r="S1323" s="7">
        <f>Table1_1[[#This Row],[Units Sold]]*Table1_1[[#This Row],[Unit Price]]*(1-Table1_1[[#This Row],[Discount %]])</f>
        <v>106572.8</v>
      </c>
      <c r="T1323" s="7">
        <f>Table1_1[[#This Row],[Units Sold]]*Table1_1[[#This Row],[Unit Cost]]</f>
        <v>72080</v>
      </c>
      <c r="U1323" s="7">
        <f>Table1_1[[#This Row],[Calculated sales]]-Table1_1[[#This Row],[Total cost]]</f>
        <v>34492.800000000003</v>
      </c>
      <c r="V1323" s="4">
        <f>IFERROR(Table1_1[[#This Row],[Profit/Loss]]/Table1_1[[#This Row],[Calculated sales]],0)</f>
        <v>0.32365481623828973</v>
      </c>
    </row>
    <row r="1324" spans="1:22" x14ac:dyDescent="0.25">
      <c r="A1324" s="4" t="s">
        <v>1473</v>
      </c>
      <c r="B1324" s="5">
        <v>45950</v>
      </c>
      <c r="C1324" s="4">
        <f>YEAR(Table1_1[[#This Row],[Order Dates]])</f>
        <v>2025</v>
      </c>
      <c r="D1324" s="6">
        <f>MONTH(Table1_1[[#This Row],[Order Dates]])</f>
        <v>10</v>
      </c>
      <c r="E1324" s="4" t="s">
        <v>37</v>
      </c>
      <c r="F1324" s="4" t="s">
        <v>38</v>
      </c>
      <c r="G1324" s="4" t="s">
        <v>39</v>
      </c>
      <c r="H1324" s="4" t="str">
        <f>TRIM(CLEAN(SUBSTITUTE(Table1_1[[#This Row],[Salesperson]],"   "," ")))</f>
        <v>Sourav Das</v>
      </c>
      <c r="I1324" s="4" t="s">
        <v>19</v>
      </c>
      <c r="J1324" s="4" t="s">
        <v>27</v>
      </c>
      <c r="K1324" s="4" t="s">
        <v>214</v>
      </c>
      <c r="L1324" s="4" t="s">
        <v>1680</v>
      </c>
      <c r="M1324" s="4" t="s">
        <v>23</v>
      </c>
      <c r="N1324" s="4" t="s">
        <v>119</v>
      </c>
      <c r="O1324" s="4">
        <v>1</v>
      </c>
      <c r="P1324" s="7">
        <v>34450</v>
      </c>
      <c r="Q1324" s="8">
        <v>0.15</v>
      </c>
      <c r="R1324" s="7">
        <v>25480</v>
      </c>
      <c r="S1324" s="7">
        <f>Table1_1[[#This Row],[Units Sold]]*Table1_1[[#This Row],[Unit Price]]*(1-Table1_1[[#This Row],[Discount %]])</f>
        <v>29282.5</v>
      </c>
      <c r="T1324" s="7">
        <f>Table1_1[[#This Row],[Units Sold]]*Table1_1[[#This Row],[Unit Cost]]</f>
        <v>25480</v>
      </c>
      <c r="U1324" s="7">
        <f>Table1_1[[#This Row],[Calculated sales]]-Table1_1[[#This Row],[Total cost]]</f>
        <v>3802.5</v>
      </c>
      <c r="V1324" s="4">
        <f>IFERROR(Table1_1[[#This Row],[Profit/Loss]]/Table1_1[[#This Row],[Calculated sales]],0)</f>
        <v>0.12985571587125416</v>
      </c>
    </row>
    <row r="1325" spans="1:22" x14ac:dyDescent="0.25">
      <c r="A1325" s="4" t="s">
        <v>1474</v>
      </c>
      <c r="B1325" s="5">
        <v>45950</v>
      </c>
      <c r="C1325" s="4">
        <f>YEAR(Table1_1[[#This Row],[Order Dates]])</f>
        <v>2025</v>
      </c>
      <c r="D1325" s="6">
        <f>MONTH(Table1_1[[#This Row],[Order Dates]])</f>
        <v>10</v>
      </c>
      <c r="E1325" s="4" t="s">
        <v>56</v>
      </c>
      <c r="F1325" s="4" t="s">
        <v>133</v>
      </c>
      <c r="G1325" s="4" t="s">
        <v>134</v>
      </c>
      <c r="H1325" s="4" t="str">
        <f>TRIM(CLEAN(SUBSTITUTE(Table1_1[[#This Row],[Salesperson]],"   "," ")))</f>
        <v>Divya Nair</v>
      </c>
      <c r="I1325" s="4" t="s">
        <v>52</v>
      </c>
      <c r="J1325" s="4" t="s">
        <v>83</v>
      </c>
      <c r="K1325" s="4" t="s">
        <v>84</v>
      </c>
      <c r="L1325" s="4" t="s">
        <v>292</v>
      </c>
      <c r="M1325" s="4" t="s">
        <v>40</v>
      </c>
      <c r="N1325" s="4" t="s">
        <v>24</v>
      </c>
      <c r="O1325" s="4">
        <v>1</v>
      </c>
      <c r="P1325" s="7">
        <v>42240</v>
      </c>
      <c r="Q1325" s="8">
        <v>0.08</v>
      </c>
      <c r="R1325" s="7">
        <v>31810</v>
      </c>
      <c r="S1325" s="7">
        <f>Table1_1[[#This Row],[Units Sold]]*Table1_1[[#This Row],[Unit Price]]*(1-Table1_1[[#This Row],[Discount %]])</f>
        <v>38860.800000000003</v>
      </c>
      <c r="T1325" s="7">
        <f>Table1_1[[#This Row],[Units Sold]]*Table1_1[[#This Row],[Unit Cost]]</f>
        <v>31810</v>
      </c>
      <c r="U1325" s="7">
        <f>Table1_1[[#This Row],[Calculated sales]]-Table1_1[[#This Row],[Total cost]]</f>
        <v>7050.8000000000029</v>
      </c>
      <c r="V1325" s="4">
        <f>IFERROR(Table1_1[[#This Row],[Profit/Loss]]/Table1_1[[#This Row],[Calculated sales]],0)</f>
        <v>0.18143733530961798</v>
      </c>
    </row>
    <row r="1326" spans="1:22" x14ac:dyDescent="0.25">
      <c r="A1326" s="4" t="s">
        <v>1475</v>
      </c>
      <c r="B1326" s="5">
        <v>45950</v>
      </c>
      <c r="C1326" s="4">
        <f>YEAR(Table1_1[[#This Row],[Order Dates]])</f>
        <v>2025</v>
      </c>
      <c r="D1326" s="6">
        <f>MONTH(Table1_1[[#This Row],[Order Dates]])</f>
        <v>10</v>
      </c>
      <c r="E1326" s="4" t="s">
        <v>37</v>
      </c>
      <c r="F1326" s="4" t="s">
        <v>161</v>
      </c>
      <c r="G1326" s="4" t="s">
        <v>39</v>
      </c>
      <c r="H1326" s="4" t="str">
        <f>TRIM(CLEAN(SUBSTITUTE(Table1_1[[#This Row],[Salesperson]],"   "," ")))</f>
        <v>Sourav Das</v>
      </c>
      <c r="I1326" s="4" t="s">
        <v>19</v>
      </c>
      <c r="J1326" s="4" t="s">
        <v>27</v>
      </c>
      <c r="K1326" s="4" t="s">
        <v>28</v>
      </c>
      <c r="L1326" s="4" t="s">
        <v>1668</v>
      </c>
      <c r="M1326" s="4" t="s">
        <v>23</v>
      </c>
      <c r="N1326" s="4" t="s">
        <v>24</v>
      </c>
      <c r="O1326" s="4">
        <v>3</v>
      </c>
      <c r="P1326" s="7">
        <v>27690</v>
      </c>
      <c r="Q1326" s="8">
        <v>0.1</v>
      </c>
      <c r="R1326" s="7">
        <v>16320</v>
      </c>
      <c r="S1326" s="7">
        <f>Table1_1[[#This Row],[Units Sold]]*Table1_1[[#This Row],[Unit Price]]*(1-Table1_1[[#This Row],[Discount %]])</f>
        <v>74763</v>
      </c>
      <c r="T1326" s="7">
        <f>Table1_1[[#This Row],[Units Sold]]*Table1_1[[#This Row],[Unit Cost]]</f>
        <v>48960</v>
      </c>
      <c r="U1326" s="7">
        <f>Table1_1[[#This Row],[Calculated sales]]-Table1_1[[#This Row],[Total cost]]</f>
        <v>25803</v>
      </c>
      <c r="V1326" s="4">
        <f>IFERROR(Table1_1[[#This Row],[Profit/Loss]]/Table1_1[[#This Row],[Calculated sales]],0)</f>
        <v>0.34513061273624651</v>
      </c>
    </row>
    <row r="1327" spans="1:22" x14ac:dyDescent="0.25">
      <c r="A1327" s="4" t="s">
        <v>1476</v>
      </c>
      <c r="B1327" s="5">
        <v>45950</v>
      </c>
      <c r="C1327" s="4">
        <f>YEAR(Table1_1[[#This Row],[Order Dates]])</f>
        <v>2025</v>
      </c>
      <c r="D1327" s="6">
        <f>MONTH(Table1_1[[#This Row],[Order Dates]])</f>
        <v>10</v>
      </c>
      <c r="E1327" s="4" t="s">
        <v>42</v>
      </c>
      <c r="F1327" s="4" t="s">
        <v>265</v>
      </c>
      <c r="G1327" s="4" t="s">
        <v>44</v>
      </c>
      <c r="H1327" s="4" t="str">
        <f>TRIM(CLEAN(SUBSTITUTE(Table1_1[[#This Row],[Salesperson]],"   "," ")))</f>
        <v>Simran Kaur</v>
      </c>
      <c r="I1327" s="4" t="s">
        <v>19</v>
      </c>
      <c r="J1327" s="4" t="s">
        <v>20</v>
      </c>
      <c r="K1327" s="4" t="s">
        <v>87</v>
      </c>
      <c r="L1327" s="4" t="s">
        <v>1674</v>
      </c>
      <c r="M1327" s="4" t="s">
        <v>40</v>
      </c>
      <c r="N1327" s="4" t="s">
        <v>24</v>
      </c>
      <c r="O1327" s="4">
        <v>1</v>
      </c>
      <c r="P1327" s="7">
        <v>50960</v>
      </c>
      <c r="Q1327" s="8">
        <v>0.1</v>
      </c>
      <c r="R1327" s="7">
        <v>34720</v>
      </c>
      <c r="S1327" s="7">
        <f>Table1_1[[#This Row],[Units Sold]]*Table1_1[[#This Row],[Unit Price]]*(1-Table1_1[[#This Row],[Discount %]])</f>
        <v>45864</v>
      </c>
      <c r="T1327" s="7">
        <f>Table1_1[[#This Row],[Units Sold]]*Table1_1[[#This Row],[Unit Cost]]</f>
        <v>34720</v>
      </c>
      <c r="U1327" s="7">
        <f>Table1_1[[#This Row],[Calculated sales]]-Table1_1[[#This Row],[Total cost]]</f>
        <v>11144</v>
      </c>
      <c r="V1327" s="4">
        <f>IFERROR(Table1_1[[#This Row],[Profit/Loss]]/Table1_1[[#This Row],[Calculated sales]],0)</f>
        <v>0.24297924297924298</v>
      </c>
    </row>
    <row r="1328" spans="1:22" x14ac:dyDescent="0.25">
      <c r="A1328" s="4" t="s">
        <v>1477</v>
      </c>
      <c r="B1328" s="5">
        <v>45951</v>
      </c>
      <c r="C1328" s="4">
        <f>YEAR(Table1_1[[#This Row],[Order Dates]])</f>
        <v>2025</v>
      </c>
      <c r="D1328" s="6">
        <f>MONTH(Table1_1[[#This Row],[Order Dates]])</f>
        <v>10</v>
      </c>
      <c r="E1328" s="4" t="s">
        <v>76</v>
      </c>
      <c r="F1328" s="4" t="s">
        <v>150</v>
      </c>
      <c r="G1328" s="4" t="s">
        <v>170</v>
      </c>
      <c r="H1328" s="4" t="str">
        <f>TRIM(CLEAN(SUBSTITUTE(Table1_1[[#This Row],[Salesperson]],"   "," ")))</f>
        <v>Manish Tiwari</v>
      </c>
      <c r="I1328" s="4" t="s">
        <v>19</v>
      </c>
      <c r="J1328" s="4" t="s">
        <v>20</v>
      </c>
      <c r="K1328" s="4" t="s">
        <v>109</v>
      </c>
      <c r="L1328" s="4" t="s">
        <v>171</v>
      </c>
      <c r="M1328" s="4" t="s">
        <v>49</v>
      </c>
      <c r="N1328" s="4" t="s">
        <v>24</v>
      </c>
      <c r="O1328" s="4">
        <v>5</v>
      </c>
      <c r="P1328" s="7">
        <v>22730</v>
      </c>
      <c r="Q1328" s="8">
        <v>0.15</v>
      </c>
      <c r="R1328" s="7">
        <v>14230</v>
      </c>
      <c r="S1328" s="7">
        <f>Table1_1[[#This Row],[Units Sold]]*Table1_1[[#This Row],[Unit Price]]*(1-Table1_1[[#This Row],[Discount %]])</f>
        <v>96602.5</v>
      </c>
      <c r="T1328" s="7">
        <f>Table1_1[[#This Row],[Units Sold]]*Table1_1[[#This Row],[Unit Cost]]</f>
        <v>71150</v>
      </c>
      <c r="U1328" s="7">
        <f>Table1_1[[#This Row],[Calculated sales]]-Table1_1[[#This Row],[Total cost]]</f>
        <v>25452.5</v>
      </c>
      <c r="V1328" s="4">
        <f>IFERROR(Table1_1[[#This Row],[Profit/Loss]]/Table1_1[[#This Row],[Calculated sales]],0)</f>
        <v>0.26347661809994566</v>
      </c>
    </row>
    <row r="1329" spans="1:22" x14ac:dyDescent="0.25">
      <c r="A1329" s="4" t="s">
        <v>1478</v>
      </c>
      <c r="B1329" s="5">
        <v>45951</v>
      </c>
      <c r="C1329" s="4">
        <f>YEAR(Table1_1[[#This Row],[Order Dates]])</f>
        <v>2025</v>
      </c>
      <c r="D1329" s="6">
        <f>MONTH(Table1_1[[#This Row],[Order Dates]])</f>
        <v>10</v>
      </c>
      <c r="E1329" s="4" t="s">
        <v>42</v>
      </c>
      <c r="F1329" s="4" t="s">
        <v>123</v>
      </c>
      <c r="G1329" s="4" t="s">
        <v>44</v>
      </c>
      <c r="H1329" s="4" t="str">
        <f>TRIM(CLEAN(SUBSTITUTE(Table1_1[[#This Row],[Salesperson]],"   "," ")))</f>
        <v>Simran Kaur</v>
      </c>
      <c r="I1329" s="4" t="s">
        <v>19</v>
      </c>
      <c r="J1329" s="4" t="s">
        <v>27</v>
      </c>
      <c r="K1329" s="4" t="s">
        <v>214</v>
      </c>
      <c r="L1329" s="4" t="s">
        <v>1680</v>
      </c>
      <c r="M1329" s="4" t="s">
        <v>40</v>
      </c>
      <c r="N1329" s="4" t="s">
        <v>24</v>
      </c>
      <c r="O1329" s="4">
        <v>4</v>
      </c>
      <c r="P1329" s="7">
        <v>33620</v>
      </c>
      <c r="Q1329" s="8">
        <v>0.15</v>
      </c>
      <c r="R1329" s="7">
        <v>23700</v>
      </c>
      <c r="S1329" s="7">
        <f>Table1_1[[#This Row],[Units Sold]]*Table1_1[[#This Row],[Unit Price]]*(1-Table1_1[[#This Row],[Discount %]])</f>
        <v>114308</v>
      </c>
      <c r="T1329" s="7">
        <f>Table1_1[[#This Row],[Units Sold]]*Table1_1[[#This Row],[Unit Cost]]</f>
        <v>94800</v>
      </c>
      <c r="U1329" s="7">
        <f>Table1_1[[#This Row],[Calculated sales]]-Table1_1[[#This Row],[Total cost]]</f>
        <v>19508</v>
      </c>
      <c r="V1329" s="4">
        <f>IFERROR(Table1_1[[#This Row],[Profit/Loss]]/Table1_1[[#This Row],[Calculated sales]],0)</f>
        <v>0.17066172096441193</v>
      </c>
    </row>
    <row r="1330" spans="1:22" x14ac:dyDescent="0.25">
      <c r="A1330" s="4" t="s">
        <v>1479</v>
      </c>
      <c r="B1330" s="5">
        <v>45951</v>
      </c>
      <c r="C1330" s="4">
        <f>YEAR(Table1_1[[#This Row],[Order Dates]])</f>
        <v>2025</v>
      </c>
      <c r="D1330" s="6">
        <f>MONTH(Table1_1[[#This Row],[Order Dates]])</f>
        <v>10</v>
      </c>
      <c r="E1330" s="4" t="s">
        <v>76</v>
      </c>
      <c r="F1330" s="4" t="s">
        <v>125</v>
      </c>
      <c r="G1330" s="4" t="s">
        <v>170</v>
      </c>
      <c r="H1330" s="4" t="str">
        <f>TRIM(CLEAN(SUBSTITUTE(Table1_1[[#This Row],[Salesperson]],"   "," ")))</f>
        <v>Manish Tiwari</v>
      </c>
      <c r="I1330" s="4" t="s">
        <v>19</v>
      </c>
      <c r="J1330" s="4" t="s">
        <v>20</v>
      </c>
      <c r="K1330" s="4" t="s">
        <v>87</v>
      </c>
      <c r="L1330" s="4" t="s">
        <v>1674</v>
      </c>
      <c r="M1330" s="4" t="s">
        <v>49</v>
      </c>
      <c r="N1330" s="4" t="s">
        <v>24</v>
      </c>
      <c r="O1330" s="4">
        <v>1</v>
      </c>
      <c r="P1330" s="7">
        <v>53610</v>
      </c>
      <c r="Q1330" s="8">
        <v>0.2</v>
      </c>
      <c r="R1330" s="7">
        <v>30500</v>
      </c>
      <c r="S1330" s="7">
        <f>Table1_1[[#This Row],[Units Sold]]*Table1_1[[#This Row],[Unit Price]]*(1-Table1_1[[#This Row],[Discount %]])</f>
        <v>42888</v>
      </c>
      <c r="T1330" s="7">
        <f>Table1_1[[#This Row],[Units Sold]]*Table1_1[[#This Row],[Unit Cost]]</f>
        <v>30500</v>
      </c>
      <c r="U1330" s="7">
        <f>Table1_1[[#This Row],[Calculated sales]]-Table1_1[[#This Row],[Total cost]]</f>
        <v>12388</v>
      </c>
      <c r="V1330" s="4">
        <f>IFERROR(Table1_1[[#This Row],[Profit/Loss]]/Table1_1[[#This Row],[Calculated sales]],0)</f>
        <v>0.28884536467077038</v>
      </c>
    </row>
    <row r="1331" spans="1:22" x14ac:dyDescent="0.25">
      <c r="A1331" s="4" t="s">
        <v>1480</v>
      </c>
      <c r="B1331" s="5">
        <v>45951</v>
      </c>
      <c r="C1331" s="4">
        <f>YEAR(Table1_1[[#This Row],[Order Dates]])</f>
        <v>2025</v>
      </c>
      <c r="D1331" s="6">
        <f>MONTH(Table1_1[[#This Row],[Order Dates]])</f>
        <v>10</v>
      </c>
      <c r="E1331" s="4" t="s">
        <v>76</v>
      </c>
      <c r="F1331" s="4" t="s">
        <v>77</v>
      </c>
      <c r="G1331" s="4" t="s">
        <v>170</v>
      </c>
      <c r="H1331" s="4" t="str">
        <f>TRIM(CLEAN(SUBSTITUTE(Table1_1[[#This Row],[Salesperson]],"   "," ")))</f>
        <v>Manish Tiwari</v>
      </c>
      <c r="I1331" s="4" t="s">
        <v>19</v>
      </c>
      <c r="J1331" s="4" t="s">
        <v>20</v>
      </c>
      <c r="K1331" s="4" t="s">
        <v>21</v>
      </c>
      <c r="L1331" s="4" t="s">
        <v>1670</v>
      </c>
      <c r="M1331" s="4" t="s">
        <v>40</v>
      </c>
      <c r="N1331" s="4" t="s">
        <v>94</v>
      </c>
      <c r="O1331" s="4">
        <v>10</v>
      </c>
      <c r="P1331" s="7">
        <v>8300</v>
      </c>
      <c r="Q1331" s="8">
        <v>0.18</v>
      </c>
      <c r="R1331" s="7">
        <v>5670</v>
      </c>
      <c r="S1331" s="7">
        <f>Table1_1[[#This Row],[Units Sold]]*Table1_1[[#This Row],[Unit Price]]*(1-Table1_1[[#This Row],[Discount %]])</f>
        <v>68060</v>
      </c>
      <c r="T1331" s="7">
        <f>Table1_1[[#This Row],[Units Sold]]*Table1_1[[#This Row],[Unit Cost]]</f>
        <v>56700</v>
      </c>
      <c r="U1331" s="7">
        <f>Table1_1[[#This Row],[Calculated sales]]-Table1_1[[#This Row],[Total cost]]</f>
        <v>11360</v>
      </c>
      <c r="V1331" s="4">
        <f>IFERROR(Table1_1[[#This Row],[Profit/Loss]]/Table1_1[[#This Row],[Calculated sales]],0)</f>
        <v>0.16691154863355862</v>
      </c>
    </row>
    <row r="1332" spans="1:22" x14ac:dyDescent="0.25">
      <c r="A1332" s="4" t="s">
        <v>1481</v>
      </c>
      <c r="B1332" s="5">
        <v>45951</v>
      </c>
      <c r="C1332" s="4">
        <f>YEAR(Table1_1[[#This Row],[Order Dates]])</f>
        <v>2025</v>
      </c>
      <c r="D1332" s="6">
        <f>MONTH(Table1_1[[#This Row],[Order Dates]])</f>
        <v>10</v>
      </c>
      <c r="E1332" s="4" t="s">
        <v>56</v>
      </c>
      <c r="F1332" s="4" t="s">
        <v>57</v>
      </c>
      <c r="G1332" s="4" t="s">
        <v>58</v>
      </c>
      <c r="H1332" s="4" t="str">
        <f>TRIM(CLEAN(SUBSTITUTE(Table1_1[[#This Row],[Salesperson]],"   "," ")))</f>
        <v>Karthik Raman</v>
      </c>
      <c r="I1332" s="4" t="s">
        <v>45</v>
      </c>
      <c r="J1332" s="4" t="s">
        <v>83</v>
      </c>
      <c r="K1332" s="4" t="s">
        <v>184</v>
      </c>
      <c r="L1332" s="4" t="s">
        <v>1679</v>
      </c>
      <c r="M1332" s="4" t="s">
        <v>40</v>
      </c>
      <c r="N1332" s="4" t="s">
        <v>24</v>
      </c>
      <c r="O1332" s="4">
        <v>15</v>
      </c>
      <c r="P1332" s="7">
        <v>4740</v>
      </c>
      <c r="Q1332" s="8">
        <v>0.15</v>
      </c>
      <c r="R1332" s="7">
        <v>3140</v>
      </c>
      <c r="S1332" s="7">
        <f>Table1_1[[#This Row],[Units Sold]]*Table1_1[[#This Row],[Unit Price]]*(1-Table1_1[[#This Row],[Discount %]])</f>
        <v>60435</v>
      </c>
      <c r="T1332" s="7">
        <f>Table1_1[[#This Row],[Units Sold]]*Table1_1[[#This Row],[Unit Cost]]</f>
        <v>47100</v>
      </c>
      <c r="U1332" s="7">
        <f>Table1_1[[#This Row],[Calculated sales]]-Table1_1[[#This Row],[Total cost]]</f>
        <v>13335</v>
      </c>
      <c r="V1332" s="4">
        <f>IFERROR(Table1_1[[#This Row],[Profit/Loss]]/Table1_1[[#This Row],[Calculated sales]],0)</f>
        <v>0.22065028543062795</v>
      </c>
    </row>
    <row r="1333" spans="1:22" x14ac:dyDescent="0.25">
      <c r="A1333" s="4" t="s">
        <v>1482</v>
      </c>
      <c r="B1333" s="5">
        <v>45952</v>
      </c>
      <c r="C1333" s="4">
        <f>YEAR(Table1_1[[#This Row],[Order Dates]])</f>
        <v>2025</v>
      </c>
      <c r="D1333" s="6">
        <f>MONTH(Table1_1[[#This Row],[Order Dates]])</f>
        <v>10</v>
      </c>
      <c r="E1333" s="4" t="s">
        <v>56</v>
      </c>
      <c r="F1333" s="4" t="s">
        <v>103</v>
      </c>
      <c r="G1333" s="4" t="s">
        <v>58</v>
      </c>
      <c r="H1333" s="4" t="str">
        <f>TRIM(CLEAN(SUBSTITUTE(Table1_1[[#This Row],[Salesperson]],"   "," ")))</f>
        <v>Karthik Raman</v>
      </c>
      <c r="I1333" s="4" t="s">
        <v>92</v>
      </c>
      <c r="J1333" s="4" t="s">
        <v>59</v>
      </c>
      <c r="K1333" s="4" t="s">
        <v>154</v>
      </c>
      <c r="L1333" s="4" t="s">
        <v>249</v>
      </c>
      <c r="M1333" s="4" t="s">
        <v>40</v>
      </c>
      <c r="N1333" s="4" t="s">
        <v>35</v>
      </c>
      <c r="O1333" s="4">
        <v>17</v>
      </c>
      <c r="P1333" s="7">
        <v>6710</v>
      </c>
      <c r="Q1333" s="8">
        <v>0</v>
      </c>
      <c r="R1333" s="7">
        <v>4890</v>
      </c>
      <c r="S1333" s="7">
        <f>Table1_1[[#This Row],[Units Sold]]*Table1_1[[#This Row],[Unit Price]]*(1-Table1_1[[#This Row],[Discount %]])</f>
        <v>114070</v>
      </c>
      <c r="T1333" s="7">
        <f>Table1_1[[#This Row],[Units Sold]]*Table1_1[[#This Row],[Unit Cost]]</f>
        <v>83130</v>
      </c>
      <c r="U1333" s="7">
        <f>Table1_1[[#This Row],[Calculated sales]]-Table1_1[[#This Row],[Total cost]]</f>
        <v>30940</v>
      </c>
      <c r="V1333" s="4">
        <f>IFERROR(Table1_1[[#This Row],[Profit/Loss]]/Table1_1[[#This Row],[Calculated sales]],0)</f>
        <v>0.27123695976154993</v>
      </c>
    </row>
    <row r="1334" spans="1:22" x14ac:dyDescent="0.25">
      <c r="A1334" s="4" t="s">
        <v>1483</v>
      </c>
      <c r="B1334" s="5">
        <v>45952</v>
      </c>
      <c r="C1334" s="4">
        <f>YEAR(Table1_1[[#This Row],[Order Dates]])</f>
        <v>2025</v>
      </c>
      <c r="D1334" s="6">
        <f>MONTH(Table1_1[[#This Row],[Order Dates]])</f>
        <v>10</v>
      </c>
      <c r="E1334" s="4" t="s">
        <v>16</v>
      </c>
      <c r="F1334" s="4" t="s">
        <v>17</v>
      </c>
      <c r="G1334" s="4" t="s">
        <v>32</v>
      </c>
      <c r="H1334" s="4" t="str">
        <f>TRIM(CLEAN(SUBSTITUTE(Table1_1[[#This Row],[Salesperson]],"   "," ")))</f>
        <v>Neha Deshpande</v>
      </c>
      <c r="I1334" s="4" t="s">
        <v>52</v>
      </c>
      <c r="J1334" s="4" t="s">
        <v>59</v>
      </c>
      <c r="K1334" s="4" t="s">
        <v>60</v>
      </c>
      <c r="L1334" s="4" t="s">
        <v>61</v>
      </c>
      <c r="M1334" s="4" t="s">
        <v>40</v>
      </c>
      <c r="N1334" s="4" t="s">
        <v>94</v>
      </c>
      <c r="O1334" s="4">
        <v>1</v>
      </c>
      <c r="P1334" s="7">
        <v>24550</v>
      </c>
      <c r="Q1334" s="8">
        <v>0.2</v>
      </c>
      <c r="R1334" s="7">
        <v>15180</v>
      </c>
      <c r="S1334" s="7">
        <f>Table1_1[[#This Row],[Units Sold]]*Table1_1[[#This Row],[Unit Price]]*(1-Table1_1[[#This Row],[Discount %]])</f>
        <v>19640</v>
      </c>
      <c r="T1334" s="7">
        <f>Table1_1[[#This Row],[Units Sold]]*Table1_1[[#This Row],[Unit Cost]]</f>
        <v>15180</v>
      </c>
      <c r="U1334" s="7">
        <f>Table1_1[[#This Row],[Calculated sales]]-Table1_1[[#This Row],[Total cost]]</f>
        <v>4460</v>
      </c>
      <c r="V1334" s="4">
        <f>IFERROR(Table1_1[[#This Row],[Profit/Loss]]/Table1_1[[#This Row],[Calculated sales]],0)</f>
        <v>0.22708757637474541</v>
      </c>
    </row>
    <row r="1335" spans="1:22" x14ac:dyDescent="0.25">
      <c r="A1335" s="4" t="s">
        <v>1484</v>
      </c>
      <c r="B1335" s="5">
        <v>45952</v>
      </c>
      <c r="C1335" s="4">
        <f>YEAR(Table1_1[[#This Row],[Order Dates]])</f>
        <v>2025</v>
      </c>
      <c r="D1335" s="6">
        <f>MONTH(Table1_1[[#This Row],[Order Dates]])</f>
        <v>10</v>
      </c>
      <c r="E1335" s="4" t="s">
        <v>37</v>
      </c>
      <c r="F1335" s="4" t="s">
        <v>213</v>
      </c>
      <c r="G1335" s="4" t="s">
        <v>39</v>
      </c>
      <c r="H1335" s="4" t="str">
        <f>TRIM(CLEAN(SUBSTITUTE(Table1_1[[#This Row],[Salesperson]],"   "," ")))</f>
        <v>Sourav Das</v>
      </c>
      <c r="I1335" s="4" t="s">
        <v>52</v>
      </c>
      <c r="J1335" s="4" t="s">
        <v>20</v>
      </c>
      <c r="K1335" s="4" t="s">
        <v>109</v>
      </c>
      <c r="L1335" s="4" t="s">
        <v>1675</v>
      </c>
      <c r="M1335" s="4" t="s">
        <v>49</v>
      </c>
      <c r="N1335" s="4" t="s">
        <v>119</v>
      </c>
      <c r="O1335" s="4">
        <v>1</v>
      </c>
      <c r="P1335" s="7">
        <v>64990</v>
      </c>
      <c r="Q1335" s="8">
        <v>0.1</v>
      </c>
      <c r="R1335" s="7">
        <v>44390</v>
      </c>
      <c r="S1335" s="7">
        <f>Table1_1[[#This Row],[Units Sold]]*Table1_1[[#This Row],[Unit Price]]*(1-Table1_1[[#This Row],[Discount %]])</f>
        <v>58491</v>
      </c>
      <c r="T1335" s="7">
        <f>Table1_1[[#This Row],[Units Sold]]*Table1_1[[#This Row],[Unit Cost]]</f>
        <v>44390</v>
      </c>
      <c r="U1335" s="7">
        <f>Table1_1[[#This Row],[Calculated sales]]-Table1_1[[#This Row],[Total cost]]</f>
        <v>14101</v>
      </c>
      <c r="V1335" s="4">
        <f>IFERROR(Table1_1[[#This Row],[Profit/Loss]]/Table1_1[[#This Row],[Calculated sales]],0)</f>
        <v>0.24107982424646526</v>
      </c>
    </row>
    <row r="1336" spans="1:22" x14ac:dyDescent="0.25">
      <c r="A1336" s="4" t="s">
        <v>1485</v>
      </c>
      <c r="B1336" s="5">
        <v>45953</v>
      </c>
      <c r="C1336" s="4">
        <f>YEAR(Table1_1[[#This Row],[Order Dates]])</f>
        <v>2025</v>
      </c>
      <c r="D1336" s="6">
        <f>MONTH(Table1_1[[#This Row],[Order Dates]])</f>
        <v>10</v>
      </c>
      <c r="E1336" s="4" t="s">
        <v>42</v>
      </c>
      <c r="F1336" s="4" t="s">
        <v>130</v>
      </c>
      <c r="G1336" s="4" t="s">
        <v>44</v>
      </c>
      <c r="H1336" s="4" t="str">
        <f>TRIM(CLEAN(SUBSTITUTE(Table1_1[[#This Row],[Salesperson]],"   "," ")))</f>
        <v>Simran Kaur</v>
      </c>
      <c r="I1336" s="4" t="s">
        <v>19</v>
      </c>
      <c r="J1336" s="4" t="s">
        <v>59</v>
      </c>
      <c r="K1336" s="4" t="s">
        <v>60</v>
      </c>
      <c r="L1336" s="4" t="s">
        <v>61</v>
      </c>
      <c r="M1336" s="4" t="s">
        <v>23</v>
      </c>
      <c r="N1336" s="4" t="s">
        <v>24</v>
      </c>
      <c r="O1336" s="4">
        <v>1</v>
      </c>
      <c r="P1336" s="7">
        <v>24520</v>
      </c>
      <c r="Q1336" s="8">
        <v>0.1</v>
      </c>
      <c r="R1336" s="7">
        <v>16440</v>
      </c>
      <c r="S1336" s="7">
        <f>Table1_1[[#This Row],[Units Sold]]*Table1_1[[#This Row],[Unit Price]]*(1-Table1_1[[#This Row],[Discount %]])</f>
        <v>22068</v>
      </c>
      <c r="T1336" s="7">
        <f>Table1_1[[#This Row],[Units Sold]]*Table1_1[[#This Row],[Unit Cost]]</f>
        <v>16440</v>
      </c>
      <c r="U1336" s="7">
        <f>Table1_1[[#This Row],[Calculated sales]]-Table1_1[[#This Row],[Total cost]]</f>
        <v>5628</v>
      </c>
      <c r="V1336" s="4">
        <f>IFERROR(Table1_1[[#This Row],[Profit/Loss]]/Table1_1[[#This Row],[Calculated sales]],0)</f>
        <v>0.25502990755845567</v>
      </c>
    </row>
    <row r="1337" spans="1:22" x14ac:dyDescent="0.25">
      <c r="A1337" s="4" t="s">
        <v>1486</v>
      </c>
      <c r="B1337" s="5">
        <v>45953</v>
      </c>
      <c r="C1337" s="4">
        <f>YEAR(Table1_1[[#This Row],[Order Dates]])</f>
        <v>2025</v>
      </c>
      <c r="D1337" s="6">
        <f>MONTH(Table1_1[[#This Row],[Order Dates]])</f>
        <v>10</v>
      </c>
      <c r="E1337" s="4" t="s">
        <v>56</v>
      </c>
      <c r="F1337" s="4" t="s">
        <v>57</v>
      </c>
      <c r="G1337" s="4" t="s">
        <v>91</v>
      </c>
      <c r="H1337" s="4" t="str">
        <f>TRIM(CLEAN(SUBSTITUTE(Table1_1[[#This Row],[Salesperson]],"   "," ")))</f>
        <v>Anjali Menon</v>
      </c>
      <c r="I1337" s="4" t="s">
        <v>19</v>
      </c>
      <c r="J1337" s="4" t="s">
        <v>20</v>
      </c>
      <c r="K1337" s="4" t="s">
        <v>109</v>
      </c>
      <c r="L1337" s="4" t="s">
        <v>171</v>
      </c>
      <c r="M1337" s="4" t="s">
        <v>23</v>
      </c>
      <c r="N1337" s="4" t="s">
        <v>24</v>
      </c>
      <c r="O1337" s="4">
        <v>8</v>
      </c>
      <c r="P1337" s="7">
        <v>21460</v>
      </c>
      <c r="Q1337" s="8">
        <v>0.1</v>
      </c>
      <c r="R1337" s="7">
        <v>14060</v>
      </c>
      <c r="S1337" s="7">
        <f>Table1_1[[#This Row],[Units Sold]]*Table1_1[[#This Row],[Unit Price]]*(1-Table1_1[[#This Row],[Discount %]])</f>
        <v>154512</v>
      </c>
      <c r="T1337" s="7">
        <f>Table1_1[[#This Row],[Units Sold]]*Table1_1[[#This Row],[Unit Cost]]</f>
        <v>112480</v>
      </c>
      <c r="U1337" s="7">
        <f>Table1_1[[#This Row],[Calculated sales]]-Table1_1[[#This Row],[Total cost]]</f>
        <v>42032</v>
      </c>
      <c r="V1337" s="4">
        <f>IFERROR(Table1_1[[#This Row],[Profit/Loss]]/Table1_1[[#This Row],[Calculated sales]],0)</f>
        <v>0.27203065134099619</v>
      </c>
    </row>
    <row r="1338" spans="1:22" x14ac:dyDescent="0.25">
      <c r="A1338" s="4" t="s">
        <v>1487</v>
      </c>
      <c r="B1338" s="5">
        <v>45954</v>
      </c>
      <c r="C1338" s="4">
        <f>YEAR(Table1_1[[#This Row],[Order Dates]])</f>
        <v>2025</v>
      </c>
      <c r="D1338" s="6">
        <f>MONTH(Table1_1[[#This Row],[Order Dates]])</f>
        <v>10</v>
      </c>
      <c r="E1338" s="4" t="s">
        <v>56</v>
      </c>
      <c r="F1338" s="4" t="s">
        <v>72</v>
      </c>
      <c r="G1338" s="4" t="s">
        <v>134</v>
      </c>
      <c r="H1338" s="4" t="str">
        <f>TRIM(CLEAN(SUBSTITUTE(Table1_1[[#This Row],[Salesperson]],"   "," ")))</f>
        <v>Divya Nair</v>
      </c>
      <c r="I1338" s="4" t="s">
        <v>19</v>
      </c>
      <c r="J1338" s="4" t="s">
        <v>20</v>
      </c>
      <c r="K1338" s="4" t="s">
        <v>21</v>
      </c>
      <c r="L1338" s="4" t="s">
        <v>1670</v>
      </c>
      <c r="M1338" s="4" t="s">
        <v>40</v>
      </c>
      <c r="N1338" s="4" t="s">
        <v>24</v>
      </c>
      <c r="O1338" s="4">
        <v>13</v>
      </c>
      <c r="P1338" s="7">
        <v>8760</v>
      </c>
      <c r="Q1338" s="8">
        <v>0.15</v>
      </c>
      <c r="R1338" s="7">
        <v>5960</v>
      </c>
      <c r="S1338" s="7">
        <f>Table1_1[[#This Row],[Units Sold]]*Table1_1[[#This Row],[Unit Price]]*(1-Table1_1[[#This Row],[Discount %]])</f>
        <v>96798</v>
      </c>
      <c r="T1338" s="7">
        <f>Table1_1[[#This Row],[Units Sold]]*Table1_1[[#This Row],[Unit Cost]]</f>
        <v>77480</v>
      </c>
      <c r="U1338" s="7">
        <f>Table1_1[[#This Row],[Calculated sales]]-Table1_1[[#This Row],[Total cost]]</f>
        <v>19318</v>
      </c>
      <c r="V1338" s="4">
        <f>IFERROR(Table1_1[[#This Row],[Profit/Loss]]/Table1_1[[#This Row],[Calculated sales]],0)</f>
        <v>0.19957023905452592</v>
      </c>
    </row>
    <row r="1339" spans="1:22" x14ac:dyDescent="0.25">
      <c r="A1339" s="4" t="s">
        <v>1488</v>
      </c>
      <c r="B1339" s="5">
        <v>45955</v>
      </c>
      <c r="C1339" s="4">
        <f>YEAR(Table1_1[[#This Row],[Order Dates]])</f>
        <v>2025</v>
      </c>
      <c r="D1339" s="6">
        <f>MONTH(Table1_1[[#This Row],[Order Dates]])</f>
        <v>10</v>
      </c>
      <c r="E1339" s="4" t="s">
        <v>37</v>
      </c>
      <c r="F1339" s="4" t="s">
        <v>166</v>
      </c>
      <c r="G1339" s="4" t="s">
        <v>39</v>
      </c>
      <c r="H1339" s="4" t="str">
        <f>TRIM(CLEAN(SUBSTITUTE(Table1_1[[#This Row],[Salesperson]],"   "," ")))</f>
        <v>Sourav Das</v>
      </c>
      <c r="I1339" s="4" t="s">
        <v>45</v>
      </c>
      <c r="J1339" s="4" t="s">
        <v>20</v>
      </c>
      <c r="K1339" s="4" t="s">
        <v>109</v>
      </c>
      <c r="L1339" s="4" t="s">
        <v>171</v>
      </c>
      <c r="M1339" s="4" t="s">
        <v>23</v>
      </c>
      <c r="N1339" s="4" t="s">
        <v>24</v>
      </c>
      <c r="O1339" s="4">
        <v>2</v>
      </c>
      <c r="P1339" s="7">
        <v>22500</v>
      </c>
      <c r="Q1339" s="8">
        <v>0.1</v>
      </c>
      <c r="R1339" s="7">
        <v>15400</v>
      </c>
      <c r="S1339" s="7">
        <f>Table1_1[[#This Row],[Units Sold]]*Table1_1[[#This Row],[Unit Price]]*(1-Table1_1[[#This Row],[Discount %]])</f>
        <v>40500</v>
      </c>
      <c r="T1339" s="7">
        <f>Table1_1[[#This Row],[Units Sold]]*Table1_1[[#This Row],[Unit Cost]]</f>
        <v>30800</v>
      </c>
      <c r="U1339" s="7">
        <f>Table1_1[[#This Row],[Calculated sales]]-Table1_1[[#This Row],[Total cost]]</f>
        <v>9700</v>
      </c>
      <c r="V1339" s="4">
        <f>IFERROR(Table1_1[[#This Row],[Profit/Loss]]/Table1_1[[#This Row],[Calculated sales]],0)</f>
        <v>0.23950617283950618</v>
      </c>
    </row>
    <row r="1340" spans="1:22" x14ac:dyDescent="0.25">
      <c r="A1340" s="4" t="s">
        <v>1489</v>
      </c>
      <c r="B1340" s="5">
        <v>45956</v>
      </c>
      <c r="C1340" s="4">
        <f>YEAR(Table1_1[[#This Row],[Order Dates]])</f>
        <v>2025</v>
      </c>
      <c r="D1340" s="6">
        <f>MONTH(Table1_1[[#This Row],[Order Dates]])</f>
        <v>10</v>
      </c>
      <c r="E1340" s="4" t="s">
        <v>42</v>
      </c>
      <c r="F1340" s="4" t="s">
        <v>130</v>
      </c>
      <c r="G1340" s="4" t="s">
        <v>64</v>
      </c>
      <c r="H1340" s="4" t="str">
        <f>TRIM(CLEAN(SUBSTITUTE(Table1_1[[#This Row],[Salesperson]],"   "," ")))</f>
        <v>Aditya Verma</v>
      </c>
      <c r="I1340" s="4" t="s">
        <v>52</v>
      </c>
      <c r="J1340" s="4" t="s">
        <v>46</v>
      </c>
      <c r="K1340" s="4" t="s">
        <v>100</v>
      </c>
      <c r="L1340" s="4" t="s">
        <v>177</v>
      </c>
      <c r="M1340" s="4" t="s">
        <v>23</v>
      </c>
      <c r="N1340" s="4" t="s">
        <v>24</v>
      </c>
      <c r="O1340" s="4">
        <v>6</v>
      </c>
      <c r="P1340" s="7">
        <v>2450</v>
      </c>
      <c r="Q1340" s="8">
        <v>0.05</v>
      </c>
      <c r="R1340" s="7">
        <v>1740</v>
      </c>
      <c r="S1340" s="7">
        <f>Table1_1[[#This Row],[Units Sold]]*Table1_1[[#This Row],[Unit Price]]*(1-Table1_1[[#This Row],[Discount %]])</f>
        <v>13965</v>
      </c>
      <c r="T1340" s="7">
        <f>Table1_1[[#This Row],[Units Sold]]*Table1_1[[#This Row],[Unit Cost]]</f>
        <v>10440</v>
      </c>
      <c r="U1340" s="7">
        <f>Table1_1[[#This Row],[Calculated sales]]-Table1_1[[#This Row],[Total cost]]</f>
        <v>3525</v>
      </c>
      <c r="V1340" s="4">
        <f>IFERROR(Table1_1[[#This Row],[Profit/Loss]]/Table1_1[[#This Row],[Calculated sales]],0)</f>
        <v>0.25241675617615467</v>
      </c>
    </row>
    <row r="1341" spans="1:22" x14ac:dyDescent="0.25">
      <c r="A1341" s="4" t="s">
        <v>1490</v>
      </c>
      <c r="B1341" s="5">
        <v>45956</v>
      </c>
      <c r="C1341" s="4">
        <f>YEAR(Table1_1[[#This Row],[Order Dates]])</f>
        <v>2025</v>
      </c>
      <c r="D1341" s="6">
        <f>MONTH(Table1_1[[#This Row],[Order Dates]])</f>
        <v>10</v>
      </c>
      <c r="E1341" s="4" t="s">
        <v>76</v>
      </c>
      <c r="F1341" s="4" t="s">
        <v>150</v>
      </c>
      <c r="G1341" s="4" t="s">
        <v>170</v>
      </c>
      <c r="H1341" s="4" t="str">
        <f>TRIM(CLEAN(SUBSTITUTE(Table1_1[[#This Row],[Salesperson]],"   "," ")))</f>
        <v>Manish Tiwari</v>
      </c>
      <c r="I1341" s="4" t="s">
        <v>19</v>
      </c>
      <c r="J1341" s="4" t="s">
        <v>27</v>
      </c>
      <c r="K1341" s="4" t="s">
        <v>28</v>
      </c>
      <c r="L1341" s="4" t="s">
        <v>141</v>
      </c>
      <c r="M1341" s="4" t="s">
        <v>23</v>
      </c>
      <c r="N1341" s="4" t="s">
        <v>24</v>
      </c>
      <c r="O1341" s="4">
        <v>6</v>
      </c>
      <c r="P1341" s="7">
        <v>16340</v>
      </c>
      <c r="Q1341" s="8">
        <v>0.25</v>
      </c>
      <c r="R1341" s="7">
        <v>12620</v>
      </c>
      <c r="S1341" s="7">
        <f>Table1_1[[#This Row],[Units Sold]]*Table1_1[[#This Row],[Unit Price]]*(1-Table1_1[[#This Row],[Discount %]])</f>
        <v>73530</v>
      </c>
      <c r="T1341" s="7">
        <f>Table1_1[[#This Row],[Units Sold]]*Table1_1[[#This Row],[Unit Cost]]</f>
        <v>75720</v>
      </c>
      <c r="U1341" s="7">
        <f>Table1_1[[#This Row],[Calculated sales]]-Table1_1[[#This Row],[Total cost]]</f>
        <v>-2190</v>
      </c>
      <c r="V1341" s="4">
        <f>IFERROR(Table1_1[[#This Row],[Profit/Loss]]/Table1_1[[#This Row],[Calculated sales]],0)</f>
        <v>-2.9783761729906162E-2</v>
      </c>
    </row>
    <row r="1342" spans="1:22" x14ac:dyDescent="0.25">
      <c r="A1342" s="4" t="s">
        <v>1491</v>
      </c>
      <c r="B1342" s="5">
        <v>45956</v>
      </c>
      <c r="C1342" s="4">
        <f>YEAR(Table1_1[[#This Row],[Order Dates]])</f>
        <v>2025</v>
      </c>
      <c r="D1342" s="6">
        <f>MONTH(Table1_1[[#This Row],[Order Dates]])</f>
        <v>10</v>
      </c>
      <c r="E1342" s="4" t="s">
        <v>42</v>
      </c>
      <c r="F1342" s="4" t="s">
        <v>265</v>
      </c>
      <c r="G1342" s="4" t="s">
        <v>64</v>
      </c>
      <c r="H1342" s="4" t="str">
        <f>TRIM(CLEAN(SUBSTITUTE(Table1_1[[#This Row],[Salesperson]],"   "," ")))</f>
        <v>Aditya Verma</v>
      </c>
      <c r="I1342" s="4" t="s">
        <v>45</v>
      </c>
      <c r="J1342" s="4" t="s">
        <v>83</v>
      </c>
      <c r="K1342" s="4" t="s">
        <v>84</v>
      </c>
      <c r="L1342" s="4" t="s">
        <v>1671</v>
      </c>
      <c r="M1342" s="4" t="s">
        <v>23</v>
      </c>
      <c r="N1342" s="4" t="s">
        <v>24</v>
      </c>
      <c r="O1342" s="4">
        <v>50</v>
      </c>
      <c r="P1342" s="7">
        <v>2320</v>
      </c>
      <c r="Q1342" s="8">
        <v>0.15</v>
      </c>
      <c r="R1342" s="7">
        <v>1780</v>
      </c>
      <c r="S1342" s="7">
        <f>Table1_1[[#This Row],[Units Sold]]*Table1_1[[#This Row],[Unit Price]]*(1-Table1_1[[#This Row],[Discount %]])</f>
        <v>98600</v>
      </c>
      <c r="T1342" s="7">
        <f>Table1_1[[#This Row],[Units Sold]]*Table1_1[[#This Row],[Unit Cost]]</f>
        <v>89000</v>
      </c>
      <c r="U1342" s="7">
        <f>Table1_1[[#This Row],[Calculated sales]]-Table1_1[[#This Row],[Total cost]]</f>
        <v>9600</v>
      </c>
      <c r="V1342" s="4">
        <f>IFERROR(Table1_1[[#This Row],[Profit/Loss]]/Table1_1[[#This Row],[Calculated sales]],0)</f>
        <v>9.7363083164300201E-2</v>
      </c>
    </row>
    <row r="1343" spans="1:22" x14ac:dyDescent="0.25">
      <c r="A1343" s="4" t="s">
        <v>1492</v>
      </c>
      <c r="B1343" s="5">
        <v>45957</v>
      </c>
      <c r="C1343" s="4">
        <f>YEAR(Table1_1[[#This Row],[Order Dates]])</f>
        <v>2025</v>
      </c>
      <c r="D1343" s="6">
        <f>MONTH(Table1_1[[#This Row],[Order Dates]])</f>
        <v>10</v>
      </c>
      <c r="E1343" s="4" t="s">
        <v>76</v>
      </c>
      <c r="F1343" s="4" t="s">
        <v>125</v>
      </c>
      <c r="G1343" s="4" t="s">
        <v>170</v>
      </c>
      <c r="H1343" s="4" t="str">
        <f>TRIM(CLEAN(SUBSTITUTE(Table1_1[[#This Row],[Salesperson]],"   "," ")))</f>
        <v>Manish Tiwari</v>
      </c>
      <c r="I1343" s="4" t="s">
        <v>19</v>
      </c>
      <c r="J1343" s="4" t="s">
        <v>27</v>
      </c>
      <c r="K1343" s="4" t="s">
        <v>53</v>
      </c>
      <c r="L1343" s="4" t="s">
        <v>1669</v>
      </c>
      <c r="M1343" s="4" t="s">
        <v>40</v>
      </c>
      <c r="N1343" s="4" t="s">
        <v>24</v>
      </c>
      <c r="O1343" s="4">
        <v>1</v>
      </c>
      <c r="P1343" s="7">
        <v>42260</v>
      </c>
      <c r="Q1343" s="8">
        <v>0.12</v>
      </c>
      <c r="R1343" s="7">
        <v>30170</v>
      </c>
      <c r="S1343" s="7">
        <f>Table1_1[[#This Row],[Units Sold]]*Table1_1[[#This Row],[Unit Price]]*(1-Table1_1[[#This Row],[Discount %]])</f>
        <v>37188.800000000003</v>
      </c>
      <c r="T1343" s="7">
        <f>Table1_1[[#This Row],[Units Sold]]*Table1_1[[#This Row],[Unit Cost]]</f>
        <v>30170</v>
      </c>
      <c r="U1343" s="7">
        <f>Table1_1[[#This Row],[Calculated sales]]-Table1_1[[#This Row],[Total cost]]</f>
        <v>7018.8000000000029</v>
      </c>
      <c r="V1343" s="4">
        <f>IFERROR(Table1_1[[#This Row],[Profit/Loss]]/Table1_1[[#This Row],[Calculated sales]],0)</f>
        <v>0.18873424256765484</v>
      </c>
    </row>
    <row r="1344" spans="1:22" x14ac:dyDescent="0.25">
      <c r="A1344" s="4" t="s">
        <v>1493</v>
      </c>
      <c r="B1344" s="5">
        <v>45957</v>
      </c>
      <c r="C1344" s="4">
        <f>YEAR(Table1_1[[#This Row],[Order Dates]])</f>
        <v>2025</v>
      </c>
      <c r="D1344" s="6">
        <f>MONTH(Table1_1[[#This Row],[Order Dates]])</f>
        <v>10</v>
      </c>
      <c r="E1344" s="4" t="s">
        <v>56</v>
      </c>
      <c r="F1344" s="4" t="s">
        <v>127</v>
      </c>
      <c r="G1344" s="4" t="s">
        <v>58</v>
      </c>
      <c r="H1344" s="4" t="str">
        <f>TRIM(CLEAN(SUBSTITUTE(Table1_1[[#This Row],[Salesperson]],"   "," ")))</f>
        <v>Karthik Raman</v>
      </c>
      <c r="I1344" s="4" t="s">
        <v>19</v>
      </c>
      <c r="J1344" s="4" t="s">
        <v>20</v>
      </c>
      <c r="K1344" s="4" t="s">
        <v>87</v>
      </c>
      <c r="L1344" s="4" t="s">
        <v>1674</v>
      </c>
      <c r="M1344" s="4" t="s">
        <v>40</v>
      </c>
      <c r="N1344" s="4" t="s">
        <v>94</v>
      </c>
      <c r="O1344" s="4">
        <v>1</v>
      </c>
      <c r="P1344" s="7">
        <v>53950</v>
      </c>
      <c r="Q1344" s="8">
        <v>0.1</v>
      </c>
      <c r="R1344" s="7">
        <v>36470</v>
      </c>
      <c r="S1344" s="7">
        <f>Table1_1[[#This Row],[Units Sold]]*Table1_1[[#This Row],[Unit Price]]*(1-Table1_1[[#This Row],[Discount %]])</f>
        <v>48555</v>
      </c>
      <c r="T1344" s="7">
        <f>Table1_1[[#This Row],[Units Sold]]*Table1_1[[#This Row],[Unit Cost]]</f>
        <v>36470</v>
      </c>
      <c r="U1344" s="7">
        <f>Table1_1[[#This Row],[Calculated sales]]-Table1_1[[#This Row],[Total cost]]</f>
        <v>12085</v>
      </c>
      <c r="V1344" s="4">
        <f>IFERROR(Table1_1[[#This Row],[Profit/Loss]]/Table1_1[[#This Row],[Calculated sales]],0)</f>
        <v>0.2488930079291525</v>
      </c>
    </row>
    <row r="1345" spans="1:22" x14ac:dyDescent="0.25">
      <c r="A1345" s="4" t="s">
        <v>1494</v>
      </c>
      <c r="B1345" s="5">
        <v>45958</v>
      </c>
      <c r="C1345" s="4">
        <f>YEAR(Table1_1[[#This Row],[Order Dates]])</f>
        <v>2025</v>
      </c>
      <c r="D1345" s="6">
        <f>MONTH(Table1_1[[#This Row],[Order Dates]])</f>
        <v>10</v>
      </c>
      <c r="E1345" s="4" t="s">
        <v>37</v>
      </c>
      <c r="F1345" s="4" t="s">
        <v>115</v>
      </c>
      <c r="G1345" s="4" t="s">
        <v>39</v>
      </c>
      <c r="H1345" s="4" t="str">
        <f>TRIM(CLEAN(SUBSTITUTE(Table1_1[[#This Row],[Salesperson]],"   "," ")))</f>
        <v>Sourav Das</v>
      </c>
      <c r="I1345" s="4" t="s">
        <v>45</v>
      </c>
      <c r="J1345" s="4" t="s">
        <v>27</v>
      </c>
      <c r="K1345" s="4" t="s">
        <v>214</v>
      </c>
      <c r="L1345" s="4" t="s">
        <v>1681</v>
      </c>
      <c r="M1345" s="4" t="s">
        <v>49</v>
      </c>
      <c r="N1345" s="4" t="s">
        <v>24</v>
      </c>
      <c r="O1345" s="4">
        <v>7</v>
      </c>
      <c r="P1345" s="7">
        <v>13410</v>
      </c>
      <c r="Q1345" s="8">
        <v>0.05</v>
      </c>
      <c r="R1345" s="7">
        <v>8880</v>
      </c>
      <c r="S1345" s="7">
        <f>Table1_1[[#This Row],[Units Sold]]*Table1_1[[#This Row],[Unit Price]]*(1-Table1_1[[#This Row],[Discount %]])</f>
        <v>89176.5</v>
      </c>
      <c r="T1345" s="7">
        <f>Table1_1[[#This Row],[Units Sold]]*Table1_1[[#This Row],[Unit Cost]]</f>
        <v>62160</v>
      </c>
      <c r="U1345" s="7">
        <f>Table1_1[[#This Row],[Calculated sales]]-Table1_1[[#This Row],[Total cost]]</f>
        <v>27016.5</v>
      </c>
      <c r="V1345" s="4">
        <f>IFERROR(Table1_1[[#This Row],[Profit/Loss]]/Table1_1[[#This Row],[Calculated sales]],0)</f>
        <v>0.30295537501471798</v>
      </c>
    </row>
    <row r="1346" spans="1:22" x14ac:dyDescent="0.25">
      <c r="A1346" s="4" t="s">
        <v>1495</v>
      </c>
      <c r="B1346" s="5">
        <v>45958</v>
      </c>
      <c r="C1346" s="4">
        <f>YEAR(Table1_1[[#This Row],[Order Dates]])</f>
        <v>2025</v>
      </c>
      <c r="D1346" s="6">
        <f>MONTH(Table1_1[[#This Row],[Order Dates]])</f>
        <v>10</v>
      </c>
      <c r="E1346" s="4" t="s">
        <v>16</v>
      </c>
      <c r="F1346" s="4" t="s">
        <v>153</v>
      </c>
      <c r="G1346" s="4" t="s">
        <v>26</v>
      </c>
      <c r="H1346" s="4" t="str">
        <f>TRIM(CLEAN(SUBSTITUTE(Table1_1[[#This Row],[Salesperson]],"   "," ")))</f>
        <v>Prateek Shah</v>
      </c>
      <c r="I1346" s="4" t="s">
        <v>52</v>
      </c>
      <c r="J1346" s="4" t="s">
        <v>83</v>
      </c>
      <c r="K1346" s="4" t="s">
        <v>184</v>
      </c>
      <c r="L1346" s="4" t="s">
        <v>196</v>
      </c>
      <c r="M1346" s="4" t="s">
        <v>23</v>
      </c>
      <c r="N1346" s="4" t="s">
        <v>35</v>
      </c>
      <c r="O1346" s="4">
        <v>12</v>
      </c>
      <c r="P1346" s="7">
        <v>3390</v>
      </c>
      <c r="Q1346" s="8">
        <v>0.25</v>
      </c>
      <c r="R1346" s="7">
        <v>2500</v>
      </c>
      <c r="S1346" s="7">
        <f>Table1_1[[#This Row],[Units Sold]]*Table1_1[[#This Row],[Unit Price]]*(1-Table1_1[[#This Row],[Discount %]])</f>
        <v>30510</v>
      </c>
      <c r="T1346" s="7">
        <f>Table1_1[[#This Row],[Units Sold]]*Table1_1[[#This Row],[Unit Cost]]</f>
        <v>30000</v>
      </c>
      <c r="U1346" s="7">
        <f>Table1_1[[#This Row],[Calculated sales]]-Table1_1[[#This Row],[Total cost]]</f>
        <v>510</v>
      </c>
      <c r="V1346" s="4">
        <f>IFERROR(Table1_1[[#This Row],[Profit/Loss]]/Table1_1[[#This Row],[Calculated sales]],0)</f>
        <v>1.6715830875122909E-2</v>
      </c>
    </row>
    <row r="1347" spans="1:22" x14ac:dyDescent="0.25">
      <c r="A1347" s="4" t="s">
        <v>1496</v>
      </c>
      <c r="B1347" s="5">
        <v>45959</v>
      </c>
      <c r="C1347" s="4">
        <f>YEAR(Table1_1[[#This Row],[Order Dates]])</f>
        <v>2025</v>
      </c>
      <c r="D1347" s="6">
        <f>MONTH(Table1_1[[#This Row],[Order Dates]])</f>
        <v>10</v>
      </c>
      <c r="E1347" s="4" t="s">
        <v>16</v>
      </c>
      <c r="F1347" s="4" t="s">
        <v>51</v>
      </c>
      <c r="G1347" s="4" t="s">
        <v>32</v>
      </c>
      <c r="H1347" s="4" t="str">
        <f>TRIM(CLEAN(SUBSTITUTE(Table1_1[[#This Row],[Salesperson]],"   "," ")))</f>
        <v>Neha Deshpande</v>
      </c>
      <c r="I1347" s="4" t="s">
        <v>19</v>
      </c>
      <c r="J1347" s="4" t="s">
        <v>20</v>
      </c>
      <c r="K1347" s="4" t="s">
        <v>21</v>
      </c>
      <c r="L1347" s="4" t="s">
        <v>1682</v>
      </c>
      <c r="M1347" s="4" t="s">
        <v>40</v>
      </c>
      <c r="N1347" s="4" t="s">
        <v>24</v>
      </c>
      <c r="O1347" s="4">
        <v>13</v>
      </c>
      <c r="P1347" s="7">
        <v>8750</v>
      </c>
      <c r="Q1347" s="8">
        <v>0.08</v>
      </c>
      <c r="R1347" s="7">
        <v>5400</v>
      </c>
      <c r="S1347" s="7">
        <f>Table1_1[[#This Row],[Units Sold]]*Table1_1[[#This Row],[Unit Price]]*(1-Table1_1[[#This Row],[Discount %]])</f>
        <v>104650</v>
      </c>
      <c r="T1347" s="7">
        <f>Table1_1[[#This Row],[Units Sold]]*Table1_1[[#This Row],[Unit Cost]]</f>
        <v>70200</v>
      </c>
      <c r="U1347" s="7">
        <f>Table1_1[[#This Row],[Calculated sales]]-Table1_1[[#This Row],[Total cost]]</f>
        <v>34450</v>
      </c>
      <c r="V1347" s="4">
        <f>IFERROR(Table1_1[[#This Row],[Profit/Loss]]/Table1_1[[#This Row],[Calculated sales]],0)</f>
        <v>0.32919254658385094</v>
      </c>
    </row>
    <row r="1348" spans="1:22" x14ac:dyDescent="0.25">
      <c r="A1348" s="4" t="s">
        <v>1497</v>
      </c>
      <c r="B1348" s="5">
        <v>45959</v>
      </c>
      <c r="C1348" s="4">
        <f>YEAR(Table1_1[[#This Row],[Order Dates]])</f>
        <v>2025</v>
      </c>
      <c r="D1348" s="6">
        <f>MONTH(Table1_1[[#This Row],[Order Dates]])</f>
        <v>10</v>
      </c>
      <c r="E1348" s="4" t="s">
        <v>42</v>
      </c>
      <c r="F1348" s="4" t="s">
        <v>123</v>
      </c>
      <c r="G1348" s="4" t="s">
        <v>44</v>
      </c>
      <c r="H1348" s="4" t="str">
        <f>TRIM(CLEAN(SUBSTITUTE(Table1_1[[#This Row],[Salesperson]],"   "," ")))</f>
        <v>Simran Kaur</v>
      </c>
      <c r="I1348" s="4" t="s">
        <v>92</v>
      </c>
      <c r="J1348" s="4" t="s">
        <v>59</v>
      </c>
      <c r="K1348" s="4" t="s">
        <v>73</v>
      </c>
      <c r="L1348" s="4" t="s">
        <v>74</v>
      </c>
      <c r="M1348" s="4" t="s">
        <v>49</v>
      </c>
      <c r="N1348" s="4" t="s">
        <v>24</v>
      </c>
      <c r="O1348" s="4">
        <v>1</v>
      </c>
      <c r="P1348" s="7">
        <v>44550</v>
      </c>
      <c r="Q1348" s="8">
        <v>0.15</v>
      </c>
      <c r="R1348" s="7">
        <v>31820</v>
      </c>
      <c r="S1348" s="7">
        <f>Table1_1[[#This Row],[Units Sold]]*Table1_1[[#This Row],[Unit Price]]*(1-Table1_1[[#This Row],[Discount %]])</f>
        <v>37867.5</v>
      </c>
      <c r="T1348" s="7">
        <f>Table1_1[[#This Row],[Units Sold]]*Table1_1[[#This Row],[Unit Cost]]</f>
        <v>31820</v>
      </c>
      <c r="U1348" s="7">
        <f>Table1_1[[#This Row],[Calculated sales]]-Table1_1[[#This Row],[Total cost]]</f>
        <v>6047.5</v>
      </c>
      <c r="V1348" s="4">
        <f>IFERROR(Table1_1[[#This Row],[Profit/Loss]]/Table1_1[[#This Row],[Calculated sales]],0)</f>
        <v>0.15970159107414009</v>
      </c>
    </row>
    <row r="1349" spans="1:22" x14ac:dyDescent="0.25">
      <c r="A1349" s="4" t="s">
        <v>1498</v>
      </c>
      <c r="B1349" s="5">
        <v>45960</v>
      </c>
      <c r="C1349" s="4">
        <f>YEAR(Table1_1[[#This Row],[Order Dates]])</f>
        <v>2025</v>
      </c>
      <c r="D1349" s="6">
        <f>MONTH(Table1_1[[#This Row],[Order Dates]])</f>
        <v>10</v>
      </c>
      <c r="E1349" s="4" t="s">
        <v>76</v>
      </c>
      <c r="F1349" s="4" t="s">
        <v>77</v>
      </c>
      <c r="G1349" s="4" t="s">
        <v>170</v>
      </c>
      <c r="H1349" s="4" t="str">
        <f>TRIM(CLEAN(SUBSTITUTE(Table1_1[[#This Row],[Salesperson]],"   "," ")))</f>
        <v>Manish Tiwari</v>
      </c>
      <c r="I1349" s="4" t="s">
        <v>19</v>
      </c>
      <c r="J1349" s="4" t="s">
        <v>27</v>
      </c>
      <c r="K1349" s="4" t="s">
        <v>53</v>
      </c>
      <c r="L1349" s="4" t="s">
        <v>1676</v>
      </c>
      <c r="M1349" s="4" t="s">
        <v>40</v>
      </c>
      <c r="N1349" s="4" t="s">
        <v>35</v>
      </c>
      <c r="O1349" s="4">
        <v>4</v>
      </c>
      <c r="P1349" s="7">
        <v>35930</v>
      </c>
      <c r="Q1349" s="8">
        <v>0.08</v>
      </c>
      <c r="R1349" s="7">
        <v>22000</v>
      </c>
      <c r="S1349" s="7">
        <f>Table1_1[[#This Row],[Units Sold]]*Table1_1[[#This Row],[Unit Price]]*(1-Table1_1[[#This Row],[Discount %]])</f>
        <v>132222.39999999999</v>
      </c>
      <c r="T1349" s="7">
        <f>Table1_1[[#This Row],[Units Sold]]*Table1_1[[#This Row],[Unit Cost]]</f>
        <v>88000</v>
      </c>
      <c r="U1349" s="7">
        <f>Table1_1[[#This Row],[Calculated sales]]-Table1_1[[#This Row],[Total cost]]</f>
        <v>44222.399999999994</v>
      </c>
      <c r="V1349" s="4">
        <f>IFERROR(Table1_1[[#This Row],[Profit/Loss]]/Table1_1[[#This Row],[Calculated sales]],0)</f>
        <v>0.33445467636346032</v>
      </c>
    </row>
    <row r="1350" spans="1:22" x14ac:dyDescent="0.25">
      <c r="A1350" s="4" t="s">
        <v>1499</v>
      </c>
      <c r="B1350" s="5">
        <v>45960</v>
      </c>
      <c r="C1350" s="4">
        <f>YEAR(Table1_1[[#This Row],[Order Dates]])</f>
        <v>2025</v>
      </c>
      <c r="D1350" s="6">
        <f>MONTH(Table1_1[[#This Row],[Order Dates]])</f>
        <v>10</v>
      </c>
      <c r="E1350" s="4" t="s">
        <v>37</v>
      </c>
      <c r="F1350" s="4" t="s">
        <v>166</v>
      </c>
      <c r="G1350" s="4" t="s">
        <v>68</v>
      </c>
      <c r="H1350" s="4" t="str">
        <f>TRIM(CLEAN(SUBSTITUTE(Table1_1[[#This Row],[Salesperson]],"   "," ")))</f>
        <v>Ritika Ghosh</v>
      </c>
      <c r="I1350" s="4" t="s">
        <v>92</v>
      </c>
      <c r="J1350" s="4" t="s">
        <v>59</v>
      </c>
      <c r="K1350" s="4" t="s">
        <v>154</v>
      </c>
      <c r="L1350" s="4" t="s">
        <v>155</v>
      </c>
      <c r="M1350" s="4" t="s">
        <v>40</v>
      </c>
      <c r="N1350" s="4" t="s">
        <v>24</v>
      </c>
      <c r="O1350" s="4">
        <v>6</v>
      </c>
      <c r="P1350" s="7">
        <v>11510</v>
      </c>
      <c r="Q1350" s="8">
        <v>0.15</v>
      </c>
      <c r="R1350" s="7">
        <v>8330</v>
      </c>
      <c r="S1350" s="7">
        <f>Table1_1[[#This Row],[Units Sold]]*Table1_1[[#This Row],[Unit Price]]*(1-Table1_1[[#This Row],[Discount %]])</f>
        <v>58701</v>
      </c>
      <c r="T1350" s="7">
        <f>Table1_1[[#This Row],[Units Sold]]*Table1_1[[#This Row],[Unit Cost]]</f>
        <v>49980</v>
      </c>
      <c r="U1350" s="7">
        <f>Table1_1[[#This Row],[Calculated sales]]-Table1_1[[#This Row],[Total cost]]</f>
        <v>8721</v>
      </c>
      <c r="V1350" s="4">
        <f>IFERROR(Table1_1[[#This Row],[Profit/Loss]]/Table1_1[[#This Row],[Calculated sales]],0)</f>
        <v>0.14856646394439618</v>
      </c>
    </row>
    <row r="1351" spans="1:22" x14ac:dyDescent="0.25">
      <c r="A1351" s="4" t="s">
        <v>1500</v>
      </c>
      <c r="B1351" s="5">
        <v>45960</v>
      </c>
      <c r="C1351" s="4">
        <f>YEAR(Table1_1[[#This Row],[Order Dates]])</f>
        <v>2025</v>
      </c>
      <c r="D1351" s="6">
        <f>MONTH(Table1_1[[#This Row],[Order Dates]])</f>
        <v>10</v>
      </c>
      <c r="E1351" s="4" t="s">
        <v>42</v>
      </c>
      <c r="F1351" s="4" t="s">
        <v>130</v>
      </c>
      <c r="G1351" s="4" t="s">
        <v>44</v>
      </c>
      <c r="H1351" s="4" t="str">
        <f>TRIM(CLEAN(SUBSTITUTE(Table1_1[[#This Row],[Salesperson]],"   "," ")))</f>
        <v>Simran Kaur</v>
      </c>
      <c r="I1351" s="4" t="s">
        <v>92</v>
      </c>
      <c r="J1351" s="4" t="s">
        <v>83</v>
      </c>
      <c r="K1351" s="4" t="s">
        <v>136</v>
      </c>
      <c r="L1351" s="4" t="s">
        <v>307</v>
      </c>
      <c r="M1351" s="4" t="s">
        <v>23</v>
      </c>
      <c r="N1351" s="4" t="s">
        <v>24</v>
      </c>
      <c r="O1351" s="4">
        <v>18</v>
      </c>
      <c r="P1351" s="7">
        <v>970</v>
      </c>
      <c r="Q1351" s="8">
        <v>0.1</v>
      </c>
      <c r="R1351" s="7">
        <v>660</v>
      </c>
      <c r="S1351" s="7">
        <f>Table1_1[[#This Row],[Units Sold]]*Table1_1[[#This Row],[Unit Price]]*(1-Table1_1[[#This Row],[Discount %]])</f>
        <v>15714</v>
      </c>
      <c r="T1351" s="7">
        <f>Table1_1[[#This Row],[Units Sold]]*Table1_1[[#This Row],[Unit Cost]]</f>
        <v>11880</v>
      </c>
      <c r="U1351" s="7">
        <f>Table1_1[[#This Row],[Calculated sales]]-Table1_1[[#This Row],[Total cost]]</f>
        <v>3834</v>
      </c>
      <c r="V1351" s="4">
        <f>IFERROR(Table1_1[[#This Row],[Profit/Loss]]/Table1_1[[#This Row],[Calculated sales]],0)</f>
        <v>0.24398625429553264</v>
      </c>
    </row>
    <row r="1352" spans="1:22" x14ac:dyDescent="0.25">
      <c r="A1352" s="4" t="s">
        <v>1501</v>
      </c>
      <c r="B1352" s="5">
        <v>45960</v>
      </c>
      <c r="C1352" s="4">
        <f>YEAR(Table1_1[[#This Row],[Order Dates]])</f>
        <v>2025</v>
      </c>
      <c r="D1352" s="6">
        <f>MONTH(Table1_1[[#This Row],[Order Dates]])</f>
        <v>10</v>
      </c>
      <c r="E1352" s="4" t="s">
        <v>76</v>
      </c>
      <c r="F1352" s="4" t="s">
        <v>112</v>
      </c>
      <c r="G1352" s="4" t="s">
        <v>170</v>
      </c>
      <c r="H1352" s="4" t="str">
        <f>TRIM(CLEAN(SUBSTITUTE(Table1_1[[#This Row],[Salesperson]],"   "," ")))</f>
        <v>Manish Tiwari</v>
      </c>
      <c r="I1352" s="4" t="s">
        <v>45</v>
      </c>
      <c r="J1352" s="4" t="s">
        <v>20</v>
      </c>
      <c r="K1352" s="4" t="s">
        <v>109</v>
      </c>
      <c r="L1352" s="4" t="s">
        <v>159</v>
      </c>
      <c r="M1352" s="4" t="s">
        <v>40</v>
      </c>
      <c r="N1352" s="4" t="s">
        <v>24</v>
      </c>
      <c r="O1352" s="4">
        <v>12</v>
      </c>
      <c r="P1352" s="7">
        <v>18140</v>
      </c>
      <c r="Q1352" s="8">
        <v>0.05</v>
      </c>
      <c r="R1352" s="7">
        <v>13830</v>
      </c>
      <c r="S1352" s="7">
        <f>Table1_1[[#This Row],[Units Sold]]*Table1_1[[#This Row],[Unit Price]]*(1-Table1_1[[#This Row],[Discount %]])</f>
        <v>206796</v>
      </c>
      <c r="T1352" s="7">
        <f>Table1_1[[#This Row],[Units Sold]]*Table1_1[[#This Row],[Unit Cost]]</f>
        <v>165960</v>
      </c>
      <c r="U1352" s="7">
        <f>Table1_1[[#This Row],[Calculated sales]]-Table1_1[[#This Row],[Total cost]]</f>
        <v>40836</v>
      </c>
      <c r="V1352" s="4">
        <f>IFERROR(Table1_1[[#This Row],[Profit/Loss]]/Table1_1[[#This Row],[Calculated sales]],0)</f>
        <v>0.19746997040561712</v>
      </c>
    </row>
    <row r="1353" spans="1:22" x14ac:dyDescent="0.25">
      <c r="A1353" s="4" t="s">
        <v>1502</v>
      </c>
      <c r="B1353" s="5">
        <v>45960</v>
      </c>
      <c r="C1353" s="4">
        <f>YEAR(Table1_1[[#This Row],[Order Dates]])</f>
        <v>2025</v>
      </c>
      <c r="D1353" s="6">
        <f>MONTH(Table1_1[[#This Row],[Order Dates]])</f>
        <v>10</v>
      </c>
      <c r="E1353" s="4" t="s">
        <v>76</v>
      </c>
      <c r="F1353" s="4" t="s">
        <v>150</v>
      </c>
      <c r="G1353" s="4" t="s">
        <v>78</v>
      </c>
      <c r="H1353" s="4" t="str">
        <f>TRIM(CLEAN(SUBSTITUTE(Table1_1[[#This Row],[Salesperson]],"   "," ")))</f>
        <v>Pooja Chouhan</v>
      </c>
      <c r="I1353" s="4" t="s">
        <v>45</v>
      </c>
      <c r="J1353" s="4" t="s">
        <v>27</v>
      </c>
      <c r="K1353" s="4" t="s">
        <v>79</v>
      </c>
      <c r="L1353" s="4" t="s">
        <v>262</v>
      </c>
      <c r="M1353" s="4" t="s">
        <v>49</v>
      </c>
      <c r="N1353" s="4" t="s">
        <v>24</v>
      </c>
      <c r="O1353" s="4">
        <v>38</v>
      </c>
      <c r="P1353" s="7">
        <v>2580</v>
      </c>
      <c r="Q1353" s="8">
        <v>0.2</v>
      </c>
      <c r="R1353" s="7">
        <v>1880</v>
      </c>
      <c r="S1353" s="7">
        <f>Table1_1[[#This Row],[Units Sold]]*Table1_1[[#This Row],[Unit Price]]*(1-Table1_1[[#This Row],[Discount %]])</f>
        <v>78432</v>
      </c>
      <c r="T1353" s="7">
        <f>Table1_1[[#This Row],[Units Sold]]*Table1_1[[#This Row],[Unit Cost]]</f>
        <v>71440</v>
      </c>
      <c r="U1353" s="7">
        <f>Table1_1[[#This Row],[Calculated sales]]-Table1_1[[#This Row],[Total cost]]</f>
        <v>6992</v>
      </c>
      <c r="V1353" s="4">
        <f>IFERROR(Table1_1[[#This Row],[Profit/Loss]]/Table1_1[[#This Row],[Calculated sales]],0)</f>
        <v>8.9147286821705432E-2</v>
      </c>
    </row>
    <row r="1354" spans="1:22" x14ac:dyDescent="0.25">
      <c r="A1354" s="4" t="s">
        <v>1503</v>
      </c>
      <c r="B1354" s="5">
        <v>45960</v>
      </c>
      <c r="C1354" s="4">
        <f>YEAR(Table1_1[[#This Row],[Order Dates]])</f>
        <v>2025</v>
      </c>
      <c r="D1354" s="6">
        <f>MONTH(Table1_1[[#This Row],[Order Dates]])</f>
        <v>10</v>
      </c>
      <c r="E1354" s="4" t="s">
        <v>56</v>
      </c>
      <c r="F1354" s="4" t="s">
        <v>57</v>
      </c>
      <c r="G1354" s="4" t="s">
        <v>134</v>
      </c>
      <c r="H1354" s="4" t="str">
        <f>TRIM(CLEAN(SUBSTITUTE(Table1_1[[#This Row],[Salesperson]],"   "," ")))</f>
        <v>Divya Nair</v>
      </c>
      <c r="I1354" s="4" t="s">
        <v>52</v>
      </c>
      <c r="J1354" s="4" t="s">
        <v>27</v>
      </c>
      <c r="K1354" s="4" t="s">
        <v>28</v>
      </c>
      <c r="L1354" s="4" t="s">
        <v>1668</v>
      </c>
      <c r="M1354" s="4" t="s">
        <v>23</v>
      </c>
      <c r="N1354" s="4" t="s">
        <v>24</v>
      </c>
      <c r="O1354" s="4">
        <v>8</v>
      </c>
      <c r="P1354" s="7">
        <v>27270</v>
      </c>
      <c r="Q1354" s="8">
        <v>0.18</v>
      </c>
      <c r="R1354" s="7">
        <v>17190</v>
      </c>
      <c r="S1354" s="7">
        <f>Table1_1[[#This Row],[Units Sold]]*Table1_1[[#This Row],[Unit Price]]*(1-Table1_1[[#This Row],[Discount %]])</f>
        <v>178891.2</v>
      </c>
      <c r="T1354" s="7">
        <f>Table1_1[[#This Row],[Units Sold]]*Table1_1[[#This Row],[Unit Cost]]</f>
        <v>137520</v>
      </c>
      <c r="U1354" s="7">
        <f>Table1_1[[#This Row],[Calculated sales]]-Table1_1[[#This Row],[Total cost]]</f>
        <v>41371.200000000012</v>
      </c>
      <c r="V1354" s="4">
        <f>IFERROR(Table1_1[[#This Row],[Profit/Loss]]/Table1_1[[#This Row],[Calculated sales]],0)</f>
        <v>0.23126458987362156</v>
      </c>
    </row>
    <row r="1355" spans="1:22" x14ac:dyDescent="0.25">
      <c r="A1355" s="4" t="s">
        <v>1504</v>
      </c>
      <c r="B1355" s="5">
        <v>45961</v>
      </c>
      <c r="C1355" s="4">
        <f>YEAR(Table1_1[[#This Row],[Order Dates]])</f>
        <v>2025</v>
      </c>
      <c r="D1355" s="6">
        <f>MONTH(Table1_1[[#This Row],[Order Dates]])</f>
        <v>10</v>
      </c>
      <c r="E1355" s="4" t="s">
        <v>42</v>
      </c>
      <c r="F1355" s="4" t="s">
        <v>123</v>
      </c>
      <c r="G1355" s="4" t="s">
        <v>97</v>
      </c>
      <c r="H1355" s="4" t="str">
        <f>TRIM(CLEAN(SUBSTITUTE(Table1_1[[#This Row],[Salesperson]],"   "," ")))</f>
        <v>Rohit Malhotra</v>
      </c>
      <c r="I1355" s="4" t="s">
        <v>45</v>
      </c>
      <c r="J1355" s="4" t="s">
        <v>27</v>
      </c>
      <c r="K1355" s="4" t="s">
        <v>79</v>
      </c>
      <c r="L1355" s="4" t="s">
        <v>80</v>
      </c>
      <c r="M1355" s="4" t="s">
        <v>49</v>
      </c>
      <c r="N1355" s="4" t="s">
        <v>24</v>
      </c>
      <c r="O1355" s="4">
        <v>19</v>
      </c>
      <c r="P1355" s="7">
        <v>4810</v>
      </c>
      <c r="Q1355" s="8">
        <v>0.08</v>
      </c>
      <c r="R1355" s="7">
        <v>3560</v>
      </c>
      <c r="S1355" s="7">
        <f>Table1_1[[#This Row],[Units Sold]]*Table1_1[[#This Row],[Unit Price]]*(1-Table1_1[[#This Row],[Discount %]])</f>
        <v>84078.8</v>
      </c>
      <c r="T1355" s="7">
        <f>Table1_1[[#This Row],[Units Sold]]*Table1_1[[#This Row],[Unit Cost]]</f>
        <v>67640</v>
      </c>
      <c r="U1355" s="7">
        <f>Table1_1[[#This Row],[Calculated sales]]-Table1_1[[#This Row],[Total cost]]</f>
        <v>16438.800000000003</v>
      </c>
      <c r="V1355" s="4">
        <f>IFERROR(Table1_1[[#This Row],[Profit/Loss]]/Table1_1[[#This Row],[Calculated sales]],0)</f>
        <v>0.19551658682093467</v>
      </c>
    </row>
    <row r="1356" spans="1:22" x14ac:dyDescent="0.25">
      <c r="A1356" s="4" t="s">
        <v>1505</v>
      </c>
      <c r="B1356" s="5">
        <v>45961</v>
      </c>
      <c r="C1356" s="4">
        <f>YEAR(Table1_1[[#This Row],[Order Dates]])</f>
        <v>2025</v>
      </c>
      <c r="D1356" s="6">
        <f>MONTH(Table1_1[[#This Row],[Order Dates]])</f>
        <v>10</v>
      </c>
      <c r="E1356" s="4" t="s">
        <v>16</v>
      </c>
      <c r="F1356" s="4" t="s">
        <v>191</v>
      </c>
      <c r="G1356" s="4" t="s">
        <v>26</v>
      </c>
      <c r="H1356" s="4" t="str">
        <f>TRIM(CLEAN(SUBSTITUTE(Table1_1[[#This Row],[Salesperson]],"   "," ")))</f>
        <v>Prateek Shah</v>
      </c>
      <c r="I1356" s="4" t="s">
        <v>19</v>
      </c>
      <c r="J1356" s="4" t="s">
        <v>20</v>
      </c>
      <c r="K1356" s="4" t="s">
        <v>109</v>
      </c>
      <c r="L1356" s="4" t="s">
        <v>171</v>
      </c>
      <c r="M1356" s="4" t="s">
        <v>23</v>
      </c>
      <c r="N1356" s="4" t="s">
        <v>24</v>
      </c>
      <c r="O1356" s="4">
        <v>6</v>
      </c>
      <c r="P1356" s="7">
        <v>22850</v>
      </c>
      <c r="Q1356" s="8">
        <v>0.15</v>
      </c>
      <c r="R1356" s="7">
        <v>15940</v>
      </c>
      <c r="S1356" s="7">
        <f>Table1_1[[#This Row],[Units Sold]]*Table1_1[[#This Row],[Unit Price]]*(1-Table1_1[[#This Row],[Discount %]])</f>
        <v>116535</v>
      </c>
      <c r="T1356" s="7">
        <f>Table1_1[[#This Row],[Units Sold]]*Table1_1[[#This Row],[Unit Cost]]</f>
        <v>95640</v>
      </c>
      <c r="U1356" s="7">
        <f>Table1_1[[#This Row],[Calculated sales]]-Table1_1[[#This Row],[Total cost]]</f>
        <v>20895</v>
      </c>
      <c r="V1356" s="4">
        <f>IFERROR(Table1_1[[#This Row],[Profit/Loss]]/Table1_1[[#This Row],[Calculated sales]],0)</f>
        <v>0.17930235551551035</v>
      </c>
    </row>
    <row r="1357" spans="1:22" x14ac:dyDescent="0.25">
      <c r="A1357" s="4" t="s">
        <v>1506</v>
      </c>
      <c r="B1357" s="5">
        <v>45961</v>
      </c>
      <c r="C1357" s="4">
        <f>YEAR(Table1_1[[#This Row],[Order Dates]])</f>
        <v>2025</v>
      </c>
      <c r="D1357" s="6">
        <f>MONTH(Table1_1[[#This Row],[Order Dates]])</f>
        <v>10</v>
      </c>
      <c r="E1357" s="4" t="s">
        <v>76</v>
      </c>
      <c r="F1357" s="4" t="s">
        <v>217</v>
      </c>
      <c r="G1357" s="4" t="s">
        <v>170</v>
      </c>
      <c r="H1357" s="4" t="str">
        <f>TRIM(CLEAN(SUBSTITUTE(Table1_1[[#This Row],[Salesperson]],"   "," ")))</f>
        <v>Manish Tiwari</v>
      </c>
      <c r="I1357" s="4" t="s">
        <v>52</v>
      </c>
      <c r="J1357" s="4" t="s">
        <v>83</v>
      </c>
      <c r="K1357" s="4" t="s">
        <v>184</v>
      </c>
      <c r="L1357" s="4" t="s">
        <v>196</v>
      </c>
      <c r="M1357" s="4" t="s">
        <v>49</v>
      </c>
      <c r="N1357" s="4" t="s">
        <v>94</v>
      </c>
      <c r="O1357" s="4">
        <v>10</v>
      </c>
      <c r="P1357" s="7">
        <v>3380</v>
      </c>
      <c r="Q1357" s="8">
        <v>0.15</v>
      </c>
      <c r="R1357" s="7">
        <v>1980</v>
      </c>
      <c r="S1357" s="7">
        <f>Table1_1[[#This Row],[Units Sold]]*Table1_1[[#This Row],[Unit Price]]*(1-Table1_1[[#This Row],[Discount %]])</f>
        <v>28730</v>
      </c>
      <c r="T1357" s="7">
        <f>Table1_1[[#This Row],[Units Sold]]*Table1_1[[#This Row],[Unit Cost]]</f>
        <v>19800</v>
      </c>
      <c r="U1357" s="7">
        <f>Table1_1[[#This Row],[Calculated sales]]-Table1_1[[#This Row],[Total cost]]</f>
        <v>8930</v>
      </c>
      <c r="V1357" s="4">
        <f>IFERROR(Table1_1[[#This Row],[Profit/Loss]]/Table1_1[[#This Row],[Calculated sales]],0)</f>
        <v>0.3108249216846502</v>
      </c>
    </row>
    <row r="1358" spans="1:22" x14ac:dyDescent="0.25">
      <c r="A1358" s="4" t="s">
        <v>1507</v>
      </c>
      <c r="B1358" s="5">
        <v>45961</v>
      </c>
      <c r="C1358" s="4">
        <f>YEAR(Table1_1[[#This Row],[Order Dates]])</f>
        <v>2025</v>
      </c>
      <c r="D1358" s="6">
        <f>MONTH(Table1_1[[#This Row],[Order Dates]])</f>
        <v>10</v>
      </c>
      <c r="E1358" s="4" t="s">
        <v>56</v>
      </c>
      <c r="F1358" s="4" t="s">
        <v>103</v>
      </c>
      <c r="G1358" s="4" t="s">
        <v>58</v>
      </c>
      <c r="H1358" s="4" t="str">
        <f>TRIM(CLEAN(SUBSTITUTE(Table1_1[[#This Row],[Salesperson]],"   "," ")))</f>
        <v>Karthik Raman</v>
      </c>
      <c r="I1358" s="4" t="s">
        <v>45</v>
      </c>
      <c r="J1358" s="4" t="s">
        <v>46</v>
      </c>
      <c r="K1358" s="4" t="s">
        <v>179</v>
      </c>
      <c r="L1358" s="4" t="s">
        <v>236</v>
      </c>
      <c r="M1358" s="4" t="s">
        <v>23</v>
      </c>
      <c r="N1358" s="4" t="s">
        <v>119</v>
      </c>
      <c r="O1358" s="4">
        <v>29</v>
      </c>
      <c r="P1358" s="7">
        <v>2320</v>
      </c>
      <c r="Q1358" s="8">
        <v>0.1</v>
      </c>
      <c r="R1358" s="7">
        <v>1480</v>
      </c>
      <c r="S1358" s="7">
        <f>Table1_1[[#This Row],[Units Sold]]*Table1_1[[#This Row],[Unit Price]]*(1-Table1_1[[#This Row],[Discount %]])</f>
        <v>60552</v>
      </c>
      <c r="T1358" s="7">
        <f>Table1_1[[#This Row],[Units Sold]]*Table1_1[[#This Row],[Unit Cost]]</f>
        <v>42920</v>
      </c>
      <c r="U1358" s="7">
        <f>Table1_1[[#This Row],[Calculated sales]]-Table1_1[[#This Row],[Total cost]]</f>
        <v>17632</v>
      </c>
      <c r="V1358" s="4">
        <f>IFERROR(Table1_1[[#This Row],[Profit/Loss]]/Table1_1[[#This Row],[Calculated sales]],0)</f>
        <v>0.29118773946360155</v>
      </c>
    </row>
    <row r="1359" spans="1:22" x14ac:dyDescent="0.25">
      <c r="A1359" s="4" t="s">
        <v>1508</v>
      </c>
      <c r="B1359" s="5">
        <v>45961</v>
      </c>
      <c r="C1359" s="4">
        <f>YEAR(Table1_1[[#This Row],[Order Dates]])</f>
        <v>2025</v>
      </c>
      <c r="D1359" s="6">
        <f>MONTH(Table1_1[[#This Row],[Order Dates]])</f>
        <v>10</v>
      </c>
      <c r="E1359" s="4" t="s">
        <v>56</v>
      </c>
      <c r="F1359" s="4" t="s">
        <v>133</v>
      </c>
      <c r="G1359" s="4" t="s">
        <v>91</v>
      </c>
      <c r="H1359" s="4" t="str">
        <f>TRIM(CLEAN(SUBSTITUTE(Table1_1[[#This Row],[Salesperson]],"   "," ")))</f>
        <v>Anjali Menon</v>
      </c>
      <c r="I1359" s="4" t="s">
        <v>19</v>
      </c>
      <c r="J1359" s="4" t="s">
        <v>20</v>
      </c>
      <c r="K1359" s="4" t="s">
        <v>33</v>
      </c>
      <c r="L1359" s="4" t="s">
        <v>1677</v>
      </c>
      <c r="M1359" s="4" t="s">
        <v>23</v>
      </c>
      <c r="N1359" s="4" t="s">
        <v>24</v>
      </c>
      <c r="O1359" s="4">
        <v>4</v>
      </c>
      <c r="P1359" s="7">
        <v>63320</v>
      </c>
      <c r="Q1359" s="8">
        <v>0.1</v>
      </c>
      <c r="R1359" s="7">
        <v>39610</v>
      </c>
      <c r="S1359" s="7">
        <f>Table1_1[[#This Row],[Units Sold]]*Table1_1[[#This Row],[Unit Price]]*(1-Table1_1[[#This Row],[Discount %]])</f>
        <v>227952</v>
      </c>
      <c r="T1359" s="7">
        <f>Table1_1[[#This Row],[Units Sold]]*Table1_1[[#This Row],[Unit Cost]]</f>
        <v>158440</v>
      </c>
      <c r="U1359" s="7">
        <f>Table1_1[[#This Row],[Calculated sales]]-Table1_1[[#This Row],[Total cost]]</f>
        <v>69512</v>
      </c>
      <c r="V1359" s="4">
        <f>IFERROR(Table1_1[[#This Row],[Profit/Loss]]/Table1_1[[#This Row],[Calculated sales]],0)</f>
        <v>0.30494139117007091</v>
      </c>
    </row>
    <row r="1360" spans="1:22" x14ac:dyDescent="0.25">
      <c r="A1360" s="4" t="s">
        <v>1509</v>
      </c>
      <c r="B1360" s="5">
        <v>45961</v>
      </c>
      <c r="C1360" s="4">
        <f>YEAR(Table1_1[[#This Row],[Order Dates]])</f>
        <v>2025</v>
      </c>
      <c r="D1360" s="6">
        <f>MONTH(Table1_1[[#This Row],[Order Dates]])</f>
        <v>10</v>
      </c>
      <c r="E1360" s="4" t="s">
        <v>42</v>
      </c>
      <c r="F1360" s="4" t="s">
        <v>123</v>
      </c>
      <c r="G1360" s="4" t="s">
        <v>97</v>
      </c>
      <c r="H1360" s="4" t="str">
        <f>TRIM(CLEAN(SUBSTITUTE(Table1_1[[#This Row],[Salesperson]],"   "," ")))</f>
        <v>Rohit Malhotra</v>
      </c>
      <c r="I1360" s="4" t="s">
        <v>19</v>
      </c>
      <c r="J1360" s="4" t="s">
        <v>59</v>
      </c>
      <c r="K1360" s="4" t="s">
        <v>154</v>
      </c>
      <c r="L1360" s="4" t="s">
        <v>155</v>
      </c>
      <c r="M1360" s="4" t="s">
        <v>49</v>
      </c>
      <c r="N1360" s="4" t="s">
        <v>24</v>
      </c>
      <c r="O1360" s="4">
        <v>4</v>
      </c>
      <c r="P1360" s="7">
        <v>11420</v>
      </c>
      <c r="Q1360" s="8">
        <v>0.12</v>
      </c>
      <c r="R1360" s="7">
        <v>7980</v>
      </c>
      <c r="S1360" s="7">
        <f>Table1_1[[#This Row],[Units Sold]]*Table1_1[[#This Row],[Unit Price]]*(1-Table1_1[[#This Row],[Discount %]])</f>
        <v>40198.400000000001</v>
      </c>
      <c r="T1360" s="7">
        <f>Table1_1[[#This Row],[Units Sold]]*Table1_1[[#This Row],[Unit Cost]]</f>
        <v>31920</v>
      </c>
      <c r="U1360" s="7">
        <f>Table1_1[[#This Row],[Calculated sales]]-Table1_1[[#This Row],[Total cost]]</f>
        <v>8278.4000000000015</v>
      </c>
      <c r="V1360" s="4">
        <f>IFERROR(Table1_1[[#This Row],[Profit/Loss]]/Table1_1[[#This Row],[Calculated sales]],0)</f>
        <v>0.20593854481770421</v>
      </c>
    </row>
    <row r="1361" spans="1:22" x14ac:dyDescent="0.25">
      <c r="A1361" s="4" t="s">
        <v>1510</v>
      </c>
      <c r="B1361" s="5">
        <v>45961</v>
      </c>
      <c r="C1361" s="4">
        <f>YEAR(Table1_1[[#This Row],[Order Dates]])</f>
        <v>2025</v>
      </c>
      <c r="D1361" s="6">
        <f>MONTH(Table1_1[[#This Row],[Order Dates]])</f>
        <v>10</v>
      </c>
      <c r="E1361" s="4" t="s">
        <v>76</v>
      </c>
      <c r="F1361" s="4" t="s">
        <v>77</v>
      </c>
      <c r="G1361" s="4" t="s">
        <v>170</v>
      </c>
      <c r="H1361" s="4" t="str">
        <f>TRIM(CLEAN(SUBSTITUTE(Table1_1[[#This Row],[Salesperson]],"   "," ")))</f>
        <v>Manish Tiwari</v>
      </c>
      <c r="I1361" s="4" t="s">
        <v>19</v>
      </c>
      <c r="J1361" s="4" t="s">
        <v>83</v>
      </c>
      <c r="K1361" s="4" t="s">
        <v>184</v>
      </c>
      <c r="L1361" s="4" t="s">
        <v>1679</v>
      </c>
      <c r="M1361" s="4" t="s">
        <v>23</v>
      </c>
      <c r="N1361" s="4" t="s">
        <v>119</v>
      </c>
      <c r="O1361" s="4">
        <v>8</v>
      </c>
      <c r="P1361" s="7">
        <v>4380</v>
      </c>
      <c r="Q1361" s="8">
        <v>0</v>
      </c>
      <c r="R1361" s="7">
        <v>3410</v>
      </c>
      <c r="S1361" s="7">
        <f>Table1_1[[#This Row],[Units Sold]]*Table1_1[[#This Row],[Unit Price]]*(1-Table1_1[[#This Row],[Discount %]])</f>
        <v>35040</v>
      </c>
      <c r="T1361" s="7">
        <f>Table1_1[[#This Row],[Units Sold]]*Table1_1[[#This Row],[Unit Cost]]</f>
        <v>27280</v>
      </c>
      <c r="U1361" s="7">
        <f>Table1_1[[#This Row],[Calculated sales]]-Table1_1[[#This Row],[Total cost]]</f>
        <v>7760</v>
      </c>
      <c r="V1361" s="4">
        <f>IFERROR(Table1_1[[#This Row],[Profit/Loss]]/Table1_1[[#This Row],[Calculated sales]],0)</f>
        <v>0.22146118721461186</v>
      </c>
    </row>
    <row r="1362" spans="1:22" x14ac:dyDescent="0.25">
      <c r="A1362" s="4" t="s">
        <v>1511</v>
      </c>
      <c r="B1362" s="5">
        <v>45962</v>
      </c>
      <c r="C1362" s="4">
        <f>YEAR(Table1_1[[#This Row],[Order Dates]])</f>
        <v>2025</v>
      </c>
      <c r="D1362" s="6">
        <f>MONTH(Table1_1[[#This Row],[Order Dates]])</f>
        <v>11</v>
      </c>
      <c r="E1362" s="4" t="s">
        <v>56</v>
      </c>
      <c r="F1362" s="4" t="s">
        <v>127</v>
      </c>
      <c r="G1362" s="4" t="s">
        <v>134</v>
      </c>
      <c r="H1362" s="4" t="str">
        <f>TRIM(CLEAN(SUBSTITUTE(Table1_1[[#This Row],[Salesperson]],"   "," ")))</f>
        <v>Divya Nair</v>
      </c>
      <c r="I1362" s="4" t="s">
        <v>52</v>
      </c>
      <c r="J1362" s="4" t="s">
        <v>20</v>
      </c>
      <c r="K1362" s="4" t="s">
        <v>21</v>
      </c>
      <c r="L1362" s="4" t="s">
        <v>1667</v>
      </c>
      <c r="M1362" s="4" t="s">
        <v>23</v>
      </c>
      <c r="N1362" s="4" t="s">
        <v>24</v>
      </c>
      <c r="O1362" s="4">
        <v>30</v>
      </c>
      <c r="P1362" s="7">
        <v>1790</v>
      </c>
      <c r="Q1362" s="8">
        <v>0</v>
      </c>
      <c r="R1362" s="7">
        <v>1050</v>
      </c>
      <c r="S1362" s="7">
        <f>Table1_1[[#This Row],[Units Sold]]*Table1_1[[#This Row],[Unit Price]]*(1-Table1_1[[#This Row],[Discount %]])</f>
        <v>53700</v>
      </c>
      <c r="T1362" s="7">
        <f>Table1_1[[#This Row],[Units Sold]]*Table1_1[[#This Row],[Unit Cost]]</f>
        <v>31500</v>
      </c>
      <c r="U1362" s="7">
        <f>Table1_1[[#This Row],[Calculated sales]]-Table1_1[[#This Row],[Total cost]]</f>
        <v>22200</v>
      </c>
      <c r="V1362" s="4">
        <f>IFERROR(Table1_1[[#This Row],[Profit/Loss]]/Table1_1[[#This Row],[Calculated sales]],0)</f>
        <v>0.41340782122905029</v>
      </c>
    </row>
    <row r="1363" spans="1:22" x14ac:dyDescent="0.25">
      <c r="A1363" s="4" t="s">
        <v>1512</v>
      </c>
      <c r="B1363" s="5">
        <v>45962</v>
      </c>
      <c r="C1363" s="4">
        <f>YEAR(Table1_1[[#This Row],[Order Dates]])</f>
        <v>2025</v>
      </c>
      <c r="D1363" s="6">
        <f>MONTH(Table1_1[[#This Row],[Order Dates]])</f>
        <v>11</v>
      </c>
      <c r="E1363" s="4" t="s">
        <v>42</v>
      </c>
      <c r="F1363" s="4" t="s">
        <v>265</v>
      </c>
      <c r="G1363" s="4" t="s">
        <v>97</v>
      </c>
      <c r="H1363" s="4" t="str">
        <f>TRIM(CLEAN(SUBSTITUTE(Table1_1[[#This Row],[Salesperson]],"   "," ")))</f>
        <v>Rohit Malhotra</v>
      </c>
      <c r="I1363" s="4" t="s">
        <v>45</v>
      </c>
      <c r="J1363" s="4" t="s">
        <v>20</v>
      </c>
      <c r="K1363" s="4" t="s">
        <v>21</v>
      </c>
      <c r="L1363" s="4" t="s">
        <v>1670</v>
      </c>
      <c r="M1363" s="4" t="s">
        <v>40</v>
      </c>
      <c r="N1363" s="4" t="s">
        <v>24</v>
      </c>
      <c r="O1363" s="4">
        <v>17</v>
      </c>
      <c r="P1363" s="7">
        <v>8880</v>
      </c>
      <c r="Q1363" s="8">
        <v>0.15</v>
      </c>
      <c r="R1363" s="7">
        <v>5970</v>
      </c>
      <c r="S1363" s="7">
        <f>Table1_1[[#This Row],[Units Sold]]*Table1_1[[#This Row],[Unit Price]]*(1-Table1_1[[#This Row],[Discount %]])</f>
        <v>128316</v>
      </c>
      <c r="T1363" s="7">
        <f>Table1_1[[#This Row],[Units Sold]]*Table1_1[[#This Row],[Unit Cost]]</f>
        <v>101490</v>
      </c>
      <c r="U1363" s="7">
        <f>Table1_1[[#This Row],[Calculated sales]]-Table1_1[[#This Row],[Total cost]]</f>
        <v>26826</v>
      </c>
      <c r="V1363" s="4">
        <f>IFERROR(Table1_1[[#This Row],[Profit/Loss]]/Table1_1[[#This Row],[Calculated sales]],0)</f>
        <v>0.20906200317965024</v>
      </c>
    </row>
    <row r="1364" spans="1:22" x14ac:dyDescent="0.25">
      <c r="A1364" s="4" t="s">
        <v>1513</v>
      </c>
      <c r="B1364" s="5">
        <v>45963</v>
      </c>
      <c r="C1364" s="4">
        <f>YEAR(Table1_1[[#This Row],[Order Dates]])</f>
        <v>2025</v>
      </c>
      <c r="D1364" s="6">
        <f>MONTH(Table1_1[[#This Row],[Order Dates]])</f>
        <v>11</v>
      </c>
      <c r="E1364" s="4" t="s">
        <v>76</v>
      </c>
      <c r="F1364" s="4" t="s">
        <v>150</v>
      </c>
      <c r="G1364" s="4" t="s">
        <v>170</v>
      </c>
      <c r="H1364" s="4" t="str">
        <f>TRIM(CLEAN(SUBSTITUTE(Table1_1[[#This Row],[Salesperson]],"   "," ")))</f>
        <v>Manish Tiwari</v>
      </c>
      <c r="I1364" s="4" t="s">
        <v>52</v>
      </c>
      <c r="J1364" s="4" t="s">
        <v>27</v>
      </c>
      <c r="K1364" s="4" t="s">
        <v>79</v>
      </c>
      <c r="L1364" s="4" t="s">
        <v>80</v>
      </c>
      <c r="M1364" s="4" t="s">
        <v>23</v>
      </c>
      <c r="N1364" s="4" t="s">
        <v>24</v>
      </c>
      <c r="O1364" s="4">
        <v>10</v>
      </c>
      <c r="P1364" s="7">
        <v>4760</v>
      </c>
      <c r="Q1364" s="8">
        <v>0.1</v>
      </c>
      <c r="R1364" s="7">
        <v>3580</v>
      </c>
      <c r="S1364" s="7">
        <f>Table1_1[[#This Row],[Units Sold]]*Table1_1[[#This Row],[Unit Price]]*(1-Table1_1[[#This Row],[Discount %]])</f>
        <v>42840</v>
      </c>
      <c r="T1364" s="7">
        <f>Table1_1[[#This Row],[Units Sold]]*Table1_1[[#This Row],[Unit Cost]]</f>
        <v>35800</v>
      </c>
      <c r="U1364" s="7">
        <f>Table1_1[[#This Row],[Calculated sales]]-Table1_1[[#This Row],[Total cost]]</f>
        <v>7040</v>
      </c>
      <c r="V1364" s="4">
        <f>IFERROR(Table1_1[[#This Row],[Profit/Loss]]/Table1_1[[#This Row],[Calculated sales]],0)</f>
        <v>0.16433239962651727</v>
      </c>
    </row>
    <row r="1365" spans="1:22" x14ac:dyDescent="0.25">
      <c r="A1365" s="4" t="s">
        <v>1514</v>
      </c>
      <c r="B1365" s="5">
        <v>45964</v>
      </c>
      <c r="C1365" s="4">
        <f>YEAR(Table1_1[[#This Row],[Order Dates]])</f>
        <v>2025</v>
      </c>
      <c r="D1365" s="6">
        <f>MONTH(Table1_1[[#This Row],[Order Dates]])</f>
        <v>11</v>
      </c>
      <c r="E1365" s="4" t="s">
        <v>76</v>
      </c>
      <c r="F1365" s="4" t="s">
        <v>77</v>
      </c>
      <c r="G1365" s="4" t="s">
        <v>78</v>
      </c>
      <c r="H1365" s="4" t="str">
        <f>TRIM(CLEAN(SUBSTITUTE(Table1_1[[#This Row],[Salesperson]],"   "," ")))</f>
        <v>Pooja Chouhan</v>
      </c>
      <c r="I1365" s="4" t="s">
        <v>52</v>
      </c>
      <c r="J1365" s="4" t="s">
        <v>59</v>
      </c>
      <c r="K1365" s="4" t="s">
        <v>154</v>
      </c>
      <c r="L1365" s="4" t="s">
        <v>155</v>
      </c>
      <c r="M1365" s="4" t="s">
        <v>49</v>
      </c>
      <c r="N1365" s="4" t="s">
        <v>24</v>
      </c>
      <c r="O1365" s="4">
        <v>1</v>
      </c>
      <c r="P1365" s="7">
        <v>11580</v>
      </c>
      <c r="Q1365" s="8">
        <v>0.12</v>
      </c>
      <c r="R1365" s="7">
        <v>6600</v>
      </c>
      <c r="S1365" s="7">
        <f>Table1_1[[#This Row],[Units Sold]]*Table1_1[[#This Row],[Unit Price]]*(1-Table1_1[[#This Row],[Discount %]])</f>
        <v>10190.4</v>
      </c>
      <c r="T1365" s="7">
        <f>Table1_1[[#This Row],[Units Sold]]*Table1_1[[#This Row],[Unit Cost]]</f>
        <v>6600</v>
      </c>
      <c r="U1365" s="7">
        <f>Table1_1[[#This Row],[Calculated sales]]-Table1_1[[#This Row],[Total cost]]</f>
        <v>3590.3999999999996</v>
      </c>
      <c r="V1365" s="4">
        <f>IFERROR(Table1_1[[#This Row],[Profit/Loss]]/Table1_1[[#This Row],[Calculated sales]],0)</f>
        <v>0.35233160621761656</v>
      </c>
    </row>
    <row r="1366" spans="1:22" x14ac:dyDescent="0.25">
      <c r="A1366" s="4" t="s">
        <v>1515</v>
      </c>
      <c r="B1366" s="5">
        <v>45964</v>
      </c>
      <c r="C1366" s="4">
        <f>YEAR(Table1_1[[#This Row],[Order Dates]])</f>
        <v>2025</v>
      </c>
      <c r="D1366" s="6">
        <f>MONTH(Table1_1[[#This Row],[Order Dates]])</f>
        <v>11</v>
      </c>
      <c r="E1366" s="4" t="s">
        <v>42</v>
      </c>
      <c r="F1366" s="4" t="s">
        <v>43</v>
      </c>
      <c r="G1366" s="4" t="s">
        <v>44</v>
      </c>
      <c r="H1366" s="4" t="str">
        <f>TRIM(CLEAN(SUBSTITUTE(Table1_1[[#This Row],[Salesperson]],"   "," ")))</f>
        <v>Simran Kaur</v>
      </c>
      <c r="I1366" s="4" t="s">
        <v>19</v>
      </c>
      <c r="J1366" s="4" t="s">
        <v>27</v>
      </c>
      <c r="K1366" s="4" t="s">
        <v>28</v>
      </c>
      <c r="L1366" s="4" t="s">
        <v>1668</v>
      </c>
      <c r="M1366" s="4" t="s">
        <v>40</v>
      </c>
      <c r="N1366" s="4" t="s">
        <v>24</v>
      </c>
      <c r="O1366" s="4">
        <v>8</v>
      </c>
      <c r="P1366" s="7">
        <v>27250</v>
      </c>
      <c r="Q1366" s="8">
        <v>0.05</v>
      </c>
      <c r="R1366" s="7">
        <v>19400</v>
      </c>
      <c r="S1366" s="7">
        <f>Table1_1[[#This Row],[Units Sold]]*Table1_1[[#This Row],[Unit Price]]*(1-Table1_1[[#This Row],[Discount %]])</f>
        <v>207100</v>
      </c>
      <c r="T1366" s="7">
        <f>Table1_1[[#This Row],[Units Sold]]*Table1_1[[#This Row],[Unit Cost]]</f>
        <v>155200</v>
      </c>
      <c r="U1366" s="7">
        <f>Table1_1[[#This Row],[Calculated sales]]-Table1_1[[#This Row],[Total cost]]</f>
        <v>51900</v>
      </c>
      <c r="V1366" s="4">
        <f>IFERROR(Table1_1[[#This Row],[Profit/Loss]]/Table1_1[[#This Row],[Calculated sales]],0)</f>
        <v>0.25060357315306614</v>
      </c>
    </row>
    <row r="1367" spans="1:22" x14ac:dyDescent="0.25">
      <c r="A1367" s="4" t="s">
        <v>1516</v>
      </c>
      <c r="B1367" s="5">
        <v>45965</v>
      </c>
      <c r="C1367" s="4">
        <f>YEAR(Table1_1[[#This Row],[Order Dates]])</f>
        <v>2025</v>
      </c>
      <c r="D1367" s="6">
        <f>MONTH(Table1_1[[#This Row],[Order Dates]])</f>
        <v>11</v>
      </c>
      <c r="E1367" s="4" t="s">
        <v>56</v>
      </c>
      <c r="F1367" s="4" t="s">
        <v>103</v>
      </c>
      <c r="G1367" s="4" t="s">
        <v>91</v>
      </c>
      <c r="H1367" s="4" t="str">
        <f>TRIM(CLEAN(SUBSTITUTE(Table1_1[[#This Row],[Salesperson]],"   "," ")))</f>
        <v>Anjali Menon</v>
      </c>
      <c r="I1367" s="4" t="s">
        <v>92</v>
      </c>
      <c r="J1367" s="4" t="s">
        <v>20</v>
      </c>
      <c r="K1367" s="4" t="s">
        <v>33</v>
      </c>
      <c r="L1367" s="4" t="s">
        <v>1678</v>
      </c>
      <c r="M1367" s="4" t="s">
        <v>40</v>
      </c>
      <c r="N1367" s="4" t="s">
        <v>24</v>
      </c>
      <c r="O1367" s="4">
        <v>6</v>
      </c>
      <c r="P1367" s="7">
        <v>102380</v>
      </c>
      <c r="Q1367" s="8">
        <v>0.2</v>
      </c>
      <c r="R1367" s="7">
        <v>67830</v>
      </c>
      <c r="S1367" s="7">
        <f>Table1_1[[#This Row],[Units Sold]]*Table1_1[[#This Row],[Unit Price]]*(1-Table1_1[[#This Row],[Discount %]])</f>
        <v>491424</v>
      </c>
      <c r="T1367" s="7">
        <f>Table1_1[[#This Row],[Units Sold]]*Table1_1[[#This Row],[Unit Cost]]</f>
        <v>406980</v>
      </c>
      <c r="U1367" s="7">
        <f>Table1_1[[#This Row],[Calculated sales]]-Table1_1[[#This Row],[Total cost]]</f>
        <v>84444</v>
      </c>
      <c r="V1367" s="4">
        <f>IFERROR(Table1_1[[#This Row],[Profit/Loss]]/Table1_1[[#This Row],[Calculated sales]],0)</f>
        <v>0.17183531939831997</v>
      </c>
    </row>
    <row r="1368" spans="1:22" x14ac:dyDescent="0.25">
      <c r="A1368" s="4" t="s">
        <v>1517</v>
      </c>
      <c r="B1368" s="5">
        <v>45965</v>
      </c>
      <c r="C1368" s="4">
        <f>YEAR(Table1_1[[#This Row],[Order Dates]])</f>
        <v>2025</v>
      </c>
      <c r="D1368" s="6">
        <f>MONTH(Table1_1[[#This Row],[Order Dates]])</f>
        <v>11</v>
      </c>
      <c r="E1368" s="4" t="s">
        <v>37</v>
      </c>
      <c r="F1368" s="4" t="s">
        <v>161</v>
      </c>
      <c r="G1368" s="4" t="s">
        <v>68</v>
      </c>
      <c r="H1368" s="4" t="str">
        <f>TRIM(CLEAN(SUBSTITUTE(Table1_1[[#This Row],[Salesperson]],"   "," ")))</f>
        <v>Ritika Ghosh</v>
      </c>
      <c r="I1368" s="4" t="s">
        <v>45</v>
      </c>
      <c r="J1368" s="4" t="s">
        <v>46</v>
      </c>
      <c r="K1368" s="4" t="s">
        <v>179</v>
      </c>
      <c r="L1368" s="4" t="s">
        <v>236</v>
      </c>
      <c r="M1368" s="4" t="s">
        <v>49</v>
      </c>
      <c r="N1368" s="4" t="s">
        <v>24</v>
      </c>
      <c r="O1368" s="4">
        <v>21</v>
      </c>
      <c r="P1368" s="7">
        <v>2320</v>
      </c>
      <c r="Q1368" s="8">
        <v>0.08</v>
      </c>
      <c r="R1368" s="7">
        <v>1530</v>
      </c>
      <c r="S1368" s="7">
        <f>Table1_1[[#This Row],[Units Sold]]*Table1_1[[#This Row],[Unit Price]]*(1-Table1_1[[#This Row],[Discount %]])</f>
        <v>44822.400000000001</v>
      </c>
      <c r="T1368" s="7">
        <f>Table1_1[[#This Row],[Units Sold]]*Table1_1[[#This Row],[Unit Cost]]</f>
        <v>32130</v>
      </c>
      <c r="U1368" s="7">
        <f>Table1_1[[#This Row],[Calculated sales]]-Table1_1[[#This Row],[Total cost]]</f>
        <v>12692.400000000001</v>
      </c>
      <c r="V1368" s="4">
        <f>IFERROR(Table1_1[[#This Row],[Profit/Loss]]/Table1_1[[#This Row],[Calculated sales]],0)</f>
        <v>0.28317091454272864</v>
      </c>
    </row>
    <row r="1369" spans="1:22" x14ac:dyDescent="0.25">
      <c r="A1369" s="4" t="s">
        <v>1518</v>
      </c>
      <c r="B1369" s="5">
        <v>45965</v>
      </c>
      <c r="C1369" s="4">
        <f>YEAR(Table1_1[[#This Row],[Order Dates]])</f>
        <v>2025</v>
      </c>
      <c r="D1369" s="6">
        <f>MONTH(Table1_1[[#This Row],[Order Dates]])</f>
        <v>11</v>
      </c>
      <c r="E1369" s="4" t="s">
        <v>42</v>
      </c>
      <c r="F1369" s="4" t="s">
        <v>43</v>
      </c>
      <c r="G1369" s="4" t="s">
        <v>97</v>
      </c>
      <c r="H1369" s="4" t="str">
        <f>TRIM(CLEAN(SUBSTITUTE(Table1_1[[#This Row],[Salesperson]],"   "," ")))</f>
        <v>Rohit Malhotra</v>
      </c>
      <c r="I1369" s="4" t="s">
        <v>19</v>
      </c>
      <c r="J1369" s="4" t="s">
        <v>27</v>
      </c>
      <c r="K1369" s="4" t="s">
        <v>214</v>
      </c>
      <c r="L1369" s="4" t="s">
        <v>1680</v>
      </c>
      <c r="M1369" s="4" t="s">
        <v>40</v>
      </c>
      <c r="N1369" s="4" t="s">
        <v>24</v>
      </c>
      <c r="O1369" s="4">
        <v>3</v>
      </c>
      <c r="P1369" s="7">
        <v>33200</v>
      </c>
      <c r="Q1369" s="8">
        <v>0.25</v>
      </c>
      <c r="R1369" s="7">
        <v>22130</v>
      </c>
      <c r="S1369" s="7">
        <f>Table1_1[[#This Row],[Units Sold]]*Table1_1[[#This Row],[Unit Price]]*(1-Table1_1[[#This Row],[Discount %]])</f>
        <v>74700</v>
      </c>
      <c r="T1369" s="7">
        <f>Table1_1[[#This Row],[Units Sold]]*Table1_1[[#This Row],[Unit Cost]]</f>
        <v>66390</v>
      </c>
      <c r="U1369" s="7">
        <f>Table1_1[[#This Row],[Calculated sales]]-Table1_1[[#This Row],[Total cost]]</f>
        <v>8310</v>
      </c>
      <c r="V1369" s="4">
        <f>IFERROR(Table1_1[[#This Row],[Profit/Loss]]/Table1_1[[#This Row],[Calculated sales]],0)</f>
        <v>0.11124497991967872</v>
      </c>
    </row>
    <row r="1370" spans="1:22" x14ac:dyDescent="0.25">
      <c r="A1370" s="4" t="s">
        <v>1519</v>
      </c>
      <c r="B1370" s="5">
        <v>45966</v>
      </c>
      <c r="C1370" s="4">
        <f>YEAR(Table1_1[[#This Row],[Order Dates]])</f>
        <v>2025</v>
      </c>
      <c r="D1370" s="6">
        <f>MONTH(Table1_1[[#This Row],[Order Dates]])</f>
        <v>11</v>
      </c>
      <c r="E1370" s="4" t="s">
        <v>76</v>
      </c>
      <c r="F1370" s="4" t="s">
        <v>77</v>
      </c>
      <c r="G1370" s="4" t="s">
        <v>78</v>
      </c>
      <c r="H1370" s="4" t="str">
        <f>TRIM(CLEAN(SUBSTITUTE(Table1_1[[#This Row],[Salesperson]],"   "," ")))</f>
        <v>Pooja Chouhan</v>
      </c>
      <c r="I1370" s="4" t="s">
        <v>45</v>
      </c>
      <c r="J1370" s="4" t="s">
        <v>20</v>
      </c>
      <c r="K1370" s="4" t="s">
        <v>109</v>
      </c>
      <c r="L1370" s="4" t="s">
        <v>1675</v>
      </c>
      <c r="M1370" s="4" t="s">
        <v>23</v>
      </c>
      <c r="N1370" s="4" t="s">
        <v>24</v>
      </c>
      <c r="O1370" s="4">
        <v>3</v>
      </c>
      <c r="P1370" s="7">
        <v>67560</v>
      </c>
      <c r="Q1370" s="8">
        <v>0.12</v>
      </c>
      <c r="R1370" s="7">
        <v>49330</v>
      </c>
      <c r="S1370" s="7">
        <f>Table1_1[[#This Row],[Units Sold]]*Table1_1[[#This Row],[Unit Price]]*(1-Table1_1[[#This Row],[Discount %]])</f>
        <v>178358.39999999999</v>
      </c>
      <c r="T1370" s="7">
        <f>Table1_1[[#This Row],[Units Sold]]*Table1_1[[#This Row],[Unit Cost]]</f>
        <v>147990</v>
      </c>
      <c r="U1370" s="7">
        <f>Table1_1[[#This Row],[Calculated sales]]-Table1_1[[#This Row],[Total cost]]</f>
        <v>30368.399999999994</v>
      </c>
      <c r="V1370" s="4">
        <f>IFERROR(Table1_1[[#This Row],[Profit/Loss]]/Table1_1[[#This Row],[Calculated sales]],0)</f>
        <v>0.17026616071909143</v>
      </c>
    </row>
    <row r="1371" spans="1:22" x14ac:dyDescent="0.25">
      <c r="A1371" s="4" t="s">
        <v>1520</v>
      </c>
      <c r="B1371" s="5">
        <v>45966</v>
      </c>
      <c r="C1371" s="4">
        <f>YEAR(Table1_1[[#This Row],[Order Dates]])</f>
        <v>2025</v>
      </c>
      <c r="D1371" s="6">
        <f>MONTH(Table1_1[[#This Row],[Order Dates]])</f>
        <v>11</v>
      </c>
      <c r="E1371" s="4" t="s">
        <v>56</v>
      </c>
      <c r="F1371" s="4" t="s">
        <v>143</v>
      </c>
      <c r="G1371" s="4" t="s">
        <v>91</v>
      </c>
      <c r="H1371" s="4" t="str">
        <f>TRIM(CLEAN(SUBSTITUTE(Table1_1[[#This Row],[Salesperson]],"   "," ")))</f>
        <v>Anjali Menon</v>
      </c>
      <c r="I1371" s="4" t="s">
        <v>19</v>
      </c>
      <c r="J1371" s="4" t="s">
        <v>46</v>
      </c>
      <c r="K1371" s="4" t="s">
        <v>100</v>
      </c>
      <c r="L1371" s="4" t="s">
        <v>101</v>
      </c>
      <c r="M1371" s="4" t="s">
        <v>23</v>
      </c>
      <c r="N1371" s="4" t="s">
        <v>24</v>
      </c>
      <c r="O1371" s="4">
        <v>14</v>
      </c>
      <c r="P1371" s="7">
        <v>1890</v>
      </c>
      <c r="Q1371" s="8">
        <v>0.05</v>
      </c>
      <c r="R1371" s="7">
        <v>1470</v>
      </c>
      <c r="S1371" s="7">
        <f>Table1_1[[#This Row],[Units Sold]]*Table1_1[[#This Row],[Unit Price]]*(1-Table1_1[[#This Row],[Discount %]])</f>
        <v>25137</v>
      </c>
      <c r="T1371" s="7">
        <f>Table1_1[[#This Row],[Units Sold]]*Table1_1[[#This Row],[Unit Cost]]</f>
        <v>20580</v>
      </c>
      <c r="U1371" s="7">
        <f>Table1_1[[#This Row],[Calculated sales]]-Table1_1[[#This Row],[Total cost]]</f>
        <v>4557</v>
      </c>
      <c r="V1371" s="4">
        <f>IFERROR(Table1_1[[#This Row],[Profit/Loss]]/Table1_1[[#This Row],[Calculated sales]],0)</f>
        <v>0.18128654970760233</v>
      </c>
    </row>
    <row r="1372" spans="1:22" x14ac:dyDescent="0.25">
      <c r="A1372" s="4" t="s">
        <v>1521</v>
      </c>
      <c r="B1372" s="5">
        <v>45966</v>
      </c>
      <c r="C1372" s="4">
        <f>YEAR(Table1_1[[#This Row],[Order Dates]])</f>
        <v>2025</v>
      </c>
      <c r="D1372" s="6">
        <f>MONTH(Table1_1[[#This Row],[Order Dates]])</f>
        <v>11</v>
      </c>
      <c r="E1372" s="4" t="s">
        <v>56</v>
      </c>
      <c r="F1372" s="4" t="s">
        <v>127</v>
      </c>
      <c r="G1372" s="4" t="s">
        <v>134</v>
      </c>
      <c r="H1372" s="4" t="str">
        <f>TRIM(CLEAN(SUBSTITUTE(Table1_1[[#This Row],[Salesperson]],"   "," ")))</f>
        <v>Divya Nair</v>
      </c>
      <c r="I1372" s="4" t="s">
        <v>92</v>
      </c>
      <c r="J1372" s="4" t="s">
        <v>83</v>
      </c>
      <c r="K1372" s="4" t="s">
        <v>136</v>
      </c>
      <c r="L1372" s="4" t="s">
        <v>307</v>
      </c>
      <c r="M1372" s="4" t="s">
        <v>40</v>
      </c>
      <c r="N1372" s="4" t="s">
        <v>35</v>
      </c>
      <c r="O1372" s="4">
        <v>15</v>
      </c>
      <c r="P1372" s="7">
        <v>890</v>
      </c>
      <c r="Q1372" s="8">
        <v>0.08</v>
      </c>
      <c r="R1372" s="7">
        <v>500</v>
      </c>
      <c r="S1372" s="7">
        <f>Table1_1[[#This Row],[Units Sold]]*Table1_1[[#This Row],[Unit Price]]*(1-Table1_1[[#This Row],[Discount %]])</f>
        <v>12282</v>
      </c>
      <c r="T1372" s="7">
        <f>Table1_1[[#This Row],[Units Sold]]*Table1_1[[#This Row],[Unit Cost]]</f>
        <v>7500</v>
      </c>
      <c r="U1372" s="7">
        <f>Table1_1[[#This Row],[Calculated sales]]-Table1_1[[#This Row],[Total cost]]</f>
        <v>4782</v>
      </c>
      <c r="V1372" s="4">
        <f>IFERROR(Table1_1[[#This Row],[Profit/Loss]]/Table1_1[[#This Row],[Calculated sales]],0)</f>
        <v>0.3893502686858818</v>
      </c>
    </row>
    <row r="1373" spans="1:22" x14ac:dyDescent="0.25">
      <c r="A1373" s="4" t="s">
        <v>1522</v>
      </c>
      <c r="B1373" s="5">
        <v>45966</v>
      </c>
      <c r="C1373" s="4">
        <f>YEAR(Table1_1[[#This Row],[Order Dates]])</f>
        <v>2025</v>
      </c>
      <c r="D1373" s="6">
        <f>MONTH(Table1_1[[#This Row],[Order Dates]])</f>
        <v>11</v>
      </c>
      <c r="E1373" s="4" t="s">
        <v>16</v>
      </c>
      <c r="F1373" s="4" t="s">
        <v>191</v>
      </c>
      <c r="G1373" s="4" t="s">
        <v>32</v>
      </c>
      <c r="H1373" s="4" t="str">
        <f>TRIM(CLEAN(SUBSTITUTE(Table1_1[[#This Row],[Salesperson]],"   "," ")))</f>
        <v>Neha Deshpande</v>
      </c>
      <c r="I1373" s="4" t="s">
        <v>19</v>
      </c>
      <c r="J1373" s="4" t="s">
        <v>46</v>
      </c>
      <c r="K1373" s="4" t="s">
        <v>47</v>
      </c>
      <c r="L1373" s="4" t="s">
        <v>48</v>
      </c>
      <c r="M1373" s="4" t="s">
        <v>49</v>
      </c>
      <c r="N1373" s="4" t="s">
        <v>94</v>
      </c>
      <c r="O1373" s="4">
        <v>6</v>
      </c>
      <c r="P1373" s="7">
        <v>1900</v>
      </c>
      <c r="Q1373" s="8">
        <v>0.18</v>
      </c>
      <c r="R1373" s="7">
        <v>1420</v>
      </c>
      <c r="S1373" s="7">
        <f>Table1_1[[#This Row],[Units Sold]]*Table1_1[[#This Row],[Unit Price]]*(1-Table1_1[[#This Row],[Discount %]])</f>
        <v>9348</v>
      </c>
      <c r="T1373" s="7">
        <f>Table1_1[[#This Row],[Units Sold]]*Table1_1[[#This Row],[Unit Cost]]</f>
        <v>8520</v>
      </c>
      <c r="U1373" s="7">
        <f>Table1_1[[#This Row],[Calculated sales]]-Table1_1[[#This Row],[Total cost]]</f>
        <v>828</v>
      </c>
      <c r="V1373" s="4">
        <f>IFERROR(Table1_1[[#This Row],[Profit/Loss]]/Table1_1[[#This Row],[Calculated sales]],0)</f>
        <v>8.8575096277278567E-2</v>
      </c>
    </row>
    <row r="1374" spans="1:22" x14ac:dyDescent="0.25">
      <c r="A1374" s="4" t="s">
        <v>1523</v>
      </c>
      <c r="B1374" s="5">
        <v>45967</v>
      </c>
      <c r="C1374" s="4">
        <f>YEAR(Table1_1[[#This Row],[Order Dates]])</f>
        <v>2025</v>
      </c>
      <c r="D1374" s="6">
        <f>MONTH(Table1_1[[#This Row],[Order Dates]])</f>
        <v>11</v>
      </c>
      <c r="E1374" s="4" t="s">
        <v>16</v>
      </c>
      <c r="F1374" s="4" t="s">
        <v>17</v>
      </c>
      <c r="G1374" s="4" t="s">
        <v>26</v>
      </c>
      <c r="H1374" s="4" t="str">
        <f>TRIM(CLEAN(SUBSTITUTE(Table1_1[[#This Row],[Salesperson]],"   "," ")))</f>
        <v>Prateek Shah</v>
      </c>
      <c r="I1374" s="4" t="s">
        <v>19</v>
      </c>
      <c r="J1374" s="4" t="s">
        <v>20</v>
      </c>
      <c r="K1374" s="4" t="s">
        <v>109</v>
      </c>
      <c r="L1374" s="4" t="s">
        <v>1675</v>
      </c>
      <c r="M1374" s="4" t="s">
        <v>40</v>
      </c>
      <c r="N1374" s="4" t="s">
        <v>24</v>
      </c>
      <c r="O1374" s="4">
        <v>3</v>
      </c>
      <c r="P1374" s="7">
        <v>71440</v>
      </c>
      <c r="Q1374" s="8">
        <v>0.18</v>
      </c>
      <c r="R1374" s="7">
        <v>52010</v>
      </c>
      <c r="S1374" s="7">
        <f>Table1_1[[#This Row],[Units Sold]]*Table1_1[[#This Row],[Unit Price]]*(1-Table1_1[[#This Row],[Discount %]])</f>
        <v>175742.40000000002</v>
      </c>
      <c r="T1374" s="7">
        <f>Table1_1[[#This Row],[Units Sold]]*Table1_1[[#This Row],[Unit Cost]]</f>
        <v>156030</v>
      </c>
      <c r="U1374" s="7">
        <f>Table1_1[[#This Row],[Calculated sales]]-Table1_1[[#This Row],[Total cost]]</f>
        <v>19712.400000000023</v>
      </c>
      <c r="V1374" s="4">
        <f>IFERROR(Table1_1[[#This Row],[Profit/Loss]]/Table1_1[[#This Row],[Calculated sales]],0)</f>
        <v>0.11216644361292449</v>
      </c>
    </row>
    <row r="1375" spans="1:22" x14ac:dyDescent="0.25">
      <c r="A1375" s="4" t="s">
        <v>1524</v>
      </c>
      <c r="B1375" s="5">
        <v>45968</v>
      </c>
      <c r="C1375" s="4">
        <f>YEAR(Table1_1[[#This Row],[Order Dates]])</f>
        <v>2025</v>
      </c>
      <c r="D1375" s="6">
        <f>MONTH(Table1_1[[#This Row],[Order Dates]])</f>
        <v>11</v>
      </c>
      <c r="E1375" s="4" t="s">
        <v>42</v>
      </c>
      <c r="F1375" s="4" t="s">
        <v>96</v>
      </c>
      <c r="G1375" s="4" t="s">
        <v>44</v>
      </c>
      <c r="H1375" s="4" t="str">
        <f>TRIM(CLEAN(SUBSTITUTE(Table1_1[[#This Row],[Salesperson]],"   "," ")))</f>
        <v>Simran Kaur</v>
      </c>
      <c r="I1375" s="4" t="s">
        <v>92</v>
      </c>
      <c r="J1375" s="4" t="s">
        <v>20</v>
      </c>
      <c r="K1375" s="4" t="s">
        <v>21</v>
      </c>
      <c r="L1375" s="4" t="s">
        <v>1670</v>
      </c>
      <c r="M1375" s="4" t="s">
        <v>49</v>
      </c>
      <c r="N1375" s="4" t="s">
        <v>24</v>
      </c>
      <c r="O1375" s="4">
        <v>3</v>
      </c>
      <c r="P1375" s="7">
        <v>8370</v>
      </c>
      <c r="Q1375" s="8">
        <v>0.05</v>
      </c>
      <c r="R1375" s="7">
        <v>5600</v>
      </c>
      <c r="S1375" s="7">
        <f>Table1_1[[#This Row],[Units Sold]]*Table1_1[[#This Row],[Unit Price]]*(1-Table1_1[[#This Row],[Discount %]])</f>
        <v>23854.5</v>
      </c>
      <c r="T1375" s="7">
        <f>Table1_1[[#This Row],[Units Sold]]*Table1_1[[#This Row],[Unit Cost]]</f>
        <v>16800</v>
      </c>
      <c r="U1375" s="7">
        <f>Table1_1[[#This Row],[Calculated sales]]-Table1_1[[#This Row],[Total cost]]</f>
        <v>7054.5</v>
      </c>
      <c r="V1375" s="4">
        <f>IFERROR(Table1_1[[#This Row],[Profit/Loss]]/Table1_1[[#This Row],[Calculated sales]],0)</f>
        <v>0.29573036533987296</v>
      </c>
    </row>
    <row r="1376" spans="1:22" x14ac:dyDescent="0.25">
      <c r="A1376" s="4" t="s">
        <v>1525</v>
      </c>
      <c r="B1376" s="5">
        <v>45968</v>
      </c>
      <c r="C1376" s="4">
        <f>YEAR(Table1_1[[#This Row],[Order Dates]])</f>
        <v>2025</v>
      </c>
      <c r="D1376" s="6">
        <f>MONTH(Table1_1[[#This Row],[Order Dates]])</f>
        <v>11</v>
      </c>
      <c r="E1376" s="4" t="s">
        <v>16</v>
      </c>
      <c r="F1376" s="4" t="s">
        <v>82</v>
      </c>
      <c r="G1376" s="4" t="s">
        <v>32</v>
      </c>
      <c r="H1376" s="4" t="str">
        <f>TRIM(CLEAN(SUBSTITUTE(Table1_1[[#This Row],[Salesperson]],"   "," ")))</f>
        <v>Neha Deshpande</v>
      </c>
      <c r="I1376" s="4" t="s">
        <v>19</v>
      </c>
      <c r="J1376" s="4" t="s">
        <v>83</v>
      </c>
      <c r="K1376" s="4" t="s">
        <v>184</v>
      </c>
      <c r="L1376" s="4" t="s">
        <v>1679</v>
      </c>
      <c r="M1376" s="4" t="s">
        <v>23</v>
      </c>
      <c r="N1376" s="4" t="s">
        <v>94</v>
      </c>
      <c r="O1376" s="4">
        <v>8</v>
      </c>
      <c r="P1376" s="7">
        <v>4600</v>
      </c>
      <c r="Q1376" s="8">
        <v>0.18</v>
      </c>
      <c r="R1376" s="7">
        <v>3360</v>
      </c>
      <c r="S1376" s="7">
        <f>Table1_1[[#This Row],[Units Sold]]*Table1_1[[#This Row],[Unit Price]]*(1-Table1_1[[#This Row],[Discount %]])</f>
        <v>30176.000000000004</v>
      </c>
      <c r="T1376" s="7">
        <f>Table1_1[[#This Row],[Units Sold]]*Table1_1[[#This Row],[Unit Cost]]</f>
        <v>26880</v>
      </c>
      <c r="U1376" s="7">
        <f>Table1_1[[#This Row],[Calculated sales]]-Table1_1[[#This Row],[Total cost]]</f>
        <v>3296.0000000000036</v>
      </c>
      <c r="V1376" s="4">
        <f>IFERROR(Table1_1[[#This Row],[Profit/Loss]]/Table1_1[[#This Row],[Calculated sales]],0)</f>
        <v>0.10922587486744444</v>
      </c>
    </row>
    <row r="1377" spans="1:22" x14ac:dyDescent="0.25">
      <c r="A1377" s="4" t="s">
        <v>1526</v>
      </c>
      <c r="B1377" s="5">
        <v>45969</v>
      </c>
      <c r="C1377" s="4">
        <f>YEAR(Table1_1[[#This Row],[Order Dates]])</f>
        <v>2025</v>
      </c>
      <c r="D1377" s="6">
        <f>MONTH(Table1_1[[#This Row],[Order Dates]])</f>
        <v>11</v>
      </c>
      <c r="E1377" s="4" t="s">
        <v>56</v>
      </c>
      <c r="F1377" s="4" t="s">
        <v>143</v>
      </c>
      <c r="G1377" s="4" t="s">
        <v>58</v>
      </c>
      <c r="H1377" s="4" t="str">
        <f>TRIM(CLEAN(SUBSTITUTE(Table1_1[[#This Row],[Salesperson]],"   "," ")))</f>
        <v>Karthik Raman</v>
      </c>
      <c r="I1377" s="4" t="s">
        <v>52</v>
      </c>
      <c r="J1377" s="4" t="s">
        <v>46</v>
      </c>
      <c r="K1377" s="4" t="s">
        <v>100</v>
      </c>
      <c r="L1377" s="4" t="s">
        <v>101</v>
      </c>
      <c r="M1377" s="4" t="s">
        <v>23</v>
      </c>
      <c r="N1377" s="4" t="s">
        <v>24</v>
      </c>
      <c r="O1377" s="4">
        <v>27</v>
      </c>
      <c r="P1377" s="7">
        <v>2040</v>
      </c>
      <c r="Q1377" s="8">
        <v>0.1</v>
      </c>
      <c r="R1377" s="7">
        <v>1330</v>
      </c>
      <c r="S1377" s="7">
        <f>Table1_1[[#This Row],[Units Sold]]*Table1_1[[#This Row],[Unit Price]]*(1-Table1_1[[#This Row],[Discount %]])</f>
        <v>49572</v>
      </c>
      <c r="T1377" s="7">
        <f>Table1_1[[#This Row],[Units Sold]]*Table1_1[[#This Row],[Unit Cost]]</f>
        <v>35910</v>
      </c>
      <c r="U1377" s="7">
        <f>Table1_1[[#This Row],[Calculated sales]]-Table1_1[[#This Row],[Total cost]]</f>
        <v>13662</v>
      </c>
      <c r="V1377" s="4">
        <f>IFERROR(Table1_1[[#This Row],[Profit/Loss]]/Table1_1[[#This Row],[Calculated sales]],0)</f>
        <v>0.27559912854030499</v>
      </c>
    </row>
    <row r="1378" spans="1:22" x14ac:dyDescent="0.25">
      <c r="A1378" s="4" t="s">
        <v>1527</v>
      </c>
      <c r="B1378" s="5">
        <v>45969</v>
      </c>
      <c r="C1378" s="4">
        <f>YEAR(Table1_1[[#This Row],[Order Dates]])</f>
        <v>2025</v>
      </c>
      <c r="D1378" s="6">
        <f>MONTH(Table1_1[[#This Row],[Order Dates]])</f>
        <v>11</v>
      </c>
      <c r="E1378" s="4" t="s">
        <v>56</v>
      </c>
      <c r="F1378" s="4" t="s">
        <v>127</v>
      </c>
      <c r="G1378" s="4" t="s">
        <v>91</v>
      </c>
      <c r="H1378" s="4" t="str">
        <f>TRIM(CLEAN(SUBSTITUTE(Table1_1[[#This Row],[Salesperson]],"   "," ")))</f>
        <v>Anjali Menon</v>
      </c>
      <c r="I1378" s="4" t="s">
        <v>52</v>
      </c>
      <c r="J1378" s="4" t="s">
        <v>46</v>
      </c>
      <c r="K1378" s="4" t="s">
        <v>100</v>
      </c>
      <c r="L1378" s="4" t="s">
        <v>177</v>
      </c>
      <c r="M1378" s="4" t="s">
        <v>49</v>
      </c>
      <c r="N1378" s="4" t="s">
        <v>94</v>
      </c>
      <c r="O1378" s="4">
        <v>9</v>
      </c>
      <c r="P1378" s="7">
        <v>2630</v>
      </c>
      <c r="Q1378" s="8">
        <v>0</v>
      </c>
      <c r="R1378" s="7">
        <v>1690</v>
      </c>
      <c r="S1378" s="7">
        <f>Table1_1[[#This Row],[Units Sold]]*Table1_1[[#This Row],[Unit Price]]*(1-Table1_1[[#This Row],[Discount %]])</f>
        <v>23670</v>
      </c>
      <c r="T1378" s="7">
        <f>Table1_1[[#This Row],[Units Sold]]*Table1_1[[#This Row],[Unit Cost]]</f>
        <v>15210</v>
      </c>
      <c r="U1378" s="7">
        <f>Table1_1[[#This Row],[Calculated sales]]-Table1_1[[#This Row],[Total cost]]</f>
        <v>8460</v>
      </c>
      <c r="V1378" s="4">
        <f>IFERROR(Table1_1[[#This Row],[Profit/Loss]]/Table1_1[[#This Row],[Calculated sales]],0)</f>
        <v>0.35741444866920152</v>
      </c>
    </row>
    <row r="1379" spans="1:22" x14ac:dyDescent="0.25">
      <c r="A1379" s="4" t="s">
        <v>1528</v>
      </c>
      <c r="B1379" s="5">
        <v>45969</v>
      </c>
      <c r="C1379" s="4">
        <f>YEAR(Table1_1[[#This Row],[Order Dates]])</f>
        <v>2025</v>
      </c>
      <c r="D1379" s="6">
        <f>MONTH(Table1_1[[#This Row],[Order Dates]])</f>
        <v>11</v>
      </c>
      <c r="E1379" s="4" t="s">
        <v>76</v>
      </c>
      <c r="F1379" s="4" t="s">
        <v>217</v>
      </c>
      <c r="G1379" s="4" t="s">
        <v>170</v>
      </c>
      <c r="H1379" s="4" t="str">
        <f>TRIM(CLEAN(SUBSTITUTE(Table1_1[[#This Row],[Salesperson]],"   "," ")))</f>
        <v>Manish Tiwari</v>
      </c>
      <c r="I1379" s="4" t="s">
        <v>92</v>
      </c>
      <c r="J1379" s="4" t="s">
        <v>59</v>
      </c>
      <c r="K1379" s="4" t="s">
        <v>73</v>
      </c>
      <c r="L1379" s="4" t="s">
        <v>113</v>
      </c>
      <c r="M1379" s="4" t="s">
        <v>40</v>
      </c>
      <c r="N1379" s="4" t="s">
        <v>24</v>
      </c>
      <c r="O1379" s="4">
        <v>6</v>
      </c>
      <c r="P1379" s="7">
        <v>30500</v>
      </c>
      <c r="Q1379" s="8">
        <v>0.18</v>
      </c>
      <c r="R1379" s="7">
        <v>17750</v>
      </c>
      <c r="S1379" s="7">
        <f>Table1_1[[#This Row],[Units Sold]]*Table1_1[[#This Row],[Unit Price]]*(1-Table1_1[[#This Row],[Discount %]])</f>
        <v>150060</v>
      </c>
      <c r="T1379" s="7">
        <f>Table1_1[[#This Row],[Units Sold]]*Table1_1[[#This Row],[Unit Cost]]</f>
        <v>106500</v>
      </c>
      <c r="U1379" s="7">
        <f>Table1_1[[#This Row],[Calculated sales]]-Table1_1[[#This Row],[Total cost]]</f>
        <v>43560</v>
      </c>
      <c r="V1379" s="4">
        <f>IFERROR(Table1_1[[#This Row],[Profit/Loss]]/Table1_1[[#This Row],[Calculated sales]],0)</f>
        <v>0.29028388644542186</v>
      </c>
    </row>
    <row r="1380" spans="1:22" x14ac:dyDescent="0.25">
      <c r="A1380" s="4" t="s">
        <v>1529</v>
      </c>
      <c r="B1380" s="5">
        <v>45970</v>
      </c>
      <c r="C1380" s="4">
        <f>YEAR(Table1_1[[#This Row],[Order Dates]])</f>
        <v>2025</v>
      </c>
      <c r="D1380" s="6">
        <f>MONTH(Table1_1[[#This Row],[Order Dates]])</f>
        <v>11</v>
      </c>
      <c r="E1380" s="4" t="s">
        <v>42</v>
      </c>
      <c r="F1380" s="4" t="s">
        <v>130</v>
      </c>
      <c r="G1380" s="4" t="s">
        <v>97</v>
      </c>
      <c r="H1380" s="4" t="str">
        <f>TRIM(CLEAN(SUBSTITUTE(Table1_1[[#This Row],[Salesperson]],"   "," ")))</f>
        <v>Rohit Malhotra</v>
      </c>
      <c r="I1380" s="4" t="s">
        <v>19</v>
      </c>
      <c r="J1380" s="4" t="s">
        <v>59</v>
      </c>
      <c r="K1380" s="4" t="s">
        <v>69</v>
      </c>
      <c r="L1380" s="4" t="s">
        <v>70</v>
      </c>
      <c r="M1380" s="4" t="s">
        <v>40</v>
      </c>
      <c r="N1380" s="4" t="s">
        <v>24</v>
      </c>
      <c r="O1380" s="4">
        <v>2</v>
      </c>
      <c r="P1380" s="7">
        <v>28720</v>
      </c>
      <c r="Q1380" s="8">
        <v>0.08</v>
      </c>
      <c r="R1380" s="7">
        <v>20360</v>
      </c>
      <c r="S1380" s="7">
        <f>Table1_1[[#This Row],[Units Sold]]*Table1_1[[#This Row],[Unit Price]]*(1-Table1_1[[#This Row],[Discount %]])</f>
        <v>52844.800000000003</v>
      </c>
      <c r="T1380" s="7">
        <f>Table1_1[[#This Row],[Units Sold]]*Table1_1[[#This Row],[Unit Cost]]</f>
        <v>40720</v>
      </c>
      <c r="U1380" s="7">
        <f>Table1_1[[#This Row],[Calculated sales]]-Table1_1[[#This Row],[Total cost]]</f>
        <v>12124.800000000003</v>
      </c>
      <c r="V1380" s="4">
        <f>IFERROR(Table1_1[[#This Row],[Profit/Loss]]/Table1_1[[#This Row],[Calculated sales]],0)</f>
        <v>0.22944168584231564</v>
      </c>
    </row>
    <row r="1381" spans="1:22" x14ac:dyDescent="0.25">
      <c r="A1381" s="4" t="s">
        <v>1530</v>
      </c>
      <c r="B1381" s="5">
        <v>45970</v>
      </c>
      <c r="C1381" s="4">
        <f>YEAR(Table1_1[[#This Row],[Order Dates]])</f>
        <v>2025</v>
      </c>
      <c r="D1381" s="6">
        <f>MONTH(Table1_1[[#This Row],[Order Dates]])</f>
        <v>11</v>
      </c>
      <c r="E1381" s="4" t="s">
        <v>56</v>
      </c>
      <c r="F1381" s="4" t="s">
        <v>72</v>
      </c>
      <c r="G1381" s="4" t="s">
        <v>134</v>
      </c>
      <c r="H1381" s="4" t="str">
        <f>TRIM(CLEAN(SUBSTITUTE(Table1_1[[#This Row],[Salesperson]],"   "," ")))</f>
        <v>Divya Nair</v>
      </c>
      <c r="I1381" s="4" t="s">
        <v>52</v>
      </c>
      <c r="J1381" s="4" t="s">
        <v>59</v>
      </c>
      <c r="K1381" s="4" t="s">
        <v>69</v>
      </c>
      <c r="L1381" s="4" t="s">
        <v>70</v>
      </c>
      <c r="M1381" s="4" t="s">
        <v>23</v>
      </c>
      <c r="N1381" s="4" t="s">
        <v>119</v>
      </c>
      <c r="O1381" s="4">
        <v>4</v>
      </c>
      <c r="P1381" s="7">
        <v>27820</v>
      </c>
      <c r="Q1381" s="8">
        <v>0.1</v>
      </c>
      <c r="R1381" s="7">
        <v>21110</v>
      </c>
      <c r="S1381" s="7">
        <f>Table1_1[[#This Row],[Units Sold]]*Table1_1[[#This Row],[Unit Price]]*(1-Table1_1[[#This Row],[Discount %]])</f>
        <v>100152</v>
      </c>
      <c r="T1381" s="7">
        <f>Table1_1[[#This Row],[Units Sold]]*Table1_1[[#This Row],[Unit Cost]]</f>
        <v>84440</v>
      </c>
      <c r="U1381" s="7">
        <f>Table1_1[[#This Row],[Calculated sales]]-Table1_1[[#This Row],[Total cost]]</f>
        <v>15712</v>
      </c>
      <c r="V1381" s="4">
        <f>IFERROR(Table1_1[[#This Row],[Profit/Loss]]/Table1_1[[#This Row],[Calculated sales]],0)</f>
        <v>0.15688154005911015</v>
      </c>
    </row>
    <row r="1382" spans="1:22" x14ac:dyDescent="0.25">
      <c r="A1382" s="4" t="s">
        <v>1531</v>
      </c>
      <c r="B1382" s="5">
        <v>45970</v>
      </c>
      <c r="C1382" s="4">
        <f>YEAR(Table1_1[[#This Row],[Order Dates]])</f>
        <v>2025</v>
      </c>
      <c r="D1382" s="6">
        <f>MONTH(Table1_1[[#This Row],[Order Dates]])</f>
        <v>11</v>
      </c>
      <c r="E1382" s="4" t="s">
        <v>76</v>
      </c>
      <c r="F1382" s="4" t="s">
        <v>112</v>
      </c>
      <c r="G1382" s="4" t="s">
        <v>170</v>
      </c>
      <c r="H1382" s="4" t="str">
        <f>TRIM(CLEAN(SUBSTITUTE(Table1_1[[#This Row],[Salesperson]],"   "," ")))</f>
        <v>Manish Tiwari</v>
      </c>
      <c r="I1382" s="4" t="s">
        <v>19</v>
      </c>
      <c r="J1382" s="4" t="s">
        <v>27</v>
      </c>
      <c r="K1382" s="4" t="s">
        <v>214</v>
      </c>
      <c r="L1382" s="4" t="s">
        <v>1681</v>
      </c>
      <c r="M1382" s="4" t="s">
        <v>23</v>
      </c>
      <c r="N1382" s="4" t="s">
        <v>24</v>
      </c>
      <c r="O1382" s="4">
        <v>4</v>
      </c>
      <c r="P1382" s="7">
        <v>14610</v>
      </c>
      <c r="Q1382" s="8">
        <v>0</v>
      </c>
      <c r="R1382" s="7">
        <v>10730</v>
      </c>
      <c r="S1382" s="7">
        <f>Table1_1[[#This Row],[Units Sold]]*Table1_1[[#This Row],[Unit Price]]*(1-Table1_1[[#This Row],[Discount %]])</f>
        <v>58440</v>
      </c>
      <c r="T1382" s="7">
        <f>Table1_1[[#This Row],[Units Sold]]*Table1_1[[#This Row],[Unit Cost]]</f>
        <v>42920</v>
      </c>
      <c r="U1382" s="7">
        <f>Table1_1[[#This Row],[Calculated sales]]-Table1_1[[#This Row],[Total cost]]</f>
        <v>15520</v>
      </c>
      <c r="V1382" s="4">
        <f>IFERROR(Table1_1[[#This Row],[Profit/Loss]]/Table1_1[[#This Row],[Calculated sales]],0)</f>
        <v>0.2655715263518138</v>
      </c>
    </row>
    <row r="1383" spans="1:22" x14ac:dyDescent="0.25">
      <c r="A1383" s="4" t="s">
        <v>1532</v>
      </c>
      <c r="B1383" s="5">
        <v>45970</v>
      </c>
      <c r="C1383" s="4">
        <f>YEAR(Table1_1[[#This Row],[Order Dates]])</f>
        <v>2025</v>
      </c>
      <c r="D1383" s="6">
        <f>MONTH(Table1_1[[#This Row],[Order Dates]])</f>
        <v>11</v>
      </c>
      <c r="E1383" s="4" t="s">
        <v>16</v>
      </c>
      <c r="F1383" s="4" t="s">
        <v>51</v>
      </c>
      <c r="G1383" s="4" t="s">
        <v>18</v>
      </c>
      <c r="H1383" s="4" t="str">
        <f>TRIM(CLEAN(SUBSTITUTE(Table1_1[[#This Row],[Salesperson]],"   "," ")))</f>
        <v>Imran Sheikh</v>
      </c>
      <c r="I1383" s="4" t="s">
        <v>52</v>
      </c>
      <c r="J1383" s="4" t="s">
        <v>59</v>
      </c>
      <c r="K1383" s="4" t="s">
        <v>154</v>
      </c>
      <c r="L1383" s="4" t="s">
        <v>249</v>
      </c>
      <c r="M1383" s="4" t="s">
        <v>49</v>
      </c>
      <c r="N1383" s="4" t="s">
        <v>24</v>
      </c>
      <c r="O1383" s="4">
        <v>8</v>
      </c>
      <c r="P1383" s="7">
        <v>6250</v>
      </c>
      <c r="Q1383" s="8">
        <v>0.15</v>
      </c>
      <c r="R1383" s="7">
        <v>4770</v>
      </c>
      <c r="S1383" s="7">
        <f>Table1_1[[#This Row],[Units Sold]]*Table1_1[[#This Row],[Unit Price]]*(1-Table1_1[[#This Row],[Discount %]])</f>
        <v>42500</v>
      </c>
      <c r="T1383" s="7">
        <f>Table1_1[[#This Row],[Units Sold]]*Table1_1[[#This Row],[Unit Cost]]</f>
        <v>38160</v>
      </c>
      <c r="U1383" s="7">
        <f>Table1_1[[#This Row],[Calculated sales]]-Table1_1[[#This Row],[Total cost]]</f>
        <v>4340</v>
      </c>
      <c r="V1383" s="4">
        <f>IFERROR(Table1_1[[#This Row],[Profit/Loss]]/Table1_1[[#This Row],[Calculated sales]],0)</f>
        <v>0.10211764705882354</v>
      </c>
    </row>
    <row r="1384" spans="1:22" x14ac:dyDescent="0.25">
      <c r="A1384" s="4" t="s">
        <v>1533</v>
      </c>
      <c r="B1384" s="5">
        <v>45971</v>
      </c>
      <c r="C1384" s="4">
        <f>YEAR(Table1_1[[#This Row],[Order Dates]])</f>
        <v>2025</v>
      </c>
      <c r="D1384" s="6">
        <f>MONTH(Table1_1[[#This Row],[Order Dates]])</f>
        <v>11</v>
      </c>
      <c r="E1384" s="4" t="s">
        <v>42</v>
      </c>
      <c r="F1384" s="4" t="s">
        <v>265</v>
      </c>
      <c r="G1384" s="4" t="s">
        <v>64</v>
      </c>
      <c r="H1384" s="4" t="str">
        <f>TRIM(CLEAN(SUBSTITUTE(Table1_1[[#This Row],[Salesperson]],"   "," ")))</f>
        <v>Aditya Verma</v>
      </c>
      <c r="I1384" s="4" t="s">
        <v>19</v>
      </c>
      <c r="J1384" s="4" t="s">
        <v>46</v>
      </c>
      <c r="K1384" s="4" t="s">
        <v>100</v>
      </c>
      <c r="L1384" s="4" t="s">
        <v>101</v>
      </c>
      <c r="M1384" s="4" t="s">
        <v>40</v>
      </c>
      <c r="N1384" s="4" t="s">
        <v>35</v>
      </c>
      <c r="O1384" s="4">
        <v>22</v>
      </c>
      <c r="P1384" s="7">
        <v>2040</v>
      </c>
      <c r="Q1384" s="8">
        <v>0.05</v>
      </c>
      <c r="R1384" s="7">
        <v>1370</v>
      </c>
      <c r="S1384" s="7">
        <f>Table1_1[[#This Row],[Units Sold]]*Table1_1[[#This Row],[Unit Price]]*(1-Table1_1[[#This Row],[Discount %]])</f>
        <v>42636</v>
      </c>
      <c r="T1384" s="7">
        <f>Table1_1[[#This Row],[Units Sold]]*Table1_1[[#This Row],[Unit Cost]]</f>
        <v>30140</v>
      </c>
      <c r="U1384" s="7">
        <f>Table1_1[[#This Row],[Calculated sales]]-Table1_1[[#This Row],[Total cost]]</f>
        <v>12496</v>
      </c>
      <c r="V1384" s="4">
        <f>IFERROR(Table1_1[[#This Row],[Profit/Loss]]/Table1_1[[#This Row],[Calculated sales]],0)</f>
        <v>0.2930856553147575</v>
      </c>
    </row>
    <row r="1385" spans="1:22" x14ac:dyDescent="0.25">
      <c r="A1385" s="4" t="s">
        <v>1534</v>
      </c>
      <c r="B1385" s="5">
        <v>45971</v>
      </c>
      <c r="C1385" s="4">
        <f>YEAR(Table1_1[[#This Row],[Order Dates]])</f>
        <v>2025</v>
      </c>
      <c r="D1385" s="6">
        <f>MONTH(Table1_1[[#This Row],[Order Dates]])</f>
        <v>11</v>
      </c>
      <c r="E1385" s="4" t="s">
        <v>56</v>
      </c>
      <c r="F1385" s="4" t="s">
        <v>143</v>
      </c>
      <c r="G1385" s="4" t="s">
        <v>91</v>
      </c>
      <c r="H1385" s="4" t="str">
        <f>TRIM(CLEAN(SUBSTITUTE(Table1_1[[#This Row],[Salesperson]],"   "," ")))</f>
        <v>Anjali Menon</v>
      </c>
      <c r="I1385" s="4" t="s">
        <v>45</v>
      </c>
      <c r="J1385" s="4" t="s">
        <v>20</v>
      </c>
      <c r="K1385" s="4" t="s">
        <v>33</v>
      </c>
      <c r="L1385" s="4" t="s">
        <v>1677</v>
      </c>
      <c r="M1385" s="4" t="s">
        <v>49</v>
      </c>
      <c r="N1385" s="4" t="s">
        <v>24</v>
      </c>
      <c r="O1385" s="4">
        <v>3</v>
      </c>
      <c r="P1385" s="7">
        <v>61010</v>
      </c>
      <c r="Q1385" s="8">
        <v>0.1</v>
      </c>
      <c r="R1385" s="7">
        <v>37460</v>
      </c>
      <c r="S1385" s="7">
        <f>Table1_1[[#This Row],[Units Sold]]*Table1_1[[#This Row],[Unit Price]]*(1-Table1_1[[#This Row],[Discount %]])</f>
        <v>164727</v>
      </c>
      <c r="T1385" s="7">
        <f>Table1_1[[#This Row],[Units Sold]]*Table1_1[[#This Row],[Unit Cost]]</f>
        <v>112380</v>
      </c>
      <c r="U1385" s="7">
        <f>Table1_1[[#This Row],[Calculated sales]]-Table1_1[[#This Row],[Total cost]]</f>
        <v>52347</v>
      </c>
      <c r="V1385" s="4">
        <f>IFERROR(Table1_1[[#This Row],[Profit/Loss]]/Table1_1[[#This Row],[Calculated sales]],0)</f>
        <v>0.31778032745087326</v>
      </c>
    </row>
    <row r="1386" spans="1:22" x14ac:dyDescent="0.25">
      <c r="A1386" s="4" t="s">
        <v>1535</v>
      </c>
      <c r="B1386" s="5">
        <v>45971</v>
      </c>
      <c r="C1386" s="4">
        <f>YEAR(Table1_1[[#This Row],[Order Dates]])</f>
        <v>2025</v>
      </c>
      <c r="D1386" s="6">
        <f>MONTH(Table1_1[[#This Row],[Order Dates]])</f>
        <v>11</v>
      </c>
      <c r="E1386" s="4" t="s">
        <v>37</v>
      </c>
      <c r="F1386" s="4" t="s">
        <v>38</v>
      </c>
      <c r="G1386" s="4" t="s">
        <v>68</v>
      </c>
      <c r="H1386" s="4" t="str">
        <f>TRIM(CLEAN(SUBSTITUTE(Table1_1[[#This Row],[Salesperson]],"   "," ")))</f>
        <v>Ritika Ghosh</v>
      </c>
      <c r="I1386" s="4" t="s">
        <v>19</v>
      </c>
      <c r="J1386" s="4" t="s">
        <v>20</v>
      </c>
      <c r="K1386" s="4" t="s">
        <v>87</v>
      </c>
      <c r="L1386" s="4" t="s">
        <v>1674</v>
      </c>
      <c r="M1386" s="4" t="s">
        <v>40</v>
      </c>
      <c r="N1386" s="4" t="s">
        <v>94</v>
      </c>
      <c r="O1386" s="4">
        <v>4</v>
      </c>
      <c r="P1386" s="7">
        <v>54010</v>
      </c>
      <c r="Q1386" s="8">
        <v>0</v>
      </c>
      <c r="R1386" s="7">
        <v>38530</v>
      </c>
      <c r="S1386" s="7">
        <f>Table1_1[[#This Row],[Units Sold]]*Table1_1[[#This Row],[Unit Price]]*(1-Table1_1[[#This Row],[Discount %]])</f>
        <v>216040</v>
      </c>
      <c r="T1386" s="7">
        <f>Table1_1[[#This Row],[Units Sold]]*Table1_1[[#This Row],[Unit Cost]]</f>
        <v>154120</v>
      </c>
      <c r="U1386" s="7">
        <f>Table1_1[[#This Row],[Calculated sales]]-Table1_1[[#This Row],[Total cost]]</f>
        <v>61920</v>
      </c>
      <c r="V1386" s="4">
        <f>IFERROR(Table1_1[[#This Row],[Profit/Loss]]/Table1_1[[#This Row],[Calculated sales]],0)</f>
        <v>0.28661359007591186</v>
      </c>
    </row>
    <row r="1387" spans="1:22" x14ac:dyDescent="0.25">
      <c r="A1387" s="4" t="s">
        <v>1536</v>
      </c>
      <c r="B1387" s="5">
        <v>45971</v>
      </c>
      <c r="C1387" s="4">
        <f>YEAR(Table1_1[[#This Row],[Order Dates]])</f>
        <v>2025</v>
      </c>
      <c r="D1387" s="6">
        <f>MONTH(Table1_1[[#This Row],[Order Dates]])</f>
        <v>11</v>
      </c>
      <c r="E1387" s="4" t="s">
        <v>37</v>
      </c>
      <c r="F1387" s="4" t="s">
        <v>166</v>
      </c>
      <c r="G1387" s="4" t="s">
        <v>39</v>
      </c>
      <c r="H1387" s="4" t="str">
        <f>TRIM(CLEAN(SUBSTITUTE(Table1_1[[#This Row],[Salesperson]],"   "," ")))</f>
        <v>Sourav Das</v>
      </c>
      <c r="I1387" s="4" t="s">
        <v>52</v>
      </c>
      <c r="J1387" s="4" t="s">
        <v>20</v>
      </c>
      <c r="K1387" s="4" t="s">
        <v>21</v>
      </c>
      <c r="L1387" s="4" t="s">
        <v>1667</v>
      </c>
      <c r="M1387" s="4" t="s">
        <v>40</v>
      </c>
      <c r="N1387" s="4" t="s">
        <v>119</v>
      </c>
      <c r="O1387" s="4">
        <v>31</v>
      </c>
      <c r="P1387" s="7">
        <v>1890</v>
      </c>
      <c r="Q1387" s="8">
        <v>0.1</v>
      </c>
      <c r="R1387" s="7">
        <v>1140</v>
      </c>
      <c r="S1387" s="7">
        <f>Table1_1[[#This Row],[Units Sold]]*Table1_1[[#This Row],[Unit Price]]*(1-Table1_1[[#This Row],[Discount %]])</f>
        <v>52731</v>
      </c>
      <c r="T1387" s="7">
        <f>Table1_1[[#This Row],[Units Sold]]*Table1_1[[#This Row],[Unit Cost]]</f>
        <v>35340</v>
      </c>
      <c r="U1387" s="7">
        <f>Table1_1[[#This Row],[Calculated sales]]-Table1_1[[#This Row],[Total cost]]</f>
        <v>17391</v>
      </c>
      <c r="V1387" s="4">
        <f>IFERROR(Table1_1[[#This Row],[Profit/Loss]]/Table1_1[[#This Row],[Calculated sales]],0)</f>
        <v>0.32980599647266312</v>
      </c>
    </row>
    <row r="1388" spans="1:22" x14ac:dyDescent="0.25">
      <c r="A1388" s="4" t="s">
        <v>1537</v>
      </c>
      <c r="B1388" s="5">
        <v>45971</v>
      </c>
      <c r="C1388" s="4">
        <f>YEAR(Table1_1[[#This Row],[Order Dates]])</f>
        <v>2025</v>
      </c>
      <c r="D1388" s="6">
        <f>MONTH(Table1_1[[#This Row],[Order Dates]])</f>
        <v>11</v>
      </c>
      <c r="E1388" s="4" t="s">
        <v>42</v>
      </c>
      <c r="F1388" s="4" t="s">
        <v>43</v>
      </c>
      <c r="G1388" s="4" t="s">
        <v>97</v>
      </c>
      <c r="H1388" s="4" t="str">
        <f>TRIM(CLEAN(SUBSTITUTE(Table1_1[[#This Row],[Salesperson]],"   "," ")))</f>
        <v>Rohit Malhotra</v>
      </c>
      <c r="I1388" s="4" t="s">
        <v>92</v>
      </c>
      <c r="J1388" s="4" t="s">
        <v>46</v>
      </c>
      <c r="K1388" s="4" t="s">
        <v>47</v>
      </c>
      <c r="L1388" s="4" t="s">
        <v>1673</v>
      </c>
      <c r="M1388" s="4" t="s">
        <v>40</v>
      </c>
      <c r="N1388" s="4" t="s">
        <v>24</v>
      </c>
      <c r="O1388" s="4">
        <v>23</v>
      </c>
      <c r="P1388" s="7">
        <v>1150</v>
      </c>
      <c r="Q1388" s="8">
        <v>0.05</v>
      </c>
      <c r="R1388" s="7">
        <v>820</v>
      </c>
      <c r="S1388" s="7">
        <f>Table1_1[[#This Row],[Units Sold]]*Table1_1[[#This Row],[Unit Price]]*(1-Table1_1[[#This Row],[Discount %]])</f>
        <v>25127.5</v>
      </c>
      <c r="T1388" s="7">
        <f>Table1_1[[#This Row],[Units Sold]]*Table1_1[[#This Row],[Unit Cost]]</f>
        <v>18860</v>
      </c>
      <c r="U1388" s="7">
        <f>Table1_1[[#This Row],[Calculated sales]]-Table1_1[[#This Row],[Total cost]]</f>
        <v>6267.5</v>
      </c>
      <c r="V1388" s="4">
        <f>IFERROR(Table1_1[[#This Row],[Profit/Loss]]/Table1_1[[#This Row],[Calculated sales]],0)</f>
        <v>0.2494279176201373</v>
      </c>
    </row>
    <row r="1389" spans="1:22" x14ac:dyDescent="0.25">
      <c r="A1389" s="4" t="s">
        <v>1538</v>
      </c>
      <c r="B1389" s="5">
        <v>45972</v>
      </c>
      <c r="C1389" s="4">
        <f>YEAR(Table1_1[[#This Row],[Order Dates]])</f>
        <v>2025</v>
      </c>
      <c r="D1389" s="6">
        <f>MONTH(Table1_1[[#This Row],[Order Dates]])</f>
        <v>11</v>
      </c>
      <c r="E1389" s="4" t="s">
        <v>56</v>
      </c>
      <c r="F1389" s="4" t="s">
        <v>57</v>
      </c>
      <c r="G1389" s="4" t="s">
        <v>91</v>
      </c>
      <c r="H1389" s="4" t="str">
        <f>TRIM(CLEAN(SUBSTITUTE(Table1_1[[#This Row],[Salesperson]],"   "," ")))</f>
        <v>Anjali Menon</v>
      </c>
      <c r="I1389" s="4" t="s">
        <v>19</v>
      </c>
      <c r="J1389" s="4" t="s">
        <v>46</v>
      </c>
      <c r="K1389" s="4" t="s">
        <v>47</v>
      </c>
      <c r="L1389" s="4" t="s">
        <v>48</v>
      </c>
      <c r="M1389" s="4" t="s">
        <v>49</v>
      </c>
      <c r="N1389" s="4" t="s">
        <v>119</v>
      </c>
      <c r="O1389" s="4">
        <v>22</v>
      </c>
      <c r="P1389" s="7">
        <v>1790</v>
      </c>
      <c r="Q1389" s="8">
        <v>0.12</v>
      </c>
      <c r="R1389" s="7">
        <v>1240</v>
      </c>
      <c r="S1389" s="7">
        <f>Table1_1[[#This Row],[Units Sold]]*Table1_1[[#This Row],[Unit Price]]*(1-Table1_1[[#This Row],[Discount %]])</f>
        <v>34654.400000000001</v>
      </c>
      <c r="T1389" s="7">
        <f>Table1_1[[#This Row],[Units Sold]]*Table1_1[[#This Row],[Unit Cost]]</f>
        <v>27280</v>
      </c>
      <c r="U1389" s="7">
        <f>Table1_1[[#This Row],[Calculated sales]]-Table1_1[[#This Row],[Total cost]]</f>
        <v>7374.4000000000015</v>
      </c>
      <c r="V1389" s="4">
        <f>IFERROR(Table1_1[[#This Row],[Profit/Loss]]/Table1_1[[#This Row],[Calculated sales]],0)</f>
        <v>0.21279837480954802</v>
      </c>
    </row>
    <row r="1390" spans="1:22" x14ac:dyDescent="0.25">
      <c r="A1390" s="4" t="s">
        <v>1539</v>
      </c>
      <c r="B1390" s="5">
        <v>45972</v>
      </c>
      <c r="C1390" s="4">
        <f>YEAR(Table1_1[[#This Row],[Order Dates]])</f>
        <v>2025</v>
      </c>
      <c r="D1390" s="6">
        <f>MONTH(Table1_1[[#This Row],[Order Dates]])</f>
        <v>11</v>
      </c>
      <c r="E1390" s="4" t="s">
        <v>16</v>
      </c>
      <c r="F1390" s="4" t="s">
        <v>17</v>
      </c>
      <c r="G1390" s="4" t="s">
        <v>32</v>
      </c>
      <c r="H1390" s="4" t="str">
        <f>TRIM(CLEAN(SUBSTITUTE(Table1_1[[#This Row],[Salesperson]],"   "," ")))</f>
        <v>Neha Deshpande</v>
      </c>
      <c r="I1390" s="4" t="s">
        <v>19</v>
      </c>
      <c r="J1390" s="4" t="s">
        <v>83</v>
      </c>
      <c r="K1390" s="4" t="s">
        <v>136</v>
      </c>
      <c r="L1390" s="4" t="s">
        <v>137</v>
      </c>
      <c r="M1390" s="4" t="s">
        <v>23</v>
      </c>
      <c r="N1390" s="4" t="s">
        <v>24</v>
      </c>
      <c r="O1390" s="4">
        <v>9</v>
      </c>
      <c r="P1390" s="7">
        <v>1610</v>
      </c>
      <c r="Q1390" s="8">
        <v>0</v>
      </c>
      <c r="R1390" s="7">
        <v>1160</v>
      </c>
      <c r="S1390" s="7">
        <f>Table1_1[[#This Row],[Units Sold]]*Table1_1[[#This Row],[Unit Price]]*(1-Table1_1[[#This Row],[Discount %]])</f>
        <v>14490</v>
      </c>
      <c r="T1390" s="7">
        <f>Table1_1[[#This Row],[Units Sold]]*Table1_1[[#This Row],[Unit Cost]]</f>
        <v>10440</v>
      </c>
      <c r="U1390" s="7">
        <f>Table1_1[[#This Row],[Calculated sales]]-Table1_1[[#This Row],[Total cost]]</f>
        <v>4050</v>
      </c>
      <c r="V1390" s="4">
        <f>IFERROR(Table1_1[[#This Row],[Profit/Loss]]/Table1_1[[#This Row],[Calculated sales]],0)</f>
        <v>0.27950310559006208</v>
      </c>
    </row>
    <row r="1391" spans="1:22" x14ac:dyDescent="0.25">
      <c r="A1391" s="4" t="s">
        <v>1540</v>
      </c>
      <c r="B1391" s="5">
        <v>45972</v>
      </c>
      <c r="C1391" s="4">
        <f>YEAR(Table1_1[[#This Row],[Order Dates]])</f>
        <v>2025</v>
      </c>
      <c r="D1391" s="6">
        <f>MONTH(Table1_1[[#This Row],[Order Dates]])</f>
        <v>11</v>
      </c>
      <c r="E1391" s="4" t="s">
        <v>76</v>
      </c>
      <c r="F1391" s="4" t="s">
        <v>99</v>
      </c>
      <c r="G1391" s="4" t="s">
        <v>78</v>
      </c>
      <c r="H1391" s="4" t="str">
        <f>TRIM(CLEAN(SUBSTITUTE(Table1_1[[#This Row],[Salesperson]],"   "," ")))</f>
        <v>Pooja Chouhan</v>
      </c>
      <c r="I1391" s="4" t="s">
        <v>19</v>
      </c>
      <c r="J1391" s="4" t="s">
        <v>27</v>
      </c>
      <c r="K1391" s="4" t="s">
        <v>214</v>
      </c>
      <c r="L1391" s="4" t="s">
        <v>1681</v>
      </c>
      <c r="M1391" s="4" t="s">
        <v>40</v>
      </c>
      <c r="N1391" s="4" t="s">
        <v>24</v>
      </c>
      <c r="O1391" s="4">
        <v>1</v>
      </c>
      <c r="P1391" s="7">
        <v>13500</v>
      </c>
      <c r="Q1391" s="8">
        <v>0.1</v>
      </c>
      <c r="R1391" s="7">
        <v>8350</v>
      </c>
      <c r="S1391" s="7">
        <f>Table1_1[[#This Row],[Units Sold]]*Table1_1[[#This Row],[Unit Price]]*(1-Table1_1[[#This Row],[Discount %]])</f>
        <v>12150</v>
      </c>
      <c r="T1391" s="7">
        <f>Table1_1[[#This Row],[Units Sold]]*Table1_1[[#This Row],[Unit Cost]]</f>
        <v>8350</v>
      </c>
      <c r="U1391" s="7">
        <f>Table1_1[[#This Row],[Calculated sales]]-Table1_1[[#This Row],[Total cost]]</f>
        <v>3800</v>
      </c>
      <c r="V1391" s="4">
        <f>IFERROR(Table1_1[[#This Row],[Profit/Loss]]/Table1_1[[#This Row],[Calculated sales]],0)</f>
        <v>0.31275720164609055</v>
      </c>
    </row>
    <row r="1392" spans="1:22" x14ac:dyDescent="0.25">
      <c r="A1392" s="4" t="s">
        <v>1541</v>
      </c>
      <c r="B1392" s="5">
        <v>45973</v>
      </c>
      <c r="C1392" s="4">
        <f>YEAR(Table1_1[[#This Row],[Order Dates]])</f>
        <v>2025</v>
      </c>
      <c r="D1392" s="6">
        <f>MONTH(Table1_1[[#This Row],[Order Dates]])</f>
        <v>11</v>
      </c>
      <c r="E1392" s="4" t="s">
        <v>16</v>
      </c>
      <c r="F1392" s="4" t="s">
        <v>31</v>
      </c>
      <c r="G1392" s="4" t="s">
        <v>26</v>
      </c>
      <c r="H1392" s="4" t="str">
        <f>TRIM(CLEAN(SUBSTITUTE(Table1_1[[#This Row],[Salesperson]],"   "," ")))</f>
        <v>Prateek Shah</v>
      </c>
      <c r="I1392" s="4" t="s">
        <v>19</v>
      </c>
      <c r="J1392" s="4" t="s">
        <v>20</v>
      </c>
      <c r="K1392" s="4" t="s">
        <v>33</v>
      </c>
      <c r="L1392" s="4" t="s">
        <v>1677</v>
      </c>
      <c r="M1392" s="4" t="s">
        <v>23</v>
      </c>
      <c r="N1392" s="4" t="s">
        <v>24</v>
      </c>
      <c r="O1392" s="4">
        <v>2</v>
      </c>
      <c r="P1392" s="7">
        <v>59850</v>
      </c>
      <c r="Q1392" s="8">
        <v>0</v>
      </c>
      <c r="R1392" s="7">
        <v>37890</v>
      </c>
      <c r="S1392" s="7">
        <f>Table1_1[[#This Row],[Units Sold]]*Table1_1[[#This Row],[Unit Price]]*(1-Table1_1[[#This Row],[Discount %]])</f>
        <v>119700</v>
      </c>
      <c r="T1392" s="7">
        <f>Table1_1[[#This Row],[Units Sold]]*Table1_1[[#This Row],[Unit Cost]]</f>
        <v>75780</v>
      </c>
      <c r="U1392" s="7">
        <f>Table1_1[[#This Row],[Calculated sales]]-Table1_1[[#This Row],[Total cost]]</f>
        <v>43920</v>
      </c>
      <c r="V1392" s="4">
        <f>IFERROR(Table1_1[[#This Row],[Profit/Loss]]/Table1_1[[#This Row],[Calculated sales]],0)</f>
        <v>0.3669172932330827</v>
      </c>
    </row>
    <row r="1393" spans="1:22" x14ac:dyDescent="0.25">
      <c r="A1393" s="4" t="s">
        <v>1542</v>
      </c>
      <c r="B1393" s="5">
        <v>45973</v>
      </c>
      <c r="C1393" s="4">
        <f>YEAR(Table1_1[[#This Row],[Order Dates]])</f>
        <v>2025</v>
      </c>
      <c r="D1393" s="6">
        <f>MONTH(Table1_1[[#This Row],[Order Dates]])</f>
        <v>11</v>
      </c>
      <c r="E1393" s="4" t="s">
        <v>42</v>
      </c>
      <c r="F1393" s="4" t="s">
        <v>265</v>
      </c>
      <c r="G1393" s="4" t="s">
        <v>64</v>
      </c>
      <c r="H1393" s="4" t="str">
        <f>TRIM(CLEAN(SUBSTITUTE(Table1_1[[#This Row],[Salesperson]],"   "," ")))</f>
        <v>Aditya Verma</v>
      </c>
      <c r="I1393" s="4" t="s">
        <v>52</v>
      </c>
      <c r="J1393" s="4" t="s">
        <v>59</v>
      </c>
      <c r="K1393" s="4" t="s">
        <v>60</v>
      </c>
      <c r="L1393" s="4" t="s">
        <v>200</v>
      </c>
      <c r="M1393" s="4" t="s">
        <v>40</v>
      </c>
      <c r="N1393" s="4" t="s">
        <v>35</v>
      </c>
      <c r="O1393" s="4">
        <v>10</v>
      </c>
      <c r="P1393" s="7">
        <v>9110</v>
      </c>
      <c r="Q1393" s="8">
        <v>0.08</v>
      </c>
      <c r="R1393" s="7">
        <v>6060</v>
      </c>
      <c r="S1393" s="7">
        <f>Table1_1[[#This Row],[Units Sold]]*Table1_1[[#This Row],[Unit Price]]*(1-Table1_1[[#This Row],[Discount %]])</f>
        <v>83812</v>
      </c>
      <c r="T1393" s="7">
        <f>Table1_1[[#This Row],[Units Sold]]*Table1_1[[#This Row],[Unit Cost]]</f>
        <v>60600</v>
      </c>
      <c r="U1393" s="7">
        <f>Table1_1[[#This Row],[Calculated sales]]-Table1_1[[#This Row],[Total cost]]</f>
        <v>23212</v>
      </c>
      <c r="V1393" s="4">
        <f>IFERROR(Table1_1[[#This Row],[Profit/Loss]]/Table1_1[[#This Row],[Calculated sales]],0)</f>
        <v>0.27695318092874527</v>
      </c>
    </row>
    <row r="1394" spans="1:22" x14ac:dyDescent="0.25">
      <c r="A1394" s="4" t="s">
        <v>1543</v>
      </c>
      <c r="B1394" s="5">
        <v>45974</v>
      </c>
      <c r="C1394" s="4">
        <f>YEAR(Table1_1[[#This Row],[Order Dates]])</f>
        <v>2025</v>
      </c>
      <c r="D1394" s="6">
        <f>MONTH(Table1_1[[#This Row],[Order Dates]])</f>
        <v>11</v>
      </c>
      <c r="E1394" s="4" t="s">
        <v>56</v>
      </c>
      <c r="F1394" s="4" t="s">
        <v>57</v>
      </c>
      <c r="G1394" s="4" t="s">
        <v>134</v>
      </c>
      <c r="H1394" s="4" t="str">
        <f>TRIM(CLEAN(SUBSTITUTE(Table1_1[[#This Row],[Salesperson]],"   "," ")))</f>
        <v>Divya Nair</v>
      </c>
      <c r="I1394" s="4" t="s">
        <v>92</v>
      </c>
      <c r="J1394" s="4" t="s">
        <v>20</v>
      </c>
      <c r="K1394" s="4" t="s">
        <v>87</v>
      </c>
      <c r="L1394" s="4" t="s">
        <v>1672</v>
      </c>
      <c r="M1394" s="4" t="s">
        <v>23</v>
      </c>
      <c r="N1394" s="4" t="s">
        <v>24</v>
      </c>
      <c r="O1394" s="4">
        <v>3</v>
      </c>
      <c r="P1394" s="7">
        <v>33880</v>
      </c>
      <c r="Q1394" s="8">
        <v>0.12</v>
      </c>
      <c r="R1394" s="7">
        <v>26700</v>
      </c>
      <c r="S1394" s="7">
        <f>Table1_1[[#This Row],[Units Sold]]*Table1_1[[#This Row],[Unit Price]]*(1-Table1_1[[#This Row],[Discount %]])</f>
        <v>89443.199999999997</v>
      </c>
      <c r="T1394" s="7">
        <f>Table1_1[[#This Row],[Units Sold]]*Table1_1[[#This Row],[Unit Cost]]</f>
        <v>80100</v>
      </c>
      <c r="U1394" s="7">
        <f>Table1_1[[#This Row],[Calculated sales]]-Table1_1[[#This Row],[Total cost]]</f>
        <v>9343.1999999999971</v>
      </c>
      <c r="V1394" s="4">
        <f>IFERROR(Table1_1[[#This Row],[Profit/Loss]]/Table1_1[[#This Row],[Calculated sales]],0)</f>
        <v>0.10445958999678005</v>
      </c>
    </row>
    <row r="1395" spans="1:22" x14ac:dyDescent="0.25">
      <c r="A1395" s="4" t="s">
        <v>1544</v>
      </c>
      <c r="B1395" s="5">
        <v>45974</v>
      </c>
      <c r="C1395" s="4">
        <f>YEAR(Table1_1[[#This Row],[Order Dates]])</f>
        <v>2025</v>
      </c>
      <c r="D1395" s="6">
        <f>MONTH(Table1_1[[#This Row],[Order Dates]])</f>
        <v>11</v>
      </c>
      <c r="E1395" s="4" t="s">
        <v>56</v>
      </c>
      <c r="F1395" s="4" t="s">
        <v>103</v>
      </c>
      <c r="G1395" s="4" t="s">
        <v>91</v>
      </c>
      <c r="H1395" s="4" t="str">
        <f>TRIM(CLEAN(SUBSTITUTE(Table1_1[[#This Row],[Salesperson]],"   "," ")))</f>
        <v>Anjali Menon</v>
      </c>
      <c r="I1395" s="4" t="s">
        <v>52</v>
      </c>
      <c r="J1395" s="4" t="s">
        <v>83</v>
      </c>
      <c r="K1395" s="4" t="s">
        <v>136</v>
      </c>
      <c r="L1395" s="4" t="s">
        <v>137</v>
      </c>
      <c r="M1395" s="4" t="s">
        <v>40</v>
      </c>
      <c r="N1395" s="4" t="s">
        <v>24</v>
      </c>
      <c r="O1395" s="4">
        <v>27</v>
      </c>
      <c r="P1395" s="7">
        <v>1710</v>
      </c>
      <c r="Q1395" s="8">
        <v>0.05</v>
      </c>
      <c r="R1395" s="7">
        <v>1190</v>
      </c>
      <c r="S1395" s="7">
        <f>Table1_1[[#This Row],[Units Sold]]*Table1_1[[#This Row],[Unit Price]]*(1-Table1_1[[#This Row],[Discount %]])</f>
        <v>43861.5</v>
      </c>
      <c r="T1395" s="7">
        <f>Table1_1[[#This Row],[Units Sold]]*Table1_1[[#This Row],[Unit Cost]]</f>
        <v>32130</v>
      </c>
      <c r="U1395" s="7">
        <f>Table1_1[[#This Row],[Calculated sales]]-Table1_1[[#This Row],[Total cost]]</f>
        <v>11731.5</v>
      </c>
      <c r="V1395" s="4">
        <f>IFERROR(Table1_1[[#This Row],[Profit/Loss]]/Table1_1[[#This Row],[Calculated sales]],0)</f>
        <v>0.26746691289627578</v>
      </c>
    </row>
    <row r="1396" spans="1:22" x14ac:dyDescent="0.25">
      <c r="A1396" s="4" t="s">
        <v>1545</v>
      </c>
      <c r="B1396" s="5">
        <v>45974</v>
      </c>
      <c r="C1396" s="4">
        <f>YEAR(Table1_1[[#This Row],[Order Dates]])</f>
        <v>2025</v>
      </c>
      <c r="D1396" s="6">
        <f>MONTH(Table1_1[[#This Row],[Order Dates]])</f>
        <v>11</v>
      </c>
      <c r="E1396" s="4" t="s">
        <v>42</v>
      </c>
      <c r="F1396" s="4" t="s">
        <v>43</v>
      </c>
      <c r="G1396" s="4" t="s">
        <v>44</v>
      </c>
      <c r="H1396" s="4" t="str">
        <f>TRIM(CLEAN(SUBSTITUTE(Table1_1[[#This Row],[Salesperson]],"   "," ")))</f>
        <v>Simran Kaur</v>
      </c>
      <c r="I1396" s="4" t="s">
        <v>52</v>
      </c>
      <c r="J1396" s="4" t="s">
        <v>20</v>
      </c>
      <c r="K1396" s="4" t="s">
        <v>87</v>
      </c>
      <c r="L1396" s="4" t="s">
        <v>1674</v>
      </c>
      <c r="M1396" s="4" t="s">
        <v>23</v>
      </c>
      <c r="N1396" s="4" t="s">
        <v>24</v>
      </c>
      <c r="O1396" s="4">
        <v>2</v>
      </c>
      <c r="P1396" s="7">
        <v>51930</v>
      </c>
      <c r="Q1396" s="8">
        <v>0.12</v>
      </c>
      <c r="R1396" s="7">
        <v>38960</v>
      </c>
      <c r="S1396" s="7">
        <f>Table1_1[[#This Row],[Units Sold]]*Table1_1[[#This Row],[Unit Price]]*(1-Table1_1[[#This Row],[Discount %]])</f>
        <v>91396.800000000003</v>
      </c>
      <c r="T1396" s="7">
        <f>Table1_1[[#This Row],[Units Sold]]*Table1_1[[#This Row],[Unit Cost]]</f>
        <v>77920</v>
      </c>
      <c r="U1396" s="7">
        <f>Table1_1[[#This Row],[Calculated sales]]-Table1_1[[#This Row],[Total cost]]</f>
        <v>13476.800000000003</v>
      </c>
      <c r="V1396" s="4">
        <f>IFERROR(Table1_1[[#This Row],[Profit/Loss]]/Table1_1[[#This Row],[Calculated sales]],0)</f>
        <v>0.14745374017471075</v>
      </c>
    </row>
    <row r="1397" spans="1:22" x14ac:dyDescent="0.25">
      <c r="A1397" s="4" t="s">
        <v>1546</v>
      </c>
      <c r="B1397" s="5">
        <v>45974</v>
      </c>
      <c r="C1397" s="4">
        <f>YEAR(Table1_1[[#This Row],[Order Dates]])</f>
        <v>2025</v>
      </c>
      <c r="D1397" s="6">
        <f>MONTH(Table1_1[[#This Row],[Order Dates]])</f>
        <v>11</v>
      </c>
      <c r="E1397" s="4" t="s">
        <v>76</v>
      </c>
      <c r="F1397" s="4" t="s">
        <v>217</v>
      </c>
      <c r="G1397" s="4" t="s">
        <v>78</v>
      </c>
      <c r="H1397" s="4" t="str">
        <f>TRIM(CLEAN(SUBSTITUTE(Table1_1[[#This Row],[Salesperson]],"   "," ")))</f>
        <v>Pooja Chouhan</v>
      </c>
      <c r="I1397" s="4" t="s">
        <v>45</v>
      </c>
      <c r="J1397" s="4" t="s">
        <v>83</v>
      </c>
      <c r="K1397" s="4" t="s">
        <v>136</v>
      </c>
      <c r="L1397" s="4" t="s">
        <v>307</v>
      </c>
      <c r="M1397" s="4" t="s">
        <v>23</v>
      </c>
      <c r="N1397" s="4" t="s">
        <v>24</v>
      </c>
      <c r="O1397" s="4">
        <v>11</v>
      </c>
      <c r="P1397" s="7">
        <v>940</v>
      </c>
      <c r="Q1397" s="8">
        <v>0.2</v>
      </c>
      <c r="R1397" s="7">
        <v>630</v>
      </c>
      <c r="S1397" s="7">
        <f>Table1_1[[#This Row],[Units Sold]]*Table1_1[[#This Row],[Unit Price]]*(1-Table1_1[[#This Row],[Discount %]])</f>
        <v>8272</v>
      </c>
      <c r="T1397" s="7">
        <f>Table1_1[[#This Row],[Units Sold]]*Table1_1[[#This Row],[Unit Cost]]</f>
        <v>6930</v>
      </c>
      <c r="U1397" s="7">
        <f>Table1_1[[#This Row],[Calculated sales]]-Table1_1[[#This Row],[Total cost]]</f>
        <v>1342</v>
      </c>
      <c r="V1397" s="4">
        <f>IFERROR(Table1_1[[#This Row],[Profit/Loss]]/Table1_1[[#This Row],[Calculated sales]],0)</f>
        <v>0.16223404255319149</v>
      </c>
    </row>
    <row r="1398" spans="1:22" x14ac:dyDescent="0.25">
      <c r="A1398" s="4" t="s">
        <v>1547</v>
      </c>
      <c r="B1398" s="5">
        <v>45974</v>
      </c>
      <c r="C1398" s="4">
        <f>YEAR(Table1_1[[#This Row],[Order Dates]])</f>
        <v>2025</v>
      </c>
      <c r="D1398" s="6">
        <f>MONTH(Table1_1[[#This Row],[Order Dates]])</f>
        <v>11</v>
      </c>
      <c r="E1398" s="4" t="s">
        <v>37</v>
      </c>
      <c r="F1398" s="4" t="s">
        <v>115</v>
      </c>
      <c r="G1398" s="4" t="s">
        <v>68</v>
      </c>
      <c r="H1398" s="4" t="str">
        <f>TRIM(CLEAN(SUBSTITUTE(Table1_1[[#This Row],[Salesperson]],"   "," ")))</f>
        <v>Ritika Ghosh</v>
      </c>
      <c r="I1398" s="4" t="s">
        <v>19</v>
      </c>
      <c r="J1398" s="4" t="s">
        <v>46</v>
      </c>
      <c r="K1398" s="4" t="s">
        <v>47</v>
      </c>
      <c r="L1398" s="4" t="s">
        <v>48</v>
      </c>
      <c r="M1398" s="4" t="s">
        <v>40</v>
      </c>
      <c r="N1398" s="4" t="s">
        <v>24</v>
      </c>
      <c r="O1398" s="4">
        <v>15</v>
      </c>
      <c r="P1398" s="7">
        <v>1830</v>
      </c>
      <c r="Q1398" s="8">
        <v>0</v>
      </c>
      <c r="R1398" s="7">
        <v>1300</v>
      </c>
      <c r="S1398" s="7">
        <f>Table1_1[[#This Row],[Units Sold]]*Table1_1[[#This Row],[Unit Price]]*(1-Table1_1[[#This Row],[Discount %]])</f>
        <v>27450</v>
      </c>
      <c r="T1398" s="7">
        <f>Table1_1[[#This Row],[Units Sold]]*Table1_1[[#This Row],[Unit Cost]]</f>
        <v>19500</v>
      </c>
      <c r="U1398" s="7">
        <f>Table1_1[[#This Row],[Calculated sales]]-Table1_1[[#This Row],[Total cost]]</f>
        <v>7950</v>
      </c>
      <c r="V1398" s="4">
        <f>IFERROR(Table1_1[[#This Row],[Profit/Loss]]/Table1_1[[#This Row],[Calculated sales]],0)</f>
        <v>0.2896174863387978</v>
      </c>
    </row>
    <row r="1399" spans="1:22" x14ac:dyDescent="0.25">
      <c r="A1399" s="4" t="s">
        <v>1548</v>
      </c>
      <c r="B1399" s="5">
        <v>45974</v>
      </c>
      <c r="C1399" s="4">
        <f>YEAR(Table1_1[[#This Row],[Order Dates]])</f>
        <v>2025</v>
      </c>
      <c r="D1399" s="6">
        <f>MONTH(Table1_1[[#This Row],[Order Dates]])</f>
        <v>11</v>
      </c>
      <c r="E1399" s="4" t="s">
        <v>56</v>
      </c>
      <c r="F1399" s="4" t="s">
        <v>127</v>
      </c>
      <c r="G1399" s="4" t="s">
        <v>58</v>
      </c>
      <c r="H1399" s="4" t="str">
        <f>TRIM(CLEAN(SUBSTITUTE(Table1_1[[#This Row],[Salesperson]],"   "," ")))</f>
        <v>Karthik Raman</v>
      </c>
      <c r="I1399" s="4" t="s">
        <v>19</v>
      </c>
      <c r="J1399" s="4" t="s">
        <v>46</v>
      </c>
      <c r="K1399" s="4" t="s">
        <v>100</v>
      </c>
      <c r="L1399" s="4" t="s">
        <v>101</v>
      </c>
      <c r="M1399" s="4" t="s">
        <v>23</v>
      </c>
      <c r="N1399" s="4" t="s">
        <v>24</v>
      </c>
      <c r="O1399" s="4">
        <v>32</v>
      </c>
      <c r="P1399" s="7">
        <v>1910</v>
      </c>
      <c r="Q1399" s="8">
        <v>0.15</v>
      </c>
      <c r="R1399" s="7">
        <v>1080</v>
      </c>
      <c r="S1399" s="7">
        <f>Table1_1[[#This Row],[Units Sold]]*Table1_1[[#This Row],[Unit Price]]*(1-Table1_1[[#This Row],[Discount %]])</f>
        <v>51952</v>
      </c>
      <c r="T1399" s="7">
        <f>Table1_1[[#This Row],[Units Sold]]*Table1_1[[#This Row],[Unit Cost]]</f>
        <v>34560</v>
      </c>
      <c r="U1399" s="7">
        <f>Table1_1[[#This Row],[Calculated sales]]-Table1_1[[#This Row],[Total cost]]</f>
        <v>17392</v>
      </c>
      <c r="V1399" s="4">
        <f>IFERROR(Table1_1[[#This Row],[Profit/Loss]]/Table1_1[[#This Row],[Calculated sales]],0)</f>
        <v>0.33477055743763473</v>
      </c>
    </row>
    <row r="1400" spans="1:22" x14ac:dyDescent="0.25">
      <c r="A1400" s="4" t="s">
        <v>1549</v>
      </c>
      <c r="B1400" s="5">
        <v>45974</v>
      </c>
      <c r="C1400" s="4">
        <f>YEAR(Table1_1[[#This Row],[Order Dates]])</f>
        <v>2025</v>
      </c>
      <c r="D1400" s="6">
        <f>MONTH(Table1_1[[#This Row],[Order Dates]])</f>
        <v>11</v>
      </c>
      <c r="E1400" s="4" t="s">
        <v>56</v>
      </c>
      <c r="F1400" s="4" t="s">
        <v>127</v>
      </c>
      <c r="G1400" s="4" t="s">
        <v>91</v>
      </c>
      <c r="H1400" s="4" t="str">
        <f>TRIM(CLEAN(SUBSTITUTE(Table1_1[[#This Row],[Salesperson]],"   "," ")))</f>
        <v>Anjali Menon</v>
      </c>
      <c r="I1400" s="4" t="s">
        <v>52</v>
      </c>
      <c r="J1400" s="4" t="s">
        <v>46</v>
      </c>
      <c r="K1400" s="4" t="s">
        <v>100</v>
      </c>
      <c r="L1400" s="4" t="s">
        <v>101</v>
      </c>
      <c r="M1400" s="4" t="s">
        <v>23</v>
      </c>
      <c r="N1400" s="4" t="s">
        <v>24</v>
      </c>
      <c r="O1400" s="4">
        <v>28</v>
      </c>
      <c r="P1400" s="7">
        <v>1820</v>
      </c>
      <c r="Q1400" s="8">
        <v>0.12</v>
      </c>
      <c r="R1400" s="7">
        <v>1260</v>
      </c>
      <c r="S1400" s="7">
        <f>Table1_1[[#This Row],[Units Sold]]*Table1_1[[#This Row],[Unit Price]]*(1-Table1_1[[#This Row],[Discount %]])</f>
        <v>44844.800000000003</v>
      </c>
      <c r="T1400" s="7">
        <f>Table1_1[[#This Row],[Units Sold]]*Table1_1[[#This Row],[Unit Cost]]</f>
        <v>35280</v>
      </c>
      <c r="U1400" s="7">
        <f>Table1_1[[#This Row],[Calculated sales]]-Table1_1[[#This Row],[Total cost]]</f>
        <v>9564.8000000000029</v>
      </c>
      <c r="V1400" s="4">
        <f>IFERROR(Table1_1[[#This Row],[Profit/Loss]]/Table1_1[[#This Row],[Calculated sales]],0)</f>
        <v>0.21328671328671334</v>
      </c>
    </row>
    <row r="1401" spans="1:22" x14ac:dyDescent="0.25">
      <c r="A1401" s="4" t="s">
        <v>1550</v>
      </c>
      <c r="B1401" s="5">
        <v>45975</v>
      </c>
      <c r="C1401" s="4">
        <f>YEAR(Table1_1[[#This Row],[Order Dates]])</f>
        <v>2025</v>
      </c>
      <c r="D1401" s="6">
        <f>MONTH(Table1_1[[#This Row],[Order Dates]])</f>
        <v>11</v>
      </c>
      <c r="E1401" s="4" t="s">
        <v>16</v>
      </c>
      <c r="F1401" s="4" t="s">
        <v>17</v>
      </c>
      <c r="G1401" s="4" t="s">
        <v>18</v>
      </c>
      <c r="H1401" s="4" t="str">
        <f>TRIM(CLEAN(SUBSTITUTE(Table1_1[[#This Row],[Salesperson]],"   "," ")))</f>
        <v>Imran Sheikh</v>
      </c>
      <c r="I1401" s="4" t="s">
        <v>92</v>
      </c>
      <c r="J1401" s="4" t="s">
        <v>59</v>
      </c>
      <c r="K1401" s="4" t="s">
        <v>154</v>
      </c>
      <c r="L1401" s="4" t="s">
        <v>249</v>
      </c>
      <c r="M1401" s="4" t="s">
        <v>23</v>
      </c>
      <c r="N1401" s="4" t="s">
        <v>24</v>
      </c>
      <c r="O1401" s="4">
        <v>20</v>
      </c>
      <c r="P1401" s="7">
        <v>7020</v>
      </c>
      <c r="Q1401" s="8">
        <v>0.08</v>
      </c>
      <c r="R1401" s="7">
        <v>4940</v>
      </c>
      <c r="S1401" s="7">
        <f>Table1_1[[#This Row],[Units Sold]]*Table1_1[[#This Row],[Unit Price]]*(1-Table1_1[[#This Row],[Discount %]])</f>
        <v>129168</v>
      </c>
      <c r="T1401" s="7">
        <f>Table1_1[[#This Row],[Units Sold]]*Table1_1[[#This Row],[Unit Cost]]</f>
        <v>98800</v>
      </c>
      <c r="U1401" s="7">
        <f>Table1_1[[#This Row],[Calculated sales]]-Table1_1[[#This Row],[Total cost]]</f>
        <v>30368</v>
      </c>
      <c r="V1401" s="4">
        <f>IFERROR(Table1_1[[#This Row],[Profit/Loss]]/Table1_1[[#This Row],[Calculated sales]],0)</f>
        <v>0.23510466988727857</v>
      </c>
    </row>
    <row r="1402" spans="1:22" x14ac:dyDescent="0.25">
      <c r="A1402" s="4" t="s">
        <v>1551</v>
      </c>
      <c r="B1402" s="5">
        <v>45975</v>
      </c>
      <c r="C1402" s="4">
        <f>YEAR(Table1_1[[#This Row],[Order Dates]])</f>
        <v>2025</v>
      </c>
      <c r="D1402" s="6">
        <f>MONTH(Table1_1[[#This Row],[Order Dates]])</f>
        <v>11</v>
      </c>
      <c r="E1402" s="4" t="s">
        <v>76</v>
      </c>
      <c r="F1402" s="4" t="s">
        <v>99</v>
      </c>
      <c r="G1402" s="4" t="s">
        <v>170</v>
      </c>
      <c r="H1402" s="4" t="str">
        <f>TRIM(CLEAN(SUBSTITUTE(Table1_1[[#This Row],[Salesperson]],"   "," ")))</f>
        <v>Manish Tiwari</v>
      </c>
      <c r="I1402" s="4" t="s">
        <v>45</v>
      </c>
      <c r="J1402" s="4" t="s">
        <v>20</v>
      </c>
      <c r="K1402" s="4" t="s">
        <v>109</v>
      </c>
      <c r="L1402" s="4" t="s">
        <v>159</v>
      </c>
      <c r="M1402" s="4" t="s">
        <v>40</v>
      </c>
      <c r="N1402" s="4" t="s">
        <v>24</v>
      </c>
      <c r="O1402" s="4">
        <v>11</v>
      </c>
      <c r="P1402" s="7">
        <v>17690</v>
      </c>
      <c r="Q1402" s="8">
        <v>0.1</v>
      </c>
      <c r="R1402" s="7">
        <v>12500</v>
      </c>
      <c r="S1402" s="7">
        <f>Table1_1[[#This Row],[Units Sold]]*Table1_1[[#This Row],[Unit Price]]*(1-Table1_1[[#This Row],[Discount %]])</f>
        <v>175131</v>
      </c>
      <c r="T1402" s="7">
        <f>Table1_1[[#This Row],[Units Sold]]*Table1_1[[#This Row],[Unit Cost]]</f>
        <v>137500</v>
      </c>
      <c r="U1402" s="7">
        <f>Table1_1[[#This Row],[Calculated sales]]-Table1_1[[#This Row],[Total cost]]</f>
        <v>37631</v>
      </c>
      <c r="V1402" s="4">
        <f>IFERROR(Table1_1[[#This Row],[Profit/Loss]]/Table1_1[[#This Row],[Calculated sales]],0)</f>
        <v>0.21487343759814082</v>
      </c>
    </row>
    <row r="1403" spans="1:22" x14ac:dyDescent="0.25">
      <c r="A1403" s="4" t="s">
        <v>1552</v>
      </c>
      <c r="B1403" s="5">
        <v>45975</v>
      </c>
      <c r="C1403" s="4">
        <f>YEAR(Table1_1[[#This Row],[Order Dates]])</f>
        <v>2025</v>
      </c>
      <c r="D1403" s="6">
        <f>MONTH(Table1_1[[#This Row],[Order Dates]])</f>
        <v>11</v>
      </c>
      <c r="E1403" s="4" t="s">
        <v>42</v>
      </c>
      <c r="F1403" s="4" t="s">
        <v>265</v>
      </c>
      <c r="G1403" s="4" t="s">
        <v>64</v>
      </c>
      <c r="H1403" s="4" t="str">
        <f>TRIM(CLEAN(SUBSTITUTE(Table1_1[[#This Row],[Salesperson]],"   "," ")))</f>
        <v>Aditya Verma</v>
      </c>
      <c r="I1403" s="4" t="s">
        <v>92</v>
      </c>
      <c r="J1403" s="4" t="s">
        <v>46</v>
      </c>
      <c r="K1403" s="4" t="s">
        <v>179</v>
      </c>
      <c r="L1403" s="4" t="s">
        <v>236</v>
      </c>
      <c r="M1403" s="4" t="s">
        <v>23</v>
      </c>
      <c r="N1403" s="4" t="s">
        <v>24</v>
      </c>
      <c r="O1403" s="4">
        <v>13</v>
      </c>
      <c r="P1403" s="7">
        <v>2240</v>
      </c>
      <c r="Q1403" s="8">
        <v>0</v>
      </c>
      <c r="R1403" s="7">
        <v>1640</v>
      </c>
      <c r="S1403" s="7">
        <f>Table1_1[[#This Row],[Units Sold]]*Table1_1[[#This Row],[Unit Price]]*(1-Table1_1[[#This Row],[Discount %]])</f>
        <v>29120</v>
      </c>
      <c r="T1403" s="7">
        <f>Table1_1[[#This Row],[Units Sold]]*Table1_1[[#This Row],[Unit Cost]]</f>
        <v>21320</v>
      </c>
      <c r="U1403" s="7">
        <f>Table1_1[[#This Row],[Calculated sales]]-Table1_1[[#This Row],[Total cost]]</f>
        <v>7800</v>
      </c>
      <c r="V1403" s="4">
        <f>IFERROR(Table1_1[[#This Row],[Profit/Loss]]/Table1_1[[#This Row],[Calculated sales]],0)</f>
        <v>0.26785714285714285</v>
      </c>
    </row>
    <row r="1404" spans="1:22" x14ac:dyDescent="0.25">
      <c r="A1404" s="4" t="s">
        <v>1553</v>
      </c>
      <c r="B1404" s="5">
        <v>45976</v>
      </c>
      <c r="C1404" s="4">
        <f>YEAR(Table1_1[[#This Row],[Order Dates]])</f>
        <v>2025</v>
      </c>
      <c r="D1404" s="6">
        <f>MONTH(Table1_1[[#This Row],[Order Dates]])</f>
        <v>11</v>
      </c>
      <c r="E1404" s="4" t="s">
        <v>37</v>
      </c>
      <c r="F1404" s="4" t="s">
        <v>161</v>
      </c>
      <c r="G1404" s="4" t="s">
        <v>68</v>
      </c>
      <c r="H1404" s="4" t="str">
        <f>TRIM(CLEAN(SUBSTITUTE(Table1_1[[#This Row],[Salesperson]],"   "," ")))</f>
        <v>Ritika Ghosh</v>
      </c>
      <c r="I1404" s="4" t="s">
        <v>45</v>
      </c>
      <c r="J1404" s="4" t="s">
        <v>46</v>
      </c>
      <c r="K1404" s="4" t="s">
        <v>47</v>
      </c>
      <c r="L1404" s="4" t="s">
        <v>1673</v>
      </c>
      <c r="M1404" s="4" t="s">
        <v>23</v>
      </c>
      <c r="N1404" s="4" t="s">
        <v>24</v>
      </c>
      <c r="O1404" s="4">
        <v>48</v>
      </c>
      <c r="P1404" s="7">
        <v>1280</v>
      </c>
      <c r="Q1404" s="8">
        <v>0</v>
      </c>
      <c r="R1404" s="7">
        <v>840</v>
      </c>
      <c r="S1404" s="7">
        <f>Table1_1[[#This Row],[Units Sold]]*Table1_1[[#This Row],[Unit Price]]*(1-Table1_1[[#This Row],[Discount %]])</f>
        <v>61440</v>
      </c>
      <c r="T1404" s="7">
        <f>Table1_1[[#This Row],[Units Sold]]*Table1_1[[#This Row],[Unit Cost]]</f>
        <v>40320</v>
      </c>
      <c r="U1404" s="7">
        <f>Table1_1[[#This Row],[Calculated sales]]-Table1_1[[#This Row],[Total cost]]</f>
        <v>21120</v>
      </c>
      <c r="V1404" s="4">
        <f>IFERROR(Table1_1[[#This Row],[Profit/Loss]]/Table1_1[[#This Row],[Calculated sales]],0)</f>
        <v>0.34375</v>
      </c>
    </row>
    <row r="1405" spans="1:22" x14ac:dyDescent="0.25">
      <c r="A1405" s="4" t="s">
        <v>1554</v>
      </c>
      <c r="B1405" s="5">
        <v>45976</v>
      </c>
      <c r="C1405" s="4">
        <f>YEAR(Table1_1[[#This Row],[Order Dates]])</f>
        <v>2025</v>
      </c>
      <c r="D1405" s="6">
        <f>MONTH(Table1_1[[#This Row],[Order Dates]])</f>
        <v>11</v>
      </c>
      <c r="E1405" s="4" t="s">
        <v>56</v>
      </c>
      <c r="F1405" s="4" t="s">
        <v>72</v>
      </c>
      <c r="G1405" s="4" t="s">
        <v>134</v>
      </c>
      <c r="H1405" s="4" t="str">
        <f>TRIM(CLEAN(SUBSTITUTE(Table1_1[[#This Row],[Salesperson]],"   "," ")))</f>
        <v>Divya Nair</v>
      </c>
      <c r="I1405" s="4" t="s">
        <v>45</v>
      </c>
      <c r="J1405" s="4" t="s">
        <v>27</v>
      </c>
      <c r="K1405" s="4" t="s">
        <v>214</v>
      </c>
      <c r="L1405" s="4" t="s">
        <v>1681</v>
      </c>
      <c r="M1405" s="4" t="s">
        <v>49</v>
      </c>
      <c r="N1405" s="4" t="s">
        <v>24</v>
      </c>
      <c r="O1405" s="4">
        <v>8</v>
      </c>
      <c r="P1405" s="7">
        <v>14460</v>
      </c>
      <c r="Q1405" s="8">
        <v>0.18</v>
      </c>
      <c r="R1405" s="7">
        <v>9570</v>
      </c>
      <c r="S1405" s="7">
        <f>Table1_1[[#This Row],[Units Sold]]*Table1_1[[#This Row],[Unit Price]]*(1-Table1_1[[#This Row],[Discount %]])</f>
        <v>94857.600000000006</v>
      </c>
      <c r="T1405" s="7">
        <f>Table1_1[[#This Row],[Units Sold]]*Table1_1[[#This Row],[Unit Cost]]</f>
        <v>76560</v>
      </c>
      <c r="U1405" s="7">
        <f>Table1_1[[#This Row],[Calculated sales]]-Table1_1[[#This Row],[Total cost]]</f>
        <v>18297.600000000006</v>
      </c>
      <c r="V1405" s="4">
        <f>IFERROR(Table1_1[[#This Row],[Profit/Loss]]/Table1_1[[#This Row],[Calculated sales]],0)</f>
        <v>0.19289545592551366</v>
      </c>
    </row>
    <row r="1406" spans="1:22" x14ac:dyDescent="0.25">
      <c r="A1406" s="4" t="s">
        <v>1555</v>
      </c>
      <c r="B1406" s="5">
        <v>45978</v>
      </c>
      <c r="C1406" s="4">
        <f>YEAR(Table1_1[[#This Row],[Order Dates]])</f>
        <v>2025</v>
      </c>
      <c r="D1406" s="6">
        <f>MONTH(Table1_1[[#This Row],[Order Dates]])</f>
        <v>11</v>
      </c>
      <c r="E1406" s="4" t="s">
        <v>37</v>
      </c>
      <c r="F1406" s="4" t="s">
        <v>67</v>
      </c>
      <c r="G1406" s="4" t="s">
        <v>39</v>
      </c>
      <c r="H1406" s="4" t="str">
        <f>TRIM(CLEAN(SUBSTITUTE(Table1_1[[#This Row],[Salesperson]],"   "," ")))</f>
        <v>Sourav Das</v>
      </c>
      <c r="I1406" s="4" t="s">
        <v>19</v>
      </c>
      <c r="J1406" s="4" t="s">
        <v>27</v>
      </c>
      <c r="K1406" s="4" t="s">
        <v>28</v>
      </c>
      <c r="L1406" s="4" t="s">
        <v>1668</v>
      </c>
      <c r="M1406" s="4" t="s">
        <v>23</v>
      </c>
      <c r="N1406" s="4" t="s">
        <v>119</v>
      </c>
      <c r="O1406" s="4">
        <v>6</v>
      </c>
      <c r="P1406" s="7">
        <v>28280</v>
      </c>
      <c r="Q1406" s="8">
        <v>0.1</v>
      </c>
      <c r="R1406" s="7">
        <v>18760</v>
      </c>
      <c r="S1406" s="7">
        <f>Table1_1[[#This Row],[Units Sold]]*Table1_1[[#This Row],[Unit Price]]*(1-Table1_1[[#This Row],[Discount %]])</f>
        <v>152712</v>
      </c>
      <c r="T1406" s="7">
        <f>Table1_1[[#This Row],[Units Sold]]*Table1_1[[#This Row],[Unit Cost]]</f>
        <v>112560</v>
      </c>
      <c r="U1406" s="7">
        <f>Table1_1[[#This Row],[Calculated sales]]-Table1_1[[#This Row],[Total cost]]</f>
        <v>40152</v>
      </c>
      <c r="V1406" s="4">
        <f>IFERROR(Table1_1[[#This Row],[Profit/Loss]]/Table1_1[[#This Row],[Calculated sales]],0)</f>
        <v>0.26292629262926293</v>
      </c>
    </row>
    <row r="1407" spans="1:22" x14ac:dyDescent="0.25">
      <c r="A1407" s="4" t="s">
        <v>1556</v>
      </c>
      <c r="B1407" s="5">
        <v>45978</v>
      </c>
      <c r="C1407" s="4">
        <f>YEAR(Table1_1[[#This Row],[Order Dates]])</f>
        <v>2025</v>
      </c>
      <c r="D1407" s="6">
        <f>MONTH(Table1_1[[#This Row],[Order Dates]])</f>
        <v>11</v>
      </c>
      <c r="E1407" s="4" t="s">
        <v>42</v>
      </c>
      <c r="F1407" s="4" t="s">
        <v>130</v>
      </c>
      <c r="G1407" s="4" t="s">
        <v>64</v>
      </c>
      <c r="H1407" s="4" t="str">
        <f>TRIM(CLEAN(SUBSTITUTE(Table1_1[[#This Row],[Salesperson]],"   "," ")))</f>
        <v>Aditya Verma</v>
      </c>
      <c r="I1407" s="4" t="s">
        <v>19</v>
      </c>
      <c r="J1407" s="4" t="s">
        <v>83</v>
      </c>
      <c r="K1407" s="4" t="s">
        <v>84</v>
      </c>
      <c r="L1407" s="4" t="s">
        <v>1671</v>
      </c>
      <c r="M1407" s="4" t="s">
        <v>23</v>
      </c>
      <c r="N1407" s="4" t="s">
        <v>24</v>
      </c>
      <c r="O1407" s="4">
        <v>17</v>
      </c>
      <c r="P1407" s="7">
        <v>2580</v>
      </c>
      <c r="Q1407" s="8">
        <v>0.15</v>
      </c>
      <c r="R1407" s="7">
        <v>1830</v>
      </c>
      <c r="S1407" s="7">
        <f>Table1_1[[#This Row],[Units Sold]]*Table1_1[[#This Row],[Unit Price]]*(1-Table1_1[[#This Row],[Discount %]])</f>
        <v>37281</v>
      </c>
      <c r="T1407" s="7">
        <f>Table1_1[[#This Row],[Units Sold]]*Table1_1[[#This Row],[Unit Cost]]</f>
        <v>31110</v>
      </c>
      <c r="U1407" s="7">
        <f>Table1_1[[#This Row],[Calculated sales]]-Table1_1[[#This Row],[Total cost]]</f>
        <v>6171</v>
      </c>
      <c r="V1407" s="4">
        <f>IFERROR(Table1_1[[#This Row],[Profit/Loss]]/Table1_1[[#This Row],[Calculated sales]],0)</f>
        <v>0.16552667578659372</v>
      </c>
    </row>
    <row r="1408" spans="1:22" x14ac:dyDescent="0.25">
      <c r="A1408" s="4" t="s">
        <v>1557</v>
      </c>
      <c r="B1408" s="5">
        <v>45978</v>
      </c>
      <c r="C1408" s="4">
        <f>YEAR(Table1_1[[#This Row],[Order Dates]])</f>
        <v>2025</v>
      </c>
      <c r="D1408" s="6">
        <f>MONTH(Table1_1[[#This Row],[Order Dates]])</f>
        <v>11</v>
      </c>
      <c r="E1408" s="4" t="s">
        <v>56</v>
      </c>
      <c r="F1408" s="4" t="s">
        <v>133</v>
      </c>
      <c r="G1408" s="4" t="s">
        <v>58</v>
      </c>
      <c r="H1408" s="4" t="str">
        <f>TRIM(CLEAN(SUBSTITUTE(Table1_1[[#This Row],[Salesperson]],"   "," ")))</f>
        <v>Karthik Raman</v>
      </c>
      <c r="I1408" s="4" t="s">
        <v>52</v>
      </c>
      <c r="J1408" s="4" t="s">
        <v>59</v>
      </c>
      <c r="K1408" s="4" t="s">
        <v>69</v>
      </c>
      <c r="L1408" s="4" t="s">
        <v>121</v>
      </c>
      <c r="M1408" s="4" t="s">
        <v>23</v>
      </c>
      <c r="N1408" s="4" t="s">
        <v>94</v>
      </c>
      <c r="O1408" s="4">
        <v>2</v>
      </c>
      <c r="P1408" s="7">
        <v>3500</v>
      </c>
      <c r="Q1408" s="8">
        <v>0</v>
      </c>
      <c r="R1408" s="7">
        <v>2170</v>
      </c>
      <c r="S1408" s="7">
        <f>Table1_1[[#This Row],[Units Sold]]*Table1_1[[#This Row],[Unit Price]]*(1-Table1_1[[#This Row],[Discount %]])</f>
        <v>7000</v>
      </c>
      <c r="T1408" s="7">
        <f>Table1_1[[#This Row],[Units Sold]]*Table1_1[[#This Row],[Unit Cost]]</f>
        <v>4340</v>
      </c>
      <c r="U1408" s="7">
        <f>Table1_1[[#This Row],[Calculated sales]]-Table1_1[[#This Row],[Total cost]]</f>
        <v>2660</v>
      </c>
      <c r="V1408" s="4">
        <f>IFERROR(Table1_1[[#This Row],[Profit/Loss]]/Table1_1[[#This Row],[Calculated sales]],0)</f>
        <v>0.38</v>
      </c>
    </row>
    <row r="1409" spans="1:22" x14ac:dyDescent="0.25">
      <c r="A1409" s="4" t="s">
        <v>1558</v>
      </c>
      <c r="B1409" s="5">
        <v>45979</v>
      </c>
      <c r="C1409" s="4">
        <f>YEAR(Table1_1[[#This Row],[Order Dates]])</f>
        <v>2025</v>
      </c>
      <c r="D1409" s="6">
        <f>MONTH(Table1_1[[#This Row],[Order Dates]])</f>
        <v>11</v>
      </c>
      <c r="E1409" s="4" t="s">
        <v>37</v>
      </c>
      <c r="F1409" s="4" t="s">
        <v>67</v>
      </c>
      <c r="G1409" s="4" t="s">
        <v>68</v>
      </c>
      <c r="H1409" s="4" t="str">
        <f>TRIM(CLEAN(SUBSTITUTE(Table1_1[[#This Row],[Salesperson]],"   "," ")))</f>
        <v>Ritika Ghosh</v>
      </c>
      <c r="I1409" s="4" t="s">
        <v>92</v>
      </c>
      <c r="J1409" s="4" t="s">
        <v>59</v>
      </c>
      <c r="K1409" s="4" t="s">
        <v>73</v>
      </c>
      <c r="L1409" s="4" t="s">
        <v>113</v>
      </c>
      <c r="M1409" s="4" t="s">
        <v>49</v>
      </c>
      <c r="N1409" s="4" t="s">
        <v>24</v>
      </c>
      <c r="O1409" s="4">
        <v>2</v>
      </c>
      <c r="P1409" s="7">
        <v>31140</v>
      </c>
      <c r="Q1409" s="8">
        <v>0.18</v>
      </c>
      <c r="R1409" s="7">
        <v>20600</v>
      </c>
      <c r="S1409" s="7">
        <f>Table1_1[[#This Row],[Units Sold]]*Table1_1[[#This Row],[Unit Price]]*(1-Table1_1[[#This Row],[Discount %]])</f>
        <v>51069.600000000006</v>
      </c>
      <c r="T1409" s="7">
        <f>Table1_1[[#This Row],[Units Sold]]*Table1_1[[#This Row],[Unit Cost]]</f>
        <v>41200</v>
      </c>
      <c r="U1409" s="7">
        <f>Table1_1[[#This Row],[Calculated sales]]-Table1_1[[#This Row],[Total cost]]</f>
        <v>9869.6000000000058</v>
      </c>
      <c r="V1409" s="4">
        <f>IFERROR(Table1_1[[#This Row],[Profit/Loss]]/Table1_1[[#This Row],[Calculated sales]],0)</f>
        <v>0.19325782853204262</v>
      </c>
    </row>
    <row r="1410" spans="1:22" x14ac:dyDescent="0.25">
      <c r="A1410" s="4" t="s">
        <v>1559</v>
      </c>
      <c r="B1410" s="5">
        <v>45979</v>
      </c>
      <c r="C1410" s="4">
        <f>YEAR(Table1_1[[#This Row],[Order Dates]])</f>
        <v>2025</v>
      </c>
      <c r="D1410" s="6">
        <f>MONTH(Table1_1[[#This Row],[Order Dates]])</f>
        <v>11</v>
      </c>
      <c r="E1410" s="4" t="s">
        <v>56</v>
      </c>
      <c r="F1410" s="4" t="s">
        <v>133</v>
      </c>
      <c r="G1410" s="4" t="s">
        <v>91</v>
      </c>
      <c r="H1410" s="4" t="str">
        <f>TRIM(CLEAN(SUBSTITUTE(Table1_1[[#This Row],[Salesperson]],"   "," ")))</f>
        <v>Anjali Menon</v>
      </c>
      <c r="I1410" s="4" t="s">
        <v>19</v>
      </c>
      <c r="J1410" s="4" t="s">
        <v>20</v>
      </c>
      <c r="K1410" s="4" t="s">
        <v>87</v>
      </c>
      <c r="L1410" s="4" t="s">
        <v>1674</v>
      </c>
      <c r="M1410" s="4" t="s">
        <v>23</v>
      </c>
      <c r="N1410" s="4" t="s">
        <v>94</v>
      </c>
      <c r="O1410" s="4">
        <v>1</v>
      </c>
      <c r="P1410" s="7">
        <v>55020</v>
      </c>
      <c r="Q1410" s="8">
        <v>0.15</v>
      </c>
      <c r="R1410" s="7">
        <v>38810</v>
      </c>
      <c r="S1410" s="7">
        <f>Table1_1[[#This Row],[Units Sold]]*Table1_1[[#This Row],[Unit Price]]*(1-Table1_1[[#This Row],[Discount %]])</f>
        <v>46767</v>
      </c>
      <c r="T1410" s="7">
        <f>Table1_1[[#This Row],[Units Sold]]*Table1_1[[#This Row],[Unit Cost]]</f>
        <v>38810</v>
      </c>
      <c r="U1410" s="7">
        <f>Table1_1[[#This Row],[Calculated sales]]-Table1_1[[#This Row],[Total cost]]</f>
        <v>7957</v>
      </c>
      <c r="V1410" s="4">
        <f>IFERROR(Table1_1[[#This Row],[Profit/Loss]]/Table1_1[[#This Row],[Calculated sales]],0)</f>
        <v>0.17014133897833944</v>
      </c>
    </row>
    <row r="1411" spans="1:22" x14ac:dyDescent="0.25">
      <c r="A1411" s="4" t="s">
        <v>1560</v>
      </c>
      <c r="B1411" s="5">
        <v>45979</v>
      </c>
      <c r="C1411" s="4">
        <f>YEAR(Table1_1[[#This Row],[Order Dates]])</f>
        <v>2025</v>
      </c>
      <c r="D1411" s="6">
        <f>MONTH(Table1_1[[#This Row],[Order Dates]])</f>
        <v>11</v>
      </c>
      <c r="E1411" s="4" t="s">
        <v>56</v>
      </c>
      <c r="F1411" s="4" t="s">
        <v>103</v>
      </c>
      <c r="G1411" s="4" t="s">
        <v>134</v>
      </c>
      <c r="H1411" s="4" t="str">
        <f>TRIM(CLEAN(SUBSTITUTE(Table1_1[[#This Row],[Salesperson]],"   "," ")))</f>
        <v>Divya Nair</v>
      </c>
      <c r="I1411" s="4" t="s">
        <v>19</v>
      </c>
      <c r="J1411" s="4" t="s">
        <v>83</v>
      </c>
      <c r="K1411" s="4" t="s">
        <v>136</v>
      </c>
      <c r="L1411" s="4" t="s">
        <v>307</v>
      </c>
      <c r="M1411" s="4" t="s">
        <v>40</v>
      </c>
      <c r="N1411" s="4" t="s">
        <v>24</v>
      </c>
      <c r="O1411" s="4">
        <v>8</v>
      </c>
      <c r="P1411" s="7">
        <v>890</v>
      </c>
      <c r="Q1411" s="8">
        <v>0</v>
      </c>
      <c r="R1411" s="7">
        <v>670</v>
      </c>
      <c r="S1411" s="7">
        <f>Table1_1[[#This Row],[Units Sold]]*Table1_1[[#This Row],[Unit Price]]*(1-Table1_1[[#This Row],[Discount %]])</f>
        <v>7120</v>
      </c>
      <c r="T1411" s="7">
        <f>Table1_1[[#This Row],[Units Sold]]*Table1_1[[#This Row],[Unit Cost]]</f>
        <v>5360</v>
      </c>
      <c r="U1411" s="7">
        <f>Table1_1[[#This Row],[Calculated sales]]-Table1_1[[#This Row],[Total cost]]</f>
        <v>1760</v>
      </c>
      <c r="V1411" s="4">
        <f>IFERROR(Table1_1[[#This Row],[Profit/Loss]]/Table1_1[[#This Row],[Calculated sales]],0)</f>
        <v>0.24719101123595505</v>
      </c>
    </row>
    <row r="1412" spans="1:22" x14ac:dyDescent="0.25">
      <c r="A1412" s="4" t="s">
        <v>1561</v>
      </c>
      <c r="B1412" s="5">
        <v>45979</v>
      </c>
      <c r="C1412" s="4">
        <f>YEAR(Table1_1[[#This Row],[Order Dates]])</f>
        <v>2025</v>
      </c>
      <c r="D1412" s="6">
        <f>MONTH(Table1_1[[#This Row],[Order Dates]])</f>
        <v>11</v>
      </c>
      <c r="E1412" s="4" t="s">
        <v>56</v>
      </c>
      <c r="F1412" s="4" t="s">
        <v>57</v>
      </c>
      <c r="G1412" s="4" t="s">
        <v>134</v>
      </c>
      <c r="H1412" s="4" t="str">
        <f>TRIM(CLEAN(SUBSTITUTE(Table1_1[[#This Row],[Salesperson]],"   "," ")))</f>
        <v>Divya Nair</v>
      </c>
      <c r="I1412" s="4" t="s">
        <v>19</v>
      </c>
      <c r="J1412" s="4" t="s">
        <v>20</v>
      </c>
      <c r="K1412" s="4" t="s">
        <v>87</v>
      </c>
      <c r="L1412" s="4" t="s">
        <v>1674</v>
      </c>
      <c r="M1412" s="4" t="s">
        <v>23</v>
      </c>
      <c r="N1412" s="4" t="s">
        <v>119</v>
      </c>
      <c r="O1412" s="4">
        <v>4</v>
      </c>
      <c r="P1412" s="7">
        <v>53920</v>
      </c>
      <c r="Q1412" s="8">
        <v>0.25</v>
      </c>
      <c r="R1412" s="7">
        <v>37750</v>
      </c>
      <c r="S1412" s="7">
        <f>Table1_1[[#This Row],[Units Sold]]*Table1_1[[#This Row],[Unit Price]]*(1-Table1_1[[#This Row],[Discount %]])</f>
        <v>161760</v>
      </c>
      <c r="T1412" s="7">
        <f>Table1_1[[#This Row],[Units Sold]]*Table1_1[[#This Row],[Unit Cost]]</f>
        <v>151000</v>
      </c>
      <c r="U1412" s="7">
        <f>Table1_1[[#This Row],[Calculated sales]]-Table1_1[[#This Row],[Total cost]]</f>
        <v>10760</v>
      </c>
      <c r="V1412" s="4">
        <f>IFERROR(Table1_1[[#This Row],[Profit/Loss]]/Table1_1[[#This Row],[Calculated sales]],0)</f>
        <v>6.6518298714144414E-2</v>
      </c>
    </row>
    <row r="1413" spans="1:22" x14ac:dyDescent="0.25">
      <c r="A1413" s="4" t="s">
        <v>1562</v>
      </c>
      <c r="B1413" s="5">
        <v>45979</v>
      </c>
      <c r="C1413" s="4">
        <f>YEAR(Table1_1[[#This Row],[Order Dates]])</f>
        <v>2025</v>
      </c>
      <c r="D1413" s="6">
        <f>MONTH(Table1_1[[#This Row],[Order Dates]])</f>
        <v>11</v>
      </c>
      <c r="E1413" s="4" t="s">
        <v>42</v>
      </c>
      <c r="F1413" s="4" t="s">
        <v>96</v>
      </c>
      <c r="G1413" s="4" t="s">
        <v>44</v>
      </c>
      <c r="H1413" s="4" t="str">
        <f>TRIM(CLEAN(SUBSTITUTE(Table1_1[[#This Row],[Salesperson]],"   "," ")))</f>
        <v>Simran Kaur</v>
      </c>
      <c r="I1413" s="4" t="s">
        <v>19</v>
      </c>
      <c r="J1413" s="4" t="s">
        <v>20</v>
      </c>
      <c r="K1413" s="4" t="s">
        <v>87</v>
      </c>
      <c r="L1413" s="4" t="s">
        <v>1674</v>
      </c>
      <c r="M1413" s="4" t="s">
        <v>40</v>
      </c>
      <c r="N1413" s="4" t="s">
        <v>24</v>
      </c>
      <c r="O1413" s="4">
        <v>1</v>
      </c>
      <c r="P1413" s="7">
        <v>50250</v>
      </c>
      <c r="Q1413" s="8">
        <v>0</v>
      </c>
      <c r="R1413" s="7">
        <v>37240</v>
      </c>
      <c r="S1413" s="7">
        <f>Table1_1[[#This Row],[Units Sold]]*Table1_1[[#This Row],[Unit Price]]*(1-Table1_1[[#This Row],[Discount %]])</f>
        <v>50250</v>
      </c>
      <c r="T1413" s="7">
        <f>Table1_1[[#This Row],[Units Sold]]*Table1_1[[#This Row],[Unit Cost]]</f>
        <v>37240</v>
      </c>
      <c r="U1413" s="7">
        <f>Table1_1[[#This Row],[Calculated sales]]-Table1_1[[#This Row],[Total cost]]</f>
        <v>13010</v>
      </c>
      <c r="V1413" s="4">
        <f>IFERROR(Table1_1[[#This Row],[Profit/Loss]]/Table1_1[[#This Row],[Calculated sales]],0)</f>
        <v>0.2589054726368159</v>
      </c>
    </row>
    <row r="1414" spans="1:22" x14ac:dyDescent="0.25">
      <c r="A1414" s="4" t="s">
        <v>1563</v>
      </c>
      <c r="B1414" s="5">
        <v>45980</v>
      </c>
      <c r="C1414" s="4">
        <f>YEAR(Table1_1[[#This Row],[Order Dates]])</f>
        <v>2025</v>
      </c>
      <c r="D1414" s="6">
        <f>MONTH(Table1_1[[#This Row],[Order Dates]])</f>
        <v>11</v>
      </c>
      <c r="E1414" s="4" t="s">
        <v>42</v>
      </c>
      <c r="F1414" s="4" t="s">
        <v>130</v>
      </c>
      <c r="G1414" s="4" t="s">
        <v>44</v>
      </c>
      <c r="H1414" s="4" t="str">
        <f>TRIM(CLEAN(SUBSTITUTE(Table1_1[[#This Row],[Salesperson]],"   "," ")))</f>
        <v>Simran Kaur</v>
      </c>
      <c r="I1414" s="4" t="s">
        <v>52</v>
      </c>
      <c r="J1414" s="4" t="s">
        <v>20</v>
      </c>
      <c r="K1414" s="4" t="s">
        <v>109</v>
      </c>
      <c r="L1414" s="4" t="s">
        <v>159</v>
      </c>
      <c r="M1414" s="4" t="s">
        <v>23</v>
      </c>
      <c r="N1414" s="4" t="s">
        <v>24</v>
      </c>
      <c r="O1414" s="4">
        <v>1</v>
      </c>
      <c r="P1414" s="7">
        <v>17910</v>
      </c>
      <c r="Q1414" s="8">
        <v>0.12</v>
      </c>
      <c r="R1414" s="7">
        <v>13440</v>
      </c>
      <c r="S1414" s="7">
        <f>Table1_1[[#This Row],[Units Sold]]*Table1_1[[#This Row],[Unit Price]]*(1-Table1_1[[#This Row],[Discount %]])</f>
        <v>15760.8</v>
      </c>
      <c r="T1414" s="7">
        <f>Table1_1[[#This Row],[Units Sold]]*Table1_1[[#This Row],[Unit Cost]]</f>
        <v>13440</v>
      </c>
      <c r="U1414" s="7">
        <f>Table1_1[[#This Row],[Calculated sales]]-Table1_1[[#This Row],[Total cost]]</f>
        <v>2320.7999999999993</v>
      </c>
      <c r="V1414" s="4">
        <f>IFERROR(Table1_1[[#This Row],[Profit/Loss]]/Table1_1[[#This Row],[Calculated sales]],0)</f>
        <v>0.14725140855794119</v>
      </c>
    </row>
    <row r="1415" spans="1:22" x14ac:dyDescent="0.25">
      <c r="A1415" s="4" t="s">
        <v>1564</v>
      </c>
      <c r="B1415" s="5">
        <v>45980</v>
      </c>
      <c r="C1415" s="4">
        <f>YEAR(Table1_1[[#This Row],[Order Dates]])</f>
        <v>2025</v>
      </c>
      <c r="D1415" s="6">
        <f>MONTH(Table1_1[[#This Row],[Order Dates]])</f>
        <v>11</v>
      </c>
      <c r="E1415" s="4" t="s">
        <v>76</v>
      </c>
      <c r="F1415" s="4" t="s">
        <v>77</v>
      </c>
      <c r="G1415" s="4" t="s">
        <v>170</v>
      </c>
      <c r="H1415" s="4" t="str">
        <f>TRIM(CLEAN(SUBSTITUTE(Table1_1[[#This Row],[Salesperson]],"   "," ")))</f>
        <v>Manish Tiwari</v>
      </c>
      <c r="I1415" s="4" t="s">
        <v>19</v>
      </c>
      <c r="J1415" s="4" t="s">
        <v>83</v>
      </c>
      <c r="K1415" s="4" t="s">
        <v>84</v>
      </c>
      <c r="L1415" s="4" t="s">
        <v>1671</v>
      </c>
      <c r="M1415" s="4" t="s">
        <v>40</v>
      </c>
      <c r="N1415" s="4" t="s">
        <v>24</v>
      </c>
      <c r="O1415" s="4">
        <v>20</v>
      </c>
      <c r="P1415" s="7">
        <v>2400</v>
      </c>
      <c r="Q1415" s="8">
        <v>0</v>
      </c>
      <c r="R1415" s="7">
        <v>1370</v>
      </c>
      <c r="S1415" s="7">
        <f>Table1_1[[#This Row],[Units Sold]]*Table1_1[[#This Row],[Unit Price]]*(1-Table1_1[[#This Row],[Discount %]])</f>
        <v>48000</v>
      </c>
      <c r="T1415" s="7">
        <f>Table1_1[[#This Row],[Units Sold]]*Table1_1[[#This Row],[Unit Cost]]</f>
        <v>27400</v>
      </c>
      <c r="U1415" s="7">
        <f>Table1_1[[#This Row],[Calculated sales]]-Table1_1[[#This Row],[Total cost]]</f>
        <v>20600</v>
      </c>
      <c r="V1415" s="4">
        <f>IFERROR(Table1_1[[#This Row],[Profit/Loss]]/Table1_1[[#This Row],[Calculated sales]],0)</f>
        <v>0.42916666666666664</v>
      </c>
    </row>
    <row r="1416" spans="1:22" x14ac:dyDescent="0.25">
      <c r="A1416" s="4" t="s">
        <v>1565</v>
      </c>
      <c r="B1416" s="5">
        <v>45980</v>
      </c>
      <c r="C1416" s="4">
        <f>YEAR(Table1_1[[#This Row],[Order Dates]])</f>
        <v>2025</v>
      </c>
      <c r="D1416" s="6">
        <f>MONTH(Table1_1[[#This Row],[Order Dates]])</f>
        <v>11</v>
      </c>
      <c r="E1416" s="4" t="s">
        <v>56</v>
      </c>
      <c r="F1416" s="4" t="s">
        <v>72</v>
      </c>
      <c r="G1416" s="4" t="s">
        <v>134</v>
      </c>
      <c r="H1416" s="4" t="str">
        <f>TRIM(CLEAN(SUBSTITUTE(Table1_1[[#This Row],[Salesperson]],"   "," ")))</f>
        <v>Divya Nair</v>
      </c>
      <c r="I1416" s="4" t="s">
        <v>19</v>
      </c>
      <c r="J1416" s="4" t="s">
        <v>20</v>
      </c>
      <c r="K1416" s="4" t="s">
        <v>21</v>
      </c>
      <c r="L1416" s="4" t="s">
        <v>1670</v>
      </c>
      <c r="M1416" s="4" t="s">
        <v>49</v>
      </c>
      <c r="N1416" s="4" t="s">
        <v>24</v>
      </c>
      <c r="O1416" s="4">
        <v>14</v>
      </c>
      <c r="P1416" s="7">
        <v>8770</v>
      </c>
      <c r="Q1416" s="8">
        <v>0.12</v>
      </c>
      <c r="R1416" s="7">
        <v>5880</v>
      </c>
      <c r="S1416" s="7">
        <f>Table1_1[[#This Row],[Units Sold]]*Table1_1[[#This Row],[Unit Price]]*(1-Table1_1[[#This Row],[Discount %]])</f>
        <v>108046.39999999999</v>
      </c>
      <c r="T1416" s="7">
        <f>Table1_1[[#This Row],[Units Sold]]*Table1_1[[#This Row],[Unit Cost]]</f>
        <v>82320</v>
      </c>
      <c r="U1416" s="7">
        <f>Table1_1[[#This Row],[Calculated sales]]-Table1_1[[#This Row],[Total cost]]</f>
        <v>25726.399999999994</v>
      </c>
      <c r="V1416" s="4">
        <f>IFERROR(Table1_1[[#This Row],[Profit/Loss]]/Table1_1[[#This Row],[Calculated sales]],0)</f>
        <v>0.23810511039701457</v>
      </c>
    </row>
    <row r="1417" spans="1:22" x14ac:dyDescent="0.25">
      <c r="A1417" s="4" t="s">
        <v>1566</v>
      </c>
      <c r="B1417" s="5">
        <v>45980</v>
      </c>
      <c r="C1417" s="4">
        <f>YEAR(Table1_1[[#This Row],[Order Dates]])</f>
        <v>2025</v>
      </c>
      <c r="D1417" s="6">
        <f>MONTH(Table1_1[[#This Row],[Order Dates]])</f>
        <v>11</v>
      </c>
      <c r="E1417" s="4" t="s">
        <v>56</v>
      </c>
      <c r="F1417" s="4" t="s">
        <v>57</v>
      </c>
      <c r="G1417" s="4" t="s">
        <v>58</v>
      </c>
      <c r="H1417" s="4" t="str">
        <f>TRIM(CLEAN(SUBSTITUTE(Table1_1[[#This Row],[Salesperson]],"   "," ")))</f>
        <v>Karthik Raman</v>
      </c>
      <c r="I1417" s="4" t="s">
        <v>92</v>
      </c>
      <c r="J1417" s="4" t="s">
        <v>83</v>
      </c>
      <c r="K1417" s="4" t="s">
        <v>136</v>
      </c>
      <c r="L1417" s="4" t="s">
        <v>137</v>
      </c>
      <c r="M1417" s="4" t="s">
        <v>40</v>
      </c>
      <c r="N1417" s="4" t="s">
        <v>24</v>
      </c>
      <c r="O1417" s="4">
        <v>23</v>
      </c>
      <c r="P1417" s="7">
        <v>1580</v>
      </c>
      <c r="Q1417" s="8">
        <v>0.18</v>
      </c>
      <c r="R1417" s="7">
        <v>940</v>
      </c>
      <c r="S1417" s="7">
        <f>Table1_1[[#This Row],[Units Sold]]*Table1_1[[#This Row],[Unit Price]]*(1-Table1_1[[#This Row],[Discount %]])</f>
        <v>29798.800000000003</v>
      </c>
      <c r="T1417" s="7">
        <f>Table1_1[[#This Row],[Units Sold]]*Table1_1[[#This Row],[Unit Cost]]</f>
        <v>21620</v>
      </c>
      <c r="U1417" s="7">
        <f>Table1_1[[#This Row],[Calculated sales]]-Table1_1[[#This Row],[Total cost]]</f>
        <v>8178.8000000000029</v>
      </c>
      <c r="V1417" s="4">
        <f>IFERROR(Table1_1[[#This Row],[Profit/Loss]]/Table1_1[[#This Row],[Calculated sales]],0)</f>
        <v>0.27446742821858605</v>
      </c>
    </row>
    <row r="1418" spans="1:22" x14ac:dyDescent="0.25">
      <c r="A1418" s="4" t="s">
        <v>1567</v>
      </c>
      <c r="B1418" s="5">
        <v>45980</v>
      </c>
      <c r="C1418" s="4">
        <f>YEAR(Table1_1[[#This Row],[Order Dates]])</f>
        <v>2025</v>
      </c>
      <c r="D1418" s="6">
        <f>MONTH(Table1_1[[#This Row],[Order Dates]])</f>
        <v>11</v>
      </c>
      <c r="E1418" s="4" t="s">
        <v>76</v>
      </c>
      <c r="F1418" s="4" t="s">
        <v>112</v>
      </c>
      <c r="G1418" s="4" t="s">
        <v>78</v>
      </c>
      <c r="H1418" s="4" t="str">
        <f>TRIM(CLEAN(SUBSTITUTE(Table1_1[[#This Row],[Salesperson]],"   "," ")))</f>
        <v>Pooja Chouhan</v>
      </c>
      <c r="I1418" s="4" t="s">
        <v>52</v>
      </c>
      <c r="J1418" s="4" t="s">
        <v>27</v>
      </c>
      <c r="K1418" s="4" t="s">
        <v>214</v>
      </c>
      <c r="L1418" s="4" t="s">
        <v>1681</v>
      </c>
      <c r="M1418" s="4" t="s">
        <v>40</v>
      </c>
      <c r="N1418" s="4" t="s">
        <v>119</v>
      </c>
      <c r="O1418" s="4">
        <v>4</v>
      </c>
      <c r="P1418" s="7">
        <v>14590</v>
      </c>
      <c r="Q1418" s="8">
        <v>0</v>
      </c>
      <c r="R1418" s="7">
        <v>9710</v>
      </c>
      <c r="S1418" s="7">
        <f>Table1_1[[#This Row],[Units Sold]]*Table1_1[[#This Row],[Unit Price]]*(1-Table1_1[[#This Row],[Discount %]])</f>
        <v>58360</v>
      </c>
      <c r="T1418" s="7">
        <f>Table1_1[[#This Row],[Units Sold]]*Table1_1[[#This Row],[Unit Cost]]</f>
        <v>38840</v>
      </c>
      <c r="U1418" s="7">
        <f>Table1_1[[#This Row],[Calculated sales]]-Table1_1[[#This Row],[Total cost]]</f>
        <v>19520</v>
      </c>
      <c r="V1418" s="4">
        <f>IFERROR(Table1_1[[#This Row],[Profit/Loss]]/Table1_1[[#This Row],[Calculated sales]],0)</f>
        <v>0.33447566826593556</v>
      </c>
    </row>
    <row r="1419" spans="1:22" x14ac:dyDescent="0.25">
      <c r="A1419" s="4" t="s">
        <v>1568</v>
      </c>
      <c r="B1419" s="5">
        <v>45981</v>
      </c>
      <c r="C1419" s="4">
        <f>YEAR(Table1_1[[#This Row],[Order Dates]])</f>
        <v>2025</v>
      </c>
      <c r="D1419" s="6">
        <f>MONTH(Table1_1[[#This Row],[Order Dates]])</f>
        <v>11</v>
      </c>
      <c r="E1419" s="4" t="s">
        <v>76</v>
      </c>
      <c r="F1419" s="4" t="s">
        <v>150</v>
      </c>
      <c r="G1419" s="4" t="s">
        <v>78</v>
      </c>
      <c r="H1419" s="4" t="str">
        <f>TRIM(CLEAN(SUBSTITUTE(Table1_1[[#This Row],[Salesperson]],"   "," ")))</f>
        <v>Pooja Chouhan</v>
      </c>
      <c r="I1419" s="4" t="s">
        <v>19</v>
      </c>
      <c r="J1419" s="4" t="s">
        <v>27</v>
      </c>
      <c r="K1419" s="4" t="s">
        <v>214</v>
      </c>
      <c r="L1419" s="4" t="s">
        <v>1681</v>
      </c>
      <c r="M1419" s="4" t="s">
        <v>40</v>
      </c>
      <c r="N1419" s="4" t="s">
        <v>94</v>
      </c>
      <c r="O1419" s="4">
        <v>1</v>
      </c>
      <c r="P1419" s="7">
        <v>14060</v>
      </c>
      <c r="Q1419" s="8">
        <v>0.15</v>
      </c>
      <c r="R1419" s="7">
        <v>9500</v>
      </c>
      <c r="S1419" s="7">
        <f>Table1_1[[#This Row],[Units Sold]]*Table1_1[[#This Row],[Unit Price]]*(1-Table1_1[[#This Row],[Discount %]])</f>
        <v>11951</v>
      </c>
      <c r="T1419" s="7">
        <f>Table1_1[[#This Row],[Units Sold]]*Table1_1[[#This Row],[Unit Cost]]</f>
        <v>9500</v>
      </c>
      <c r="U1419" s="7">
        <f>Table1_1[[#This Row],[Calculated sales]]-Table1_1[[#This Row],[Total cost]]</f>
        <v>2451</v>
      </c>
      <c r="V1419" s="4">
        <f>IFERROR(Table1_1[[#This Row],[Profit/Loss]]/Table1_1[[#This Row],[Calculated sales]],0)</f>
        <v>0.20508744038155802</v>
      </c>
    </row>
    <row r="1420" spans="1:22" x14ac:dyDescent="0.25">
      <c r="A1420" s="4" t="s">
        <v>1569</v>
      </c>
      <c r="B1420" s="5">
        <v>45981</v>
      </c>
      <c r="C1420" s="4">
        <f>YEAR(Table1_1[[#This Row],[Order Dates]])</f>
        <v>2025</v>
      </c>
      <c r="D1420" s="6">
        <f>MONTH(Table1_1[[#This Row],[Order Dates]])</f>
        <v>11</v>
      </c>
      <c r="E1420" s="4" t="s">
        <v>76</v>
      </c>
      <c r="F1420" s="4" t="s">
        <v>125</v>
      </c>
      <c r="G1420" s="4" t="s">
        <v>78</v>
      </c>
      <c r="H1420" s="4" t="str">
        <f>TRIM(CLEAN(SUBSTITUTE(Table1_1[[#This Row],[Salesperson]],"   "," ")))</f>
        <v>Pooja Chouhan</v>
      </c>
      <c r="I1420" s="4" t="s">
        <v>19</v>
      </c>
      <c r="J1420" s="4" t="s">
        <v>20</v>
      </c>
      <c r="K1420" s="4" t="s">
        <v>21</v>
      </c>
      <c r="L1420" s="4" t="s">
        <v>1682</v>
      </c>
      <c r="M1420" s="4" t="s">
        <v>23</v>
      </c>
      <c r="N1420" s="4" t="s">
        <v>24</v>
      </c>
      <c r="O1420" s="4">
        <v>11</v>
      </c>
      <c r="P1420" s="7">
        <v>9880</v>
      </c>
      <c r="Q1420" s="8">
        <v>0.05</v>
      </c>
      <c r="R1420" s="7">
        <v>5850</v>
      </c>
      <c r="S1420" s="7">
        <f>Table1_1[[#This Row],[Units Sold]]*Table1_1[[#This Row],[Unit Price]]*(1-Table1_1[[#This Row],[Discount %]])</f>
        <v>103246</v>
      </c>
      <c r="T1420" s="7">
        <f>Table1_1[[#This Row],[Units Sold]]*Table1_1[[#This Row],[Unit Cost]]</f>
        <v>64350</v>
      </c>
      <c r="U1420" s="7">
        <f>Table1_1[[#This Row],[Calculated sales]]-Table1_1[[#This Row],[Total cost]]</f>
        <v>38896</v>
      </c>
      <c r="V1420" s="4">
        <f>IFERROR(Table1_1[[#This Row],[Profit/Loss]]/Table1_1[[#This Row],[Calculated sales]],0)</f>
        <v>0.37673130193905818</v>
      </c>
    </row>
    <row r="1421" spans="1:22" x14ac:dyDescent="0.25">
      <c r="A1421" s="4" t="s">
        <v>1570</v>
      </c>
      <c r="B1421" s="5">
        <v>45983</v>
      </c>
      <c r="C1421" s="4">
        <f>YEAR(Table1_1[[#This Row],[Order Dates]])</f>
        <v>2025</v>
      </c>
      <c r="D1421" s="6">
        <f>MONTH(Table1_1[[#This Row],[Order Dates]])</f>
        <v>11</v>
      </c>
      <c r="E1421" s="4" t="s">
        <v>56</v>
      </c>
      <c r="F1421" s="4" t="s">
        <v>103</v>
      </c>
      <c r="G1421" s="4" t="s">
        <v>91</v>
      </c>
      <c r="H1421" s="4" t="str">
        <f>TRIM(CLEAN(SUBSTITUTE(Table1_1[[#This Row],[Salesperson]],"   "," ")))</f>
        <v>Anjali Menon</v>
      </c>
      <c r="I1421" s="4" t="s">
        <v>92</v>
      </c>
      <c r="J1421" s="4" t="s">
        <v>27</v>
      </c>
      <c r="K1421" s="4" t="s">
        <v>53</v>
      </c>
      <c r="L1421" s="4" t="s">
        <v>1676</v>
      </c>
      <c r="M1421" s="4" t="s">
        <v>23</v>
      </c>
      <c r="N1421" s="4" t="s">
        <v>24</v>
      </c>
      <c r="O1421" s="4">
        <v>3</v>
      </c>
      <c r="P1421" s="7">
        <v>35430</v>
      </c>
      <c r="Q1421" s="8">
        <v>0</v>
      </c>
      <c r="R1421" s="7">
        <v>23350</v>
      </c>
      <c r="S1421" s="7">
        <f>Table1_1[[#This Row],[Units Sold]]*Table1_1[[#This Row],[Unit Price]]*(1-Table1_1[[#This Row],[Discount %]])</f>
        <v>106290</v>
      </c>
      <c r="T1421" s="7">
        <f>Table1_1[[#This Row],[Units Sold]]*Table1_1[[#This Row],[Unit Cost]]</f>
        <v>70050</v>
      </c>
      <c r="U1421" s="7">
        <f>Table1_1[[#This Row],[Calculated sales]]-Table1_1[[#This Row],[Total cost]]</f>
        <v>36240</v>
      </c>
      <c r="V1421" s="4">
        <f>IFERROR(Table1_1[[#This Row],[Profit/Loss]]/Table1_1[[#This Row],[Calculated sales]],0)</f>
        <v>0.34095399379057295</v>
      </c>
    </row>
    <row r="1422" spans="1:22" x14ac:dyDescent="0.25">
      <c r="A1422" s="4" t="s">
        <v>1571</v>
      </c>
      <c r="B1422" s="5">
        <v>45983</v>
      </c>
      <c r="C1422" s="4">
        <f>YEAR(Table1_1[[#This Row],[Order Dates]])</f>
        <v>2025</v>
      </c>
      <c r="D1422" s="6">
        <f>MONTH(Table1_1[[#This Row],[Order Dates]])</f>
        <v>11</v>
      </c>
      <c r="E1422" s="4" t="s">
        <v>56</v>
      </c>
      <c r="F1422" s="4" t="s">
        <v>103</v>
      </c>
      <c r="G1422" s="4" t="s">
        <v>91</v>
      </c>
      <c r="H1422" s="4" t="str">
        <f>TRIM(CLEAN(SUBSTITUTE(Table1_1[[#This Row],[Salesperson]],"   "," ")))</f>
        <v>Anjali Menon</v>
      </c>
      <c r="I1422" s="4" t="s">
        <v>92</v>
      </c>
      <c r="J1422" s="4" t="s">
        <v>46</v>
      </c>
      <c r="K1422" s="4" t="s">
        <v>100</v>
      </c>
      <c r="L1422" s="4" t="s">
        <v>101</v>
      </c>
      <c r="M1422" s="4" t="s">
        <v>40</v>
      </c>
      <c r="N1422" s="4" t="s">
        <v>24</v>
      </c>
      <c r="O1422" s="4">
        <v>16</v>
      </c>
      <c r="P1422" s="7">
        <v>2000</v>
      </c>
      <c r="Q1422" s="8">
        <v>0.1</v>
      </c>
      <c r="R1422" s="7">
        <v>1450</v>
      </c>
      <c r="S1422" s="7">
        <f>Table1_1[[#This Row],[Units Sold]]*Table1_1[[#This Row],[Unit Price]]*(1-Table1_1[[#This Row],[Discount %]])</f>
        <v>28800</v>
      </c>
      <c r="T1422" s="7">
        <f>Table1_1[[#This Row],[Units Sold]]*Table1_1[[#This Row],[Unit Cost]]</f>
        <v>23200</v>
      </c>
      <c r="U1422" s="7">
        <f>Table1_1[[#This Row],[Calculated sales]]-Table1_1[[#This Row],[Total cost]]</f>
        <v>5600</v>
      </c>
      <c r="V1422" s="4">
        <f>IFERROR(Table1_1[[#This Row],[Profit/Loss]]/Table1_1[[#This Row],[Calculated sales]],0)</f>
        <v>0.19444444444444445</v>
      </c>
    </row>
    <row r="1423" spans="1:22" x14ac:dyDescent="0.25">
      <c r="A1423" s="4" t="s">
        <v>1572</v>
      </c>
      <c r="B1423" s="5">
        <v>45984</v>
      </c>
      <c r="C1423" s="4">
        <f>YEAR(Table1_1[[#This Row],[Order Dates]])</f>
        <v>2025</v>
      </c>
      <c r="D1423" s="6">
        <f>MONTH(Table1_1[[#This Row],[Order Dates]])</f>
        <v>11</v>
      </c>
      <c r="E1423" s="4" t="s">
        <v>56</v>
      </c>
      <c r="F1423" s="4" t="s">
        <v>127</v>
      </c>
      <c r="G1423" s="4" t="s">
        <v>91</v>
      </c>
      <c r="H1423" s="4" t="str">
        <f>TRIM(CLEAN(SUBSTITUTE(Table1_1[[#This Row],[Salesperson]],"   "," ")))</f>
        <v>Anjali Menon</v>
      </c>
      <c r="I1423" s="4" t="s">
        <v>19</v>
      </c>
      <c r="J1423" s="4" t="s">
        <v>20</v>
      </c>
      <c r="K1423" s="4" t="s">
        <v>21</v>
      </c>
      <c r="L1423" s="4" t="s">
        <v>1667</v>
      </c>
      <c r="M1423" s="4" t="s">
        <v>49</v>
      </c>
      <c r="N1423" s="4" t="s">
        <v>24</v>
      </c>
      <c r="O1423" s="4">
        <v>12</v>
      </c>
      <c r="P1423" s="7">
        <v>1710</v>
      </c>
      <c r="Q1423" s="8">
        <v>0</v>
      </c>
      <c r="R1423" s="7">
        <v>1110</v>
      </c>
      <c r="S1423" s="7">
        <f>Table1_1[[#This Row],[Units Sold]]*Table1_1[[#This Row],[Unit Price]]*(1-Table1_1[[#This Row],[Discount %]])</f>
        <v>20520</v>
      </c>
      <c r="T1423" s="7">
        <f>Table1_1[[#This Row],[Units Sold]]*Table1_1[[#This Row],[Unit Cost]]</f>
        <v>13320</v>
      </c>
      <c r="U1423" s="7">
        <f>Table1_1[[#This Row],[Calculated sales]]-Table1_1[[#This Row],[Total cost]]</f>
        <v>7200</v>
      </c>
      <c r="V1423" s="4">
        <f>IFERROR(Table1_1[[#This Row],[Profit/Loss]]/Table1_1[[#This Row],[Calculated sales]],0)</f>
        <v>0.35087719298245612</v>
      </c>
    </row>
    <row r="1424" spans="1:22" x14ac:dyDescent="0.25">
      <c r="A1424" s="4" t="s">
        <v>1573</v>
      </c>
      <c r="B1424" s="5">
        <v>45984</v>
      </c>
      <c r="C1424" s="4">
        <f>YEAR(Table1_1[[#This Row],[Order Dates]])</f>
        <v>2025</v>
      </c>
      <c r="D1424" s="6">
        <f>MONTH(Table1_1[[#This Row],[Order Dates]])</f>
        <v>11</v>
      </c>
      <c r="E1424" s="4" t="s">
        <v>16</v>
      </c>
      <c r="F1424" s="4" t="s">
        <v>191</v>
      </c>
      <c r="G1424" s="4" t="s">
        <v>26</v>
      </c>
      <c r="H1424" s="4" t="str">
        <f>TRIM(CLEAN(SUBSTITUTE(Table1_1[[#This Row],[Salesperson]],"   "," ")))</f>
        <v>Prateek Shah</v>
      </c>
      <c r="I1424" s="4" t="s">
        <v>45</v>
      </c>
      <c r="J1424" s="4" t="s">
        <v>46</v>
      </c>
      <c r="K1424" s="4" t="s">
        <v>100</v>
      </c>
      <c r="L1424" s="4" t="s">
        <v>101</v>
      </c>
      <c r="M1424" s="4" t="s">
        <v>40</v>
      </c>
      <c r="N1424" s="4" t="s">
        <v>24</v>
      </c>
      <c r="O1424" s="4">
        <v>17</v>
      </c>
      <c r="P1424" s="7">
        <v>2020</v>
      </c>
      <c r="Q1424" s="8">
        <v>0</v>
      </c>
      <c r="R1424" s="7">
        <v>1440</v>
      </c>
      <c r="S1424" s="7">
        <f>Table1_1[[#This Row],[Units Sold]]*Table1_1[[#This Row],[Unit Price]]*(1-Table1_1[[#This Row],[Discount %]])</f>
        <v>34340</v>
      </c>
      <c r="T1424" s="7">
        <f>Table1_1[[#This Row],[Units Sold]]*Table1_1[[#This Row],[Unit Cost]]</f>
        <v>24480</v>
      </c>
      <c r="U1424" s="7">
        <f>Table1_1[[#This Row],[Calculated sales]]-Table1_1[[#This Row],[Total cost]]</f>
        <v>9860</v>
      </c>
      <c r="V1424" s="4">
        <f>IFERROR(Table1_1[[#This Row],[Profit/Loss]]/Table1_1[[#This Row],[Calculated sales]],0)</f>
        <v>0.28712871287128711</v>
      </c>
    </row>
    <row r="1425" spans="1:22" x14ac:dyDescent="0.25">
      <c r="A1425" s="4" t="s">
        <v>1574</v>
      </c>
      <c r="B1425" s="5">
        <v>45984</v>
      </c>
      <c r="C1425" s="4">
        <f>YEAR(Table1_1[[#This Row],[Order Dates]])</f>
        <v>2025</v>
      </c>
      <c r="D1425" s="6">
        <f>MONTH(Table1_1[[#This Row],[Order Dates]])</f>
        <v>11</v>
      </c>
      <c r="E1425" s="4" t="s">
        <v>56</v>
      </c>
      <c r="F1425" s="4" t="s">
        <v>103</v>
      </c>
      <c r="G1425" s="4" t="s">
        <v>58</v>
      </c>
      <c r="H1425" s="4" t="str">
        <f>TRIM(CLEAN(SUBSTITUTE(Table1_1[[#This Row],[Salesperson]],"   "," ")))</f>
        <v>Karthik Raman</v>
      </c>
      <c r="I1425" s="4" t="s">
        <v>19</v>
      </c>
      <c r="J1425" s="4" t="s">
        <v>20</v>
      </c>
      <c r="K1425" s="4" t="s">
        <v>21</v>
      </c>
      <c r="L1425" s="4" t="s">
        <v>1667</v>
      </c>
      <c r="M1425" s="4" t="s">
        <v>23</v>
      </c>
      <c r="N1425" s="4" t="s">
        <v>24</v>
      </c>
      <c r="O1425" s="4">
        <v>29</v>
      </c>
      <c r="P1425" s="7">
        <v>1940</v>
      </c>
      <c r="Q1425" s="8">
        <v>0.25</v>
      </c>
      <c r="R1425" s="7">
        <v>1340</v>
      </c>
      <c r="S1425" s="7">
        <f>Table1_1[[#This Row],[Units Sold]]*Table1_1[[#This Row],[Unit Price]]*(1-Table1_1[[#This Row],[Discount %]])</f>
        <v>42195</v>
      </c>
      <c r="T1425" s="7">
        <f>Table1_1[[#This Row],[Units Sold]]*Table1_1[[#This Row],[Unit Cost]]</f>
        <v>38860</v>
      </c>
      <c r="U1425" s="7">
        <f>Table1_1[[#This Row],[Calculated sales]]-Table1_1[[#This Row],[Total cost]]</f>
        <v>3335</v>
      </c>
      <c r="V1425" s="4">
        <f>IFERROR(Table1_1[[#This Row],[Profit/Loss]]/Table1_1[[#This Row],[Calculated sales]],0)</f>
        <v>7.903780068728522E-2</v>
      </c>
    </row>
    <row r="1426" spans="1:22" x14ac:dyDescent="0.25">
      <c r="A1426" s="4" t="s">
        <v>1575</v>
      </c>
      <c r="B1426" s="5">
        <v>45985</v>
      </c>
      <c r="C1426" s="4">
        <f>YEAR(Table1_1[[#This Row],[Order Dates]])</f>
        <v>2025</v>
      </c>
      <c r="D1426" s="6">
        <f>MONTH(Table1_1[[#This Row],[Order Dates]])</f>
        <v>11</v>
      </c>
      <c r="E1426" s="4" t="s">
        <v>56</v>
      </c>
      <c r="F1426" s="4" t="s">
        <v>127</v>
      </c>
      <c r="G1426" s="4" t="s">
        <v>58</v>
      </c>
      <c r="H1426" s="4" t="str">
        <f>TRIM(CLEAN(SUBSTITUTE(Table1_1[[#This Row],[Salesperson]],"   "," ")))</f>
        <v>Karthik Raman</v>
      </c>
      <c r="I1426" s="4" t="s">
        <v>19</v>
      </c>
      <c r="J1426" s="4" t="s">
        <v>83</v>
      </c>
      <c r="K1426" s="4" t="s">
        <v>84</v>
      </c>
      <c r="L1426" s="4" t="s">
        <v>1671</v>
      </c>
      <c r="M1426" s="4" t="s">
        <v>23</v>
      </c>
      <c r="N1426" s="4" t="s">
        <v>24</v>
      </c>
      <c r="O1426" s="4">
        <v>34</v>
      </c>
      <c r="P1426" s="7">
        <v>2350</v>
      </c>
      <c r="Q1426" s="8">
        <v>0.08</v>
      </c>
      <c r="R1426" s="7">
        <v>1380</v>
      </c>
      <c r="S1426" s="7">
        <f>Table1_1[[#This Row],[Units Sold]]*Table1_1[[#This Row],[Unit Price]]*(1-Table1_1[[#This Row],[Discount %]])</f>
        <v>73508</v>
      </c>
      <c r="T1426" s="7">
        <f>Table1_1[[#This Row],[Units Sold]]*Table1_1[[#This Row],[Unit Cost]]</f>
        <v>46920</v>
      </c>
      <c r="U1426" s="7">
        <f>Table1_1[[#This Row],[Calculated sales]]-Table1_1[[#This Row],[Total cost]]</f>
        <v>26588</v>
      </c>
      <c r="V1426" s="4">
        <f>IFERROR(Table1_1[[#This Row],[Profit/Loss]]/Table1_1[[#This Row],[Calculated sales]],0)</f>
        <v>0.36170212765957449</v>
      </c>
    </row>
    <row r="1427" spans="1:22" x14ac:dyDescent="0.25">
      <c r="A1427" s="4" t="s">
        <v>1576</v>
      </c>
      <c r="B1427" s="5">
        <v>45985</v>
      </c>
      <c r="C1427" s="4">
        <f>YEAR(Table1_1[[#This Row],[Order Dates]])</f>
        <v>2025</v>
      </c>
      <c r="D1427" s="6">
        <f>MONTH(Table1_1[[#This Row],[Order Dates]])</f>
        <v>11</v>
      </c>
      <c r="E1427" s="4" t="s">
        <v>56</v>
      </c>
      <c r="F1427" s="4" t="s">
        <v>72</v>
      </c>
      <c r="G1427" s="4" t="s">
        <v>58</v>
      </c>
      <c r="H1427" s="4" t="str">
        <f>TRIM(CLEAN(SUBSTITUTE(Table1_1[[#This Row],[Salesperson]],"   "," ")))</f>
        <v>Karthik Raman</v>
      </c>
      <c r="I1427" s="4" t="s">
        <v>52</v>
      </c>
      <c r="J1427" s="4" t="s">
        <v>20</v>
      </c>
      <c r="K1427" s="4" t="s">
        <v>33</v>
      </c>
      <c r="L1427" s="4" t="s">
        <v>1678</v>
      </c>
      <c r="M1427" s="4" t="s">
        <v>23</v>
      </c>
      <c r="N1427" s="4" t="s">
        <v>119</v>
      </c>
      <c r="O1427" s="4">
        <v>2</v>
      </c>
      <c r="P1427" s="7">
        <v>109980</v>
      </c>
      <c r="Q1427" s="8">
        <v>0.12</v>
      </c>
      <c r="R1427" s="7">
        <v>85130</v>
      </c>
      <c r="S1427" s="7">
        <f>Table1_1[[#This Row],[Units Sold]]*Table1_1[[#This Row],[Unit Price]]*(1-Table1_1[[#This Row],[Discount %]])</f>
        <v>193564.79999999999</v>
      </c>
      <c r="T1427" s="7">
        <f>Table1_1[[#This Row],[Units Sold]]*Table1_1[[#This Row],[Unit Cost]]</f>
        <v>170260</v>
      </c>
      <c r="U1427" s="7">
        <f>Table1_1[[#This Row],[Calculated sales]]-Table1_1[[#This Row],[Total cost]]</f>
        <v>23304.799999999988</v>
      </c>
      <c r="V1427" s="4">
        <f>IFERROR(Table1_1[[#This Row],[Profit/Loss]]/Table1_1[[#This Row],[Calculated sales]],0)</f>
        <v>0.1203979235894129</v>
      </c>
    </row>
    <row r="1428" spans="1:22" x14ac:dyDescent="0.25">
      <c r="A1428" s="4" t="s">
        <v>1577</v>
      </c>
      <c r="B1428" s="5">
        <v>45985</v>
      </c>
      <c r="C1428" s="4">
        <f>YEAR(Table1_1[[#This Row],[Order Dates]])</f>
        <v>2025</v>
      </c>
      <c r="D1428" s="6">
        <f>MONTH(Table1_1[[#This Row],[Order Dates]])</f>
        <v>11</v>
      </c>
      <c r="E1428" s="4" t="s">
        <v>16</v>
      </c>
      <c r="F1428" s="4" t="s">
        <v>51</v>
      </c>
      <c r="G1428" s="4" t="s">
        <v>26</v>
      </c>
      <c r="H1428" s="4" t="str">
        <f>TRIM(CLEAN(SUBSTITUTE(Table1_1[[#This Row],[Salesperson]],"   "," ")))</f>
        <v>Prateek Shah</v>
      </c>
      <c r="I1428" s="4" t="s">
        <v>52</v>
      </c>
      <c r="J1428" s="4" t="s">
        <v>20</v>
      </c>
      <c r="K1428" s="4" t="s">
        <v>109</v>
      </c>
      <c r="L1428" s="4" t="s">
        <v>159</v>
      </c>
      <c r="M1428" s="4" t="s">
        <v>23</v>
      </c>
      <c r="N1428" s="4" t="s">
        <v>24</v>
      </c>
      <c r="O1428" s="4">
        <v>6</v>
      </c>
      <c r="P1428" s="7">
        <v>17580</v>
      </c>
      <c r="Q1428" s="8">
        <v>0.18</v>
      </c>
      <c r="R1428" s="7">
        <v>10930</v>
      </c>
      <c r="S1428" s="7">
        <f>Table1_1[[#This Row],[Units Sold]]*Table1_1[[#This Row],[Unit Price]]*(1-Table1_1[[#This Row],[Discount %]])</f>
        <v>86493.6</v>
      </c>
      <c r="T1428" s="7">
        <f>Table1_1[[#This Row],[Units Sold]]*Table1_1[[#This Row],[Unit Cost]]</f>
        <v>65580</v>
      </c>
      <c r="U1428" s="7">
        <f>Table1_1[[#This Row],[Calculated sales]]-Table1_1[[#This Row],[Total cost]]</f>
        <v>20913.600000000006</v>
      </c>
      <c r="V1428" s="4">
        <f>IFERROR(Table1_1[[#This Row],[Profit/Loss]]/Table1_1[[#This Row],[Calculated sales]],0)</f>
        <v>0.24179361247537395</v>
      </c>
    </row>
    <row r="1429" spans="1:22" x14ac:dyDescent="0.25">
      <c r="A1429" s="4" t="s">
        <v>1578</v>
      </c>
      <c r="B1429" s="5">
        <v>45985</v>
      </c>
      <c r="C1429" s="4">
        <f>YEAR(Table1_1[[#This Row],[Order Dates]])</f>
        <v>2025</v>
      </c>
      <c r="D1429" s="6">
        <f>MONTH(Table1_1[[#This Row],[Order Dates]])</f>
        <v>11</v>
      </c>
      <c r="E1429" s="4" t="s">
        <v>42</v>
      </c>
      <c r="F1429" s="4" t="s">
        <v>43</v>
      </c>
      <c r="G1429" s="4" t="s">
        <v>64</v>
      </c>
      <c r="H1429" s="4" t="str">
        <f>TRIM(CLEAN(SUBSTITUTE(Table1_1[[#This Row],[Salesperson]],"   "," ")))</f>
        <v>Aditya Verma</v>
      </c>
      <c r="I1429" s="4" t="s">
        <v>19</v>
      </c>
      <c r="J1429" s="4" t="s">
        <v>20</v>
      </c>
      <c r="K1429" s="4" t="s">
        <v>87</v>
      </c>
      <c r="L1429" s="4" t="s">
        <v>1672</v>
      </c>
      <c r="M1429" s="4" t="s">
        <v>23</v>
      </c>
      <c r="N1429" s="4" t="s">
        <v>24</v>
      </c>
      <c r="O1429" s="4">
        <v>2</v>
      </c>
      <c r="P1429" s="7">
        <v>32800</v>
      </c>
      <c r="Q1429" s="8">
        <v>0.08</v>
      </c>
      <c r="R1429" s="7">
        <v>21470</v>
      </c>
      <c r="S1429" s="7">
        <f>Table1_1[[#This Row],[Units Sold]]*Table1_1[[#This Row],[Unit Price]]*(1-Table1_1[[#This Row],[Discount %]])</f>
        <v>60352</v>
      </c>
      <c r="T1429" s="7">
        <f>Table1_1[[#This Row],[Units Sold]]*Table1_1[[#This Row],[Unit Cost]]</f>
        <v>42940</v>
      </c>
      <c r="U1429" s="7">
        <f>Table1_1[[#This Row],[Calculated sales]]-Table1_1[[#This Row],[Total cost]]</f>
        <v>17412</v>
      </c>
      <c r="V1429" s="4">
        <f>IFERROR(Table1_1[[#This Row],[Profit/Loss]]/Table1_1[[#This Row],[Calculated sales]],0)</f>
        <v>0.28850742311770944</v>
      </c>
    </row>
    <row r="1430" spans="1:22" x14ac:dyDescent="0.25">
      <c r="A1430" s="4" t="s">
        <v>1579</v>
      </c>
      <c r="B1430" s="5">
        <v>45986</v>
      </c>
      <c r="C1430" s="4">
        <f>YEAR(Table1_1[[#This Row],[Order Dates]])</f>
        <v>2025</v>
      </c>
      <c r="D1430" s="6">
        <f>MONTH(Table1_1[[#This Row],[Order Dates]])</f>
        <v>11</v>
      </c>
      <c r="E1430" s="4" t="s">
        <v>37</v>
      </c>
      <c r="F1430" s="4" t="s">
        <v>161</v>
      </c>
      <c r="G1430" s="4" t="s">
        <v>39</v>
      </c>
      <c r="H1430" s="4" t="str">
        <f>TRIM(CLEAN(SUBSTITUTE(Table1_1[[#This Row],[Salesperson]],"   "," ")))</f>
        <v>Sourav Das</v>
      </c>
      <c r="I1430" s="4" t="s">
        <v>52</v>
      </c>
      <c r="J1430" s="4" t="s">
        <v>20</v>
      </c>
      <c r="K1430" s="4" t="s">
        <v>109</v>
      </c>
      <c r="L1430" s="4" t="s">
        <v>159</v>
      </c>
      <c r="M1430" s="4" t="s">
        <v>23</v>
      </c>
      <c r="N1430" s="4" t="s">
        <v>24</v>
      </c>
      <c r="O1430" s="4">
        <v>8</v>
      </c>
      <c r="P1430" s="7">
        <v>17770</v>
      </c>
      <c r="Q1430" s="8">
        <v>0.15</v>
      </c>
      <c r="R1430" s="7">
        <v>10740</v>
      </c>
      <c r="S1430" s="7">
        <f>Table1_1[[#This Row],[Units Sold]]*Table1_1[[#This Row],[Unit Price]]*(1-Table1_1[[#This Row],[Discount %]])</f>
        <v>120836</v>
      </c>
      <c r="T1430" s="7">
        <f>Table1_1[[#This Row],[Units Sold]]*Table1_1[[#This Row],[Unit Cost]]</f>
        <v>85920</v>
      </c>
      <c r="U1430" s="7">
        <f>Table1_1[[#This Row],[Calculated sales]]-Table1_1[[#This Row],[Total cost]]</f>
        <v>34916</v>
      </c>
      <c r="V1430" s="4">
        <f>IFERROR(Table1_1[[#This Row],[Profit/Loss]]/Table1_1[[#This Row],[Calculated sales]],0)</f>
        <v>0.28895362309245587</v>
      </c>
    </row>
    <row r="1431" spans="1:22" x14ac:dyDescent="0.25">
      <c r="A1431" s="4" t="s">
        <v>1580</v>
      </c>
      <c r="B1431" s="5">
        <v>45986</v>
      </c>
      <c r="C1431" s="4">
        <f>YEAR(Table1_1[[#This Row],[Order Dates]])</f>
        <v>2025</v>
      </c>
      <c r="D1431" s="6">
        <f>MONTH(Table1_1[[#This Row],[Order Dates]])</f>
        <v>11</v>
      </c>
      <c r="E1431" s="4" t="s">
        <v>42</v>
      </c>
      <c r="F1431" s="4" t="s">
        <v>123</v>
      </c>
      <c r="G1431" s="4" t="s">
        <v>64</v>
      </c>
      <c r="H1431" s="4" t="str">
        <f>TRIM(CLEAN(SUBSTITUTE(Table1_1[[#This Row],[Salesperson]],"   "," ")))</f>
        <v>Aditya Verma</v>
      </c>
      <c r="I1431" s="4" t="s">
        <v>19</v>
      </c>
      <c r="J1431" s="4" t="s">
        <v>46</v>
      </c>
      <c r="K1431" s="4" t="s">
        <v>47</v>
      </c>
      <c r="L1431" s="4" t="s">
        <v>48</v>
      </c>
      <c r="M1431" s="4" t="s">
        <v>23</v>
      </c>
      <c r="N1431" s="4" t="s">
        <v>24</v>
      </c>
      <c r="O1431" s="4">
        <v>17</v>
      </c>
      <c r="P1431" s="7">
        <v>1740</v>
      </c>
      <c r="Q1431" s="8">
        <v>0.2</v>
      </c>
      <c r="R1431" s="7">
        <v>1140</v>
      </c>
      <c r="S1431" s="7">
        <f>Table1_1[[#This Row],[Units Sold]]*Table1_1[[#This Row],[Unit Price]]*(1-Table1_1[[#This Row],[Discount %]])</f>
        <v>23664</v>
      </c>
      <c r="T1431" s="7">
        <f>Table1_1[[#This Row],[Units Sold]]*Table1_1[[#This Row],[Unit Cost]]</f>
        <v>19380</v>
      </c>
      <c r="U1431" s="7">
        <f>Table1_1[[#This Row],[Calculated sales]]-Table1_1[[#This Row],[Total cost]]</f>
        <v>4284</v>
      </c>
      <c r="V1431" s="4">
        <f>IFERROR(Table1_1[[#This Row],[Profit/Loss]]/Table1_1[[#This Row],[Calculated sales]],0)</f>
        <v>0.18103448275862069</v>
      </c>
    </row>
    <row r="1432" spans="1:22" x14ac:dyDescent="0.25">
      <c r="A1432" s="4" t="s">
        <v>1581</v>
      </c>
      <c r="B1432" s="5">
        <v>45987</v>
      </c>
      <c r="C1432" s="4">
        <f>YEAR(Table1_1[[#This Row],[Order Dates]])</f>
        <v>2025</v>
      </c>
      <c r="D1432" s="6">
        <f>MONTH(Table1_1[[#This Row],[Order Dates]])</f>
        <v>11</v>
      </c>
      <c r="E1432" s="4" t="s">
        <v>76</v>
      </c>
      <c r="F1432" s="4" t="s">
        <v>112</v>
      </c>
      <c r="G1432" s="4" t="s">
        <v>78</v>
      </c>
      <c r="H1432" s="4" t="str">
        <f>TRIM(CLEAN(SUBSTITUTE(Table1_1[[#This Row],[Salesperson]],"   "," ")))</f>
        <v>Pooja Chouhan</v>
      </c>
      <c r="I1432" s="4" t="s">
        <v>19</v>
      </c>
      <c r="J1432" s="4" t="s">
        <v>46</v>
      </c>
      <c r="K1432" s="4" t="s">
        <v>179</v>
      </c>
      <c r="L1432" s="4" t="s">
        <v>180</v>
      </c>
      <c r="M1432" s="4" t="s">
        <v>40</v>
      </c>
      <c r="N1432" s="4" t="s">
        <v>24</v>
      </c>
      <c r="O1432" s="4">
        <v>15</v>
      </c>
      <c r="P1432" s="7">
        <v>4060</v>
      </c>
      <c r="Q1432" s="8">
        <v>0.18</v>
      </c>
      <c r="R1432" s="7">
        <v>3160</v>
      </c>
      <c r="S1432" s="7">
        <f>Table1_1[[#This Row],[Units Sold]]*Table1_1[[#This Row],[Unit Price]]*(1-Table1_1[[#This Row],[Discount %]])</f>
        <v>49938.000000000007</v>
      </c>
      <c r="T1432" s="7">
        <f>Table1_1[[#This Row],[Units Sold]]*Table1_1[[#This Row],[Unit Cost]]</f>
        <v>47400</v>
      </c>
      <c r="U1432" s="7">
        <f>Table1_1[[#This Row],[Calculated sales]]-Table1_1[[#This Row],[Total cost]]</f>
        <v>2538.0000000000073</v>
      </c>
      <c r="V1432" s="4">
        <f>IFERROR(Table1_1[[#This Row],[Profit/Loss]]/Table1_1[[#This Row],[Calculated sales]],0)</f>
        <v>5.0823020545476529E-2</v>
      </c>
    </row>
    <row r="1433" spans="1:22" x14ac:dyDescent="0.25">
      <c r="A1433" s="4" t="s">
        <v>1582</v>
      </c>
      <c r="B1433" s="5">
        <v>45987</v>
      </c>
      <c r="C1433" s="4">
        <f>YEAR(Table1_1[[#This Row],[Order Dates]])</f>
        <v>2025</v>
      </c>
      <c r="D1433" s="6">
        <f>MONTH(Table1_1[[#This Row],[Order Dates]])</f>
        <v>11</v>
      </c>
      <c r="E1433" s="4" t="s">
        <v>56</v>
      </c>
      <c r="F1433" s="4" t="s">
        <v>143</v>
      </c>
      <c r="G1433" s="4" t="s">
        <v>58</v>
      </c>
      <c r="H1433" s="4" t="str">
        <f>TRIM(CLEAN(SUBSTITUTE(Table1_1[[#This Row],[Salesperson]],"   "," ")))</f>
        <v>Karthik Raman</v>
      </c>
      <c r="I1433" s="4" t="s">
        <v>45</v>
      </c>
      <c r="J1433" s="4" t="s">
        <v>27</v>
      </c>
      <c r="K1433" s="4" t="s">
        <v>53</v>
      </c>
      <c r="L1433" s="4" t="s">
        <v>1669</v>
      </c>
      <c r="M1433" s="4" t="s">
        <v>49</v>
      </c>
      <c r="N1433" s="4" t="s">
        <v>24</v>
      </c>
      <c r="O1433" s="4">
        <v>2</v>
      </c>
      <c r="P1433" s="7">
        <v>40000</v>
      </c>
      <c r="Q1433" s="8">
        <v>0.05</v>
      </c>
      <c r="R1433" s="7">
        <v>25430</v>
      </c>
      <c r="S1433" s="7">
        <f>Table1_1[[#This Row],[Units Sold]]*Table1_1[[#This Row],[Unit Price]]*(1-Table1_1[[#This Row],[Discount %]])</f>
        <v>76000</v>
      </c>
      <c r="T1433" s="7">
        <f>Table1_1[[#This Row],[Units Sold]]*Table1_1[[#This Row],[Unit Cost]]</f>
        <v>50860</v>
      </c>
      <c r="U1433" s="7">
        <f>Table1_1[[#This Row],[Calculated sales]]-Table1_1[[#This Row],[Total cost]]</f>
        <v>25140</v>
      </c>
      <c r="V1433" s="4">
        <f>IFERROR(Table1_1[[#This Row],[Profit/Loss]]/Table1_1[[#This Row],[Calculated sales]],0)</f>
        <v>0.33078947368421052</v>
      </c>
    </row>
    <row r="1434" spans="1:22" x14ac:dyDescent="0.25">
      <c r="A1434" s="4" t="s">
        <v>1583</v>
      </c>
      <c r="B1434" s="5">
        <v>45987</v>
      </c>
      <c r="C1434" s="4">
        <f>YEAR(Table1_1[[#This Row],[Order Dates]])</f>
        <v>2025</v>
      </c>
      <c r="D1434" s="6">
        <f>MONTH(Table1_1[[#This Row],[Order Dates]])</f>
        <v>11</v>
      </c>
      <c r="E1434" s="4" t="s">
        <v>56</v>
      </c>
      <c r="F1434" s="4" t="s">
        <v>57</v>
      </c>
      <c r="G1434" s="4" t="s">
        <v>134</v>
      </c>
      <c r="H1434" s="4" t="str">
        <f>TRIM(CLEAN(SUBSTITUTE(Table1_1[[#This Row],[Salesperson]],"   "," ")))</f>
        <v>Divya Nair</v>
      </c>
      <c r="I1434" s="4" t="s">
        <v>19</v>
      </c>
      <c r="J1434" s="4" t="s">
        <v>59</v>
      </c>
      <c r="K1434" s="4" t="s">
        <v>154</v>
      </c>
      <c r="L1434" s="4" t="s">
        <v>155</v>
      </c>
      <c r="M1434" s="4" t="s">
        <v>23</v>
      </c>
      <c r="N1434" s="4" t="s">
        <v>24</v>
      </c>
      <c r="O1434" s="4">
        <v>7</v>
      </c>
      <c r="P1434" s="7">
        <v>12420</v>
      </c>
      <c r="Q1434" s="8">
        <v>0.18</v>
      </c>
      <c r="R1434" s="7">
        <v>8210</v>
      </c>
      <c r="S1434" s="7">
        <f>Table1_1[[#This Row],[Units Sold]]*Table1_1[[#This Row],[Unit Price]]*(1-Table1_1[[#This Row],[Discount %]])</f>
        <v>71290.8</v>
      </c>
      <c r="T1434" s="7">
        <f>Table1_1[[#This Row],[Units Sold]]*Table1_1[[#This Row],[Unit Cost]]</f>
        <v>57470</v>
      </c>
      <c r="U1434" s="7">
        <f>Table1_1[[#This Row],[Calculated sales]]-Table1_1[[#This Row],[Total cost]]</f>
        <v>13820.800000000003</v>
      </c>
      <c r="V1434" s="4">
        <f>IFERROR(Table1_1[[#This Row],[Profit/Loss]]/Table1_1[[#This Row],[Calculated sales]],0)</f>
        <v>0.19386512705706771</v>
      </c>
    </row>
    <row r="1435" spans="1:22" x14ac:dyDescent="0.25">
      <c r="A1435" s="4" t="s">
        <v>1584</v>
      </c>
      <c r="B1435" s="5">
        <v>45989</v>
      </c>
      <c r="C1435" s="4">
        <f>YEAR(Table1_1[[#This Row],[Order Dates]])</f>
        <v>2025</v>
      </c>
      <c r="D1435" s="6">
        <f>MONTH(Table1_1[[#This Row],[Order Dates]])</f>
        <v>11</v>
      </c>
      <c r="E1435" s="4" t="s">
        <v>16</v>
      </c>
      <c r="F1435" s="4" t="s">
        <v>31</v>
      </c>
      <c r="G1435" s="4" t="s">
        <v>32</v>
      </c>
      <c r="H1435" s="4" t="str">
        <f>TRIM(CLEAN(SUBSTITUTE(Table1_1[[#This Row],[Salesperson]],"   "," ")))</f>
        <v>Neha Deshpande</v>
      </c>
      <c r="I1435" s="4" t="s">
        <v>19</v>
      </c>
      <c r="J1435" s="4" t="s">
        <v>46</v>
      </c>
      <c r="K1435" s="4" t="s">
        <v>100</v>
      </c>
      <c r="L1435" s="4" t="s">
        <v>101</v>
      </c>
      <c r="M1435" s="4" t="s">
        <v>49</v>
      </c>
      <c r="N1435" s="4" t="s">
        <v>24</v>
      </c>
      <c r="O1435" s="4">
        <v>19</v>
      </c>
      <c r="P1435" s="7">
        <v>1850</v>
      </c>
      <c r="Q1435" s="8">
        <v>0</v>
      </c>
      <c r="R1435" s="7">
        <v>1370</v>
      </c>
      <c r="S1435" s="7">
        <f>Table1_1[[#This Row],[Units Sold]]*Table1_1[[#This Row],[Unit Price]]*(1-Table1_1[[#This Row],[Discount %]])</f>
        <v>35150</v>
      </c>
      <c r="T1435" s="7">
        <f>Table1_1[[#This Row],[Units Sold]]*Table1_1[[#This Row],[Unit Cost]]</f>
        <v>26030</v>
      </c>
      <c r="U1435" s="7">
        <f>Table1_1[[#This Row],[Calculated sales]]-Table1_1[[#This Row],[Total cost]]</f>
        <v>9120</v>
      </c>
      <c r="V1435" s="4">
        <f>IFERROR(Table1_1[[#This Row],[Profit/Loss]]/Table1_1[[#This Row],[Calculated sales]],0)</f>
        <v>0.25945945945945947</v>
      </c>
    </row>
    <row r="1436" spans="1:22" x14ac:dyDescent="0.25">
      <c r="A1436" s="4" t="s">
        <v>1585</v>
      </c>
      <c r="B1436" s="5">
        <v>45989</v>
      </c>
      <c r="C1436" s="4">
        <f>YEAR(Table1_1[[#This Row],[Order Dates]])</f>
        <v>2025</v>
      </c>
      <c r="D1436" s="6">
        <f>MONTH(Table1_1[[#This Row],[Order Dates]])</f>
        <v>11</v>
      </c>
      <c r="E1436" s="4" t="s">
        <v>56</v>
      </c>
      <c r="F1436" s="4" t="s">
        <v>143</v>
      </c>
      <c r="G1436" s="4" t="s">
        <v>134</v>
      </c>
      <c r="H1436" s="4" t="str">
        <f>TRIM(CLEAN(SUBSTITUTE(Table1_1[[#This Row],[Salesperson]],"   "," ")))</f>
        <v>Divya Nair</v>
      </c>
      <c r="I1436" s="4" t="s">
        <v>92</v>
      </c>
      <c r="J1436" s="4" t="s">
        <v>46</v>
      </c>
      <c r="K1436" s="4" t="s">
        <v>100</v>
      </c>
      <c r="L1436" s="4" t="s">
        <v>101</v>
      </c>
      <c r="M1436" s="4" t="s">
        <v>40</v>
      </c>
      <c r="N1436" s="4" t="s">
        <v>24</v>
      </c>
      <c r="O1436" s="4">
        <v>24</v>
      </c>
      <c r="P1436" s="7">
        <v>1830</v>
      </c>
      <c r="Q1436" s="8">
        <v>0.08</v>
      </c>
      <c r="R1436" s="7">
        <v>1240</v>
      </c>
      <c r="S1436" s="7">
        <f>Table1_1[[#This Row],[Units Sold]]*Table1_1[[#This Row],[Unit Price]]*(1-Table1_1[[#This Row],[Discount %]])</f>
        <v>40406.400000000001</v>
      </c>
      <c r="T1436" s="7">
        <f>Table1_1[[#This Row],[Units Sold]]*Table1_1[[#This Row],[Unit Cost]]</f>
        <v>29760</v>
      </c>
      <c r="U1436" s="7">
        <f>Table1_1[[#This Row],[Calculated sales]]-Table1_1[[#This Row],[Total cost]]</f>
        <v>10646.400000000001</v>
      </c>
      <c r="V1436" s="4">
        <f>IFERROR(Table1_1[[#This Row],[Profit/Loss]]/Table1_1[[#This Row],[Calculated sales]],0)</f>
        <v>0.26348301259206464</v>
      </c>
    </row>
    <row r="1437" spans="1:22" x14ac:dyDescent="0.25">
      <c r="A1437" s="4" t="s">
        <v>1586</v>
      </c>
      <c r="B1437" s="5">
        <v>45989</v>
      </c>
      <c r="C1437" s="4">
        <f>YEAR(Table1_1[[#This Row],[Order Dates]])</f>
        <v>2025</v>
      </c>
      <c r="D1437" s="6">
        <f>MONTH(Table1_1[[#This Row],[Order Dates]])</f>
        <v>11</v>
      </c>
      <c r="E1437" s="4" t="s">
        <v>42</v>
      </c>
      <c r="F1437" s="4" t="s">
        <v>123</v>
      </c>
      <c r="G1437" s="4" t="s">
        <v>97</v>
      </c>
      <c r="H1437" s="4" t="str">
        <f>TRIM(CLEAN(SUBSTITUTE(Table1_1[[#This Row],[Salesperson]],"   "," ")))</f>
        <v>Rohit Malhotra</v>
      </c>
      <c r="I1437" s="4" t="s">
        <v>52</v>
      </c>
      <c r="J1437" s="4" t="s">
        <v>46</v>
      </c>
      <c r="K1437" s="4" t="s">
        <v>100</v>
      </c>
      <c r="L1437" s="4" t="s">
        <v>101</v>
      </c>
      <c r="M1437" s="4" t="s">
        <v>40</v>
      </c>
      <c r="N1437" s="4" t="s">
        <v>24</v>
      </c>
      <c r="O1437" s="4">
        <v>25</v>
      </c>
      <c r="P1437" s="7">
        <v>1870</v>
      </c>
      <c r="Q1437" s="8">
        <v>0.15</v>
      </c>
      <c r="R1437" s="7">
        <v>1130</v>
      </c>
      <c r="S1437" s="7">
        <f>Table1_1[[#This Row],[Units Sold]]*Table1_1[[#This Row],[Unit Price]]*(1-Table1_1[[#This Row],[Discount %]])</f>
        <v>39737.5</v>
      </c>
      <c r="T1437" s="7">
        <f>Table1_1[[#This Row],[Units Sold]]*Table1_1[[#This Row],[Unit Cost]]</f>
        <v>28250</v>
      </c>
      <c r="U1437" s="7">
        <f>Table1_1[[#This Row],[Calculated sales]]-Table1_1[[#This Row],[Total cost]]</f>
        <v>11487.5</v>
      </c>
      <c r="V1437" s="4">
        <f>IFERROR(Table1_1[[#This Row],[Profit/Loss]]/Table1_1[[#This Row],[Calculated sales]],0)</f>
        <v>0.28908461780434097</v>
      </c>
    </row>
    <row r="1438" spans="1:22" x14ac:dyDescent="0.25">
      <c r="A1438" s="4" t="s">
        <v>1587</v>
      </c>
      <c r="B1438" s="5">
        <v>45990</v>
      </c>
      <c r="C1438" s="4">
        <f>YEAR(Table1_1[[#This Row],[Order Dates]])</f>
        <v>2025</v>
      </c>
      <c r="D1438" s="6">
        <f>MONTH(Table1_1[[#This Row],[Order Dates]])</f>
        <v>11</v>
      </c>
      <c r="E1438" s="4" t="s">
        <v>56</v>
      </c>
      <c r="F1438" s="4" t="s">
        <v>72</v>
      </c>
      <c r="G1438" s="4" t="s">
        <v>91</v>
      </c>
      <c r="H1438" s="4" t="str">
        <f>TRIM(CLEAN(SUBSTITUTE(Table1_1[[#This Row],[Salesperson]],"   "," ")))</f>
        <v>Anjali Menon</v>
      </c>
      <c r="I1438" s="4" t="s">
        <v>92</v>
      </c>
      <c r="J1438" s="4" t="s">
        <v>59</v>
      </c>
      <c r="K1438" s="4" t="s">
        <v>73</v>
      </c>
      <c r="L1438" s="4" t="s">
        <v>113</v>
      </c>
      <c r="M1438" s="4" t="s">
        <v>23</v>
      </c>
      <c r="N1438" s="4" t="s">
        <v>35</v>
      </c>
      <c r="O1438" s="4">
        <v>2</v>
      </c>
      <c r="P1438" s="7">
        <v>32870</v>
      </c>
      <c r="Q1438" s="8">
        <v>0.08</v>
      </c>
      <c r="R1438" s="7">
        <v>21470</v>
      </c>
      <c r="S1438" s="7">
        <f>Table1_1[[#This Row],[Units Sold]]*Table1_1[[#This Row],[Unit Price]]*(1-Table1_1[[#This Row],[Discount %]])</f>
        <v>60480.800000000003</v>
      </c>
      <c r="T1438" s="7">
        <f>Table1_1[[#This Row],[Units Sold]]*Table1_1[[#This Row],[Unit Cost]]</f>
        <v>42940</v>
      </c>
      <c r="U1438" s="7">
        <f>Table1_1[[#This Row],[Calculated sales]]-Table1_1[[#This Row],[Total cost]]</f>
        <v>17540.800000000003</v>
      </c>
      <c r="V1438" s="4">
        <f>IFERROR(Table1_1[[#This Row],[Profit/Loss]]/Table1_1[[#This Row],[Calculated sales]],0)</f>
        <v>0.29002261874842927</v>
      </c>
    </row>
    <row r="1439" spans="1:22" x14ac:dyDescent="0.25">
      <c r="A1439" s="4" t="s">
        <v>1588</v>
      </c>
      <c r="B1439" s="5">
        <v>45991</v>
      </c>
      <c r="C1439" s="4">
        <f>YEAR(Table1_1[[#This Row],[Order Dates]])</f>
        <v>2025</v>
      </c>
      <c r="D1439" s="6">
        <f>MONTH(Table1_1[[#This Row],[Order Dates]])</f>
        <v>11</v>
      </c>
      <c r="E1439" s="4" t="s">
        <v>16</v>
      </c>
      <c r="F1439" s="4" t="s">
        <v>191</v>
      </c>
      <c r="G1439" s="4" t="s">
        <v>18</v>
      </c>
      <c r="H1439" s="4" t="str">
        <f>TRIM(CLEAN(SUBSTITUTE(Table1_1[[#This Row],[Salesperson]],"   "," ")))</f>
        <v>Imran Sheikh</v>
      </c>
      <c r="I1439" s="4" t="s">
        <v>19</v>
      </c>
      <c r="J1439" s="4" t="s">
        <v>59</v>
      </c>
      <c r="K1439" s="4" t="s">
        <v>69</v>
      </c>
      <c r="L1439" s="4" t="s">
        <v>70</v>
      </c>
      <c r="M1439" s="4" t="s">
        <v>40</v>
      </c>
      <c r="N1439" s="4" t="s">
        <v>24</v>
      </c>
      <c r="O1439" s="4">
        <v>8</v>
      </c>
      <c r="P1439" s="7">
        <v>26730</v>
      </c>
      <c r="Q1439" s="8">
        <v>0.12</v>
      </c>
      <c r="R1439" s="7">
        <v>15610</v>
      </c>
      <c r="S1439" s="7">
        <f>Table1_1[[#This Row],[Units Sold]]*Table1_1[[#This Row],[Unit Price]]*(1-Table1_1[[#This Row],[Discount %]])</f>
        <v>188179.20000000001</v>
      </c>
      <c r="T1439" s="7">
        <f>Table1_1[[#This Row],[Units Sold]]*Table1_1[[#This Row],[Unit Cost]]</f>
        <v>124880</v>
      </c>
      <c r="U1439" s="7">
        <f>Table1_1[[#This Row],[Calculated sales]]-Table1_1[[#This Row],[Total cost]]</f>
        <v>63299.200000000012</v>
      </c>
      <c r="V1439" s="4">
        <f>IFERROR(Table1_1[[#This Row],[Profit/Loss]]/Table1_1[[#This Row],[Calculated sales]],0)</f>
        <v>0.3363772404176445</v>
      </c>
    </row>
    <row r="1440" spans="1:22" x14ac:dyDescent="0.25">
      <c r="A1440" s="4" t="s">
        <v>1589</v>
      </c>
      <c r="B1440" s="5">
        <v>45991</v>
      </c>
      <c r="C1440" s="4">
        <f>YEAR(Table1_1[[#This Row],[Order Dates]])</f>
        <v>2025</v>
      </c>
      <c r="D1440" s="6">
        <f>MONTH(Table1_1[[#This Row],[Order Dates]])</f>
        <v>11</v>
      </c>
      <c r="E1440" s="4" t="s">
        <v>76</v>
      </c>
      <c r="F1440" s="4" t="s">
        <v>150</v>
      </c>
      <c r="G1440" s="4" t="s">
        <v>170</v>
      </c>
      <c r="H1440" s="4" t="str">
        <f>TRIM(CLEAN(SUBSTITUTE(Table1_1[[#This Row],[Salesperson]],"   "," ")))</f>
        <v>Manish Tiwari</v>
      </c>
      <c r="I1440" s="4" t="s">
        <v>19</v>
      </c>
      <c r="J1440" s="4" t="s">
        <v>59</v>
      </c>
      <c r="K1440" s="4" t="s">
        <v>69</v>
      </c>
      <c r="L1440" s="4" t="s">
        <v>70</v>
      </c>
      <c r="M1440" s="4" t="s">
        <v>40</v>
      </c>
      <c r="N1440" s="4" t="s">
        <v>24</v>
      </c>
      <c r="O1440" s="4">
        <v>6</v>
      </c>
      <c r="P1440" s="7">
        <v>28640</v>
      </c>
      <c r="Q1440" s="8">
        <v>0.1</v>
      </c>
      <c r="R1440" s="7">
        <v>19660</v>
      </c>
      <c r="S1440" s="7">
        <f>Table1_1[[#This Row],[Units Sold]]*Table1_1[[#This Row],[Unit Price]]*(1-Table1_1[[#This Row],[Discount %]])</f>
        <v>154656</v>
      </c>
      <c r="T1440" s="7">
        <f>Table1_1[[#This Row],[Units Sold]]*Table1_1[[#This Row],[Unit Cost]]</f>
        <v>117960</v>
      </c>
      <c r="U1440" s="7">
        <f>Table1_1[[#This Row],[Calculated sales]]-Table1_1[[#This Row],[Total cost]]</f>
        <v>36696</v>
      </c>
      <c r="V1440" s="4">
        <f>IFERROR(Table1_1[[#This Row],[Profit/Loss]]/Table1_1[[#This Row],[Calculated sales]],0)</f>
        <v>0.23727498448168841</v>
      </c>
    </row>
    <row r="1441" spans="1:22" x14ac:dyDescent="0.25">
      <c r="A1441" s="4" t="s">
        <v>1590</v>
      </c>
      <c r="B1441" s="5">
        <v>45992</v>
      </c>
      <c r="C1441" s="4">
        <f>YEAR(Table1_1[[#This Row],[Order Dates]])</f>
        <v>2025</v>
      </c>
      <c r="D1441" s="6">
        <f>MONTH(Table1_1[[#This Row],[Order Dates]])</f>
        <v>12</v>
      </c>
      <c r="E1441" s="4" t="s">
        <v>16</v>
      </c>
      <c r="F1441" s="4" t="s">
        <v>153</v>
      </c>
      <c r="G1441" s="4" t="s">
        <v>32</v>
      </c>
      <c r="H1441" s="4" t="str">
        <f>TRIM(CLEAN(SUBSTITUTE(Table1_1[[#This Row],[Salesperson]],"   "," ")))</f>
        <v>Neha Deshpande</v>
      </c>
      <c r="I1441" s="4" t="s">
        <v>92</v>
      </c>
      <c r="J1441" s="4" t="s">
        <v>83</v>
      </c>
      <c r="K1441" s="4" t="s">
        <v>184</v>
      </c>
      <c r="L1441" s="4" t="s">
        <v>1679</v>
      </c>
      <c r="M1441" s="4" t="s">
        <v>40</v>
      </c>
      <c r="N1441" s="4" t="s">
        <v>24</v>
      </c>
      <c r="O1441" s="4">
        <v>10</v>
      </c>
      <c r="P1441" s="7">
        <v>4820</v>
      </c>
      <c r="Q1441" s="8">
        <v>0.2</v>
      </c>
      <c r="R1441" s="7">
        <v>3730</v>
      </c>
      <c r="S1441" s="7">
        <f>Table1_1[[#This Row],[Units Sold]]*Table1_1[[#This Row],[Unit Price]]*(1-Table1_1[[#This Row],[Discount %]])</f>
        <v>38560</v>
      </c>
      <c r="T1441" s="7">
        <f>Table1_1[[#This Row],[Units Sold]]*Table1_1[[#This Row],[Unit Cost]]</f>
        <v>37300</v>
      </c>
      <c r="U1441" s="7">
        <f>Table1_1[[#This Row],[Calculated sales]]-Table1_1[[#This Row],[Total cost]]</f>
        <v>1260</v>
      </c>
      <c r="V1441" s="4">
        <f>IFERROR(Table1_1[[#This Row],[Profit/Loss]]/Table1_1[[#This Row],[Calculated sales]],0)</f>
        <v>3.2676348547717844E-2</v>
      </c>
    </row>
    <row r="1442" spans="1:22" x14ac:dyDescent="0.25">
      <c r="A1442" s="4" t="s">
        <v>1591</v>
      </c>
      <c r="B1442" s="5">
        <v>45993</v>
      </c>
      <c r="C1442" s="4">
        <f>YEAR(Table1_1[[#This Row],[Order Dates]])</f>
        <v>2025</v>
      </c>
      <c r="D1442" s="6">
        <f>MONTH(Table1_1[[#This Row],[Order Dates]])</f>
        <v>12</v>
      </c>
      <c r="E1442" s="4" t="s">
        <v>76</v>
      </c>
      <c r="F1442" s="4" t="s">
        <v>217</v>
      </c>
      <c r="G1442" s="4" t="s">
        <v>170</v>
      </c>
      <c r="H1442" s="4" t="str">
        <f>TRIM(CLEAN(SUBSTITUTE(Table1_1[[#This Row],[Salesperson]],"   "," ")))</f>
        <v>Manish Tiwari</v>
      </c>
      <c r="I1442" s="4" t="s">
        <v>19</v>
      </c>
      <c r="J1442" s="4" t="s">
        <v>46</v>
      </c>
      <c r="K1442" s="4" t="s">
        <v>100</v>
      </c>
      <c r="L1442" s="4" t="s">
        <v>101</v>
      </c>
      <c r="M1442" s="4" t="s">
        <v>40</v>
      </c>
      <c r="N1442" s="4" t="s">
        <v>24</v>
      </c>
      <c r="O1442" s="4">
        <v>16</v>
      </c>
      <c r="P1442" s="7">
        <v>1850</v>
      </c>
      <c r="Q1442" s="8">
        <v>0.12</v>
      </c>
      <c r="R1442" s="7">
        <v>1120</v>
      </c>
      <c r="S1442" s="7">
        <f>Table1_1[[#This Row],[Units Sold]]*Table1_1[[#This Row],[Unit Price]]*(1-Table1_1[[#This Row],[Discount %]])</f>
        <v>26048</v>
      </c>
      <c r="T1442" s="7">
        <f>Table1_1[[#This Row],[Units Sold]]*Table1_1[[#This Row],[Unit Cost]]</f>
        <v>17920</v>
      </c>
      <c r="U1442" s="7">
        <f>Table1_1[[#This Row],[Calculated sales]]-Table1_1[[#This Row],[Total cost]]</f>
        <v>8128</v>
      </c>
      <c r="V1442" s="4">
        <f>IFERROR(Table1_1[[#This Row],[Profit/Loss]]/Table1_1[[#This Row],[Calculated sales]],0)</f>
        <v>0.31203931203931207</v>
      </c>
    </row>
    <row r="1443" spans="1:22" x14ac:dyDescent="0.25">
      <c r="A1443" s="4" t="s">
        <v>1592</v>
      </c>
      <c r="B1443" s="5">
        <v>45993</v>
      </c>
      <c r="C1443" s="4">
        <f>YEAR(Table1_1[[#This Row],[Order Dates]])</f>
        <v>2025</v>
      </c>
      <c r="D1443" s="6">
        <f>MONTH(Table1_1[[#This Row],[Order Dates]])</f>
        <v>12</v>
      </c>
      <c r="E1443" s="4" t="s">
        <v>76</v>
      </c>
      <c r="F1443" s="4" t="s">
        <v>112</v>
      </c>
      <c r="G1443" s="4" t="s">
        <v>78</v>
      </c>
      <c r="H1443" s="4" t="str">
        <f>TRIM(CLEAN(SUBSTITUTE(Table1_1[[#This Row],[Salesperson]],"   "," ")))</f>
        <v>Pooja Chouhan</v>
      </c>
      <c r="I1443" s="4" t="s">
        <v>92</v>
      </c>
      <c r="J1443" s="4" t="s">
        <v>20</v>
      </c>
      <c r="K1443" s="4" t="s">
        <v>87</v>
      </c>
      <c r="L1443" s="4" t="s">
        <v>1672</v>
      </c>
      <c r="M1443" s="4" t="s">
        <v>23</v>
      </c>
      <c r="N1443" s="4" t="s">
        <v>24</v>
      </c>
      <c r="O1443" s="4">
        <v>6</v>
      </c>
      <c r="P1443" s="7">
        <v>30620</v>
      </c>
      <c r="Q1443" s="8">
        <v>0.2</v>
      </c>
      <c r="R1443" s="7">
        <v>18310</v>
      </c>
      <c r="S1443" s="7">
        <f>Table1_1[[#This Row],[Units Sold]]*Table1_1[[#This Row],[Unit Price]]*(1-Table1_1[[#This Row],[Discount %]])</f>
        <v>146976</v>
      </c>
      <c r="T1443" s="7">
        <f>Table1_1[[#This Row],[Units Sold]]*Table1_1[[#This Row],[Unit Cost]]</f>
        <v>109860</v>
      </c>
      <c r="U1443" s="7">
        <f>Table1_1[[#This Row],[Calculated sales]]-Table1_1[[#This Row],[Total cost]]</f>
        <v>37116</v>
      </c>
      <c r="V1443" s="4">
        <f>IFERROR(Table1_1[[#This Row],[Profit/Loss]]/Table1_1[[#This Row],[Calculated sales]],0)</f>
        <v>0.25253102547354672</v>
      </c>
    </row>
    <row r="1444" spans="1:22" x14ac:dyDescent="0.25">
      <c r="A1444" s="4" t="s">
        <v>1593</v>
      </c>
      <c r="B1444" s="5">
        <v>45994</v>
      </c>
      <c r="C1444" s="4">
        <f>YEAR(Table1_1[[#This Row],[Order Dates]])</f>
        <v>2025</v>
      </c>
      <c r="D1444" s="6">
        <f>MONTH(Table1_1[[#This Row],[Order Dates]])</f>
        <v>12</v>
      </c>
      <c r="E1444" s="4" t="s">
        <v>16</v>
      </c>
      <c r="F1444" s="4" t="s">
        <v>17</v>
      </c>
      <c r="G1444" s="4" t="s">
        <v>18</v>
      </c>
      <c r="H1444" s="4" t="str">
        <f>TRIM(CLEAN(SUBSTITUTE(Table1_1[[#This Row],[Salesperson]],"   "," ")))</f>
        <v>Imran Sheikh</v>
      </c>
      <c r="I1444" s="4" t="s">
        <v>52</v>
      </c>
      <c r="J1444" s="4" t="s">
        <v>46</v>
      </c>
      <c r="K1444" s="4" t="s">
        <v>47</v>
      </c>
      <c r="L1444" s="4" t="s">
        <v>259</v>
      </c>
      <c r="M1444" s="4" t="s">
        <v>40</v>
      </c>
      <c r="N1444" s="4" t="s">
        <v>24</v>
      </c>
      <c r="O1444" s="4">
        <v>3</v>
      </c>
      <c r="P1444" s="7">
        <v>2770</v>
      </c>
      <c r="Q1444" s="8">
        <v>0.05</v>
      </c>
      <c r="R1444" s="7">
        <v>1780</v>
      </c>
      <c r="S1444" s="7">
        <f>Table1_1[[#This Row],[Units Sold]]*Table1_1[[#This Row],[Unit Price]]*(1-Table1_1[[#This Row],[Discount %]])</f>
        <v>7894.5</v>
      </c>
      <c r="T1444" s="7">
        <f>Table1_1[[#This Row],[Units Sold]]*Table1_1[[#This Row],[Unit Cost]]</f>
        <v>5340</v>
      </c>
      <c r="U1444" s="7">
        <f>Table1_1[[#This Row],[Calculated sales]]-Table1_1[[#This Row],[Total cost]]</f>
        <v>2554.5</v>
      </c>
      <c r="V1444" s="4">
        <f>IFERROR(Table1_1[[#This Row],[Profit/Loss]]/Table1_1[[#This Row],[Calculated sales]],0)</f>
        <v>0.32357970739122172</v>
      </c>
    </row>
    <row r="1445" spans="1:22" x14ac:dyDescent="0.25">
      <c r="A1445" s="4" t="s">
        <v>1594</v>
      </c>
      <c r="B1445" s="5">
        <v>45994</v>
      </c>
      <c r="C1445" s="4">
        <f>YEAR(Table1_1[[#This Row],[Order Dates]])</f>
        <v>2025</v>
      </c>
      <c r="D1445" s="6">
        <f>MONTH(Table1_1[[#This Row],[Order Dates]])</f>
        <v>12</v>
      </c>
      <c r="E1445" s="4" t="s">
        <v>56</v>
      </c>
      <c r="F1445" s="4" t="s">
        <v>133</v>
      </c>
      <c r="G1445" s="4" t="s">
        <v>58</v>
      </c>
      <c r="H1445" s="4" t="str">
        <f>TRIM(CLEAN(SUBSTITUTE(Table1_1[[#This Row],[Salesperson]],"   "," ")))</f>
        <v>Karthik Raman</v>
      </c>
      <c r="I1445" s="4" t="s">
        <v>19</v>
      </c>
      <c r="J1445" s="4" t="s">
        <v>83</v>
      </c>
      <c r="K1445" s="4" t="s">
        <v>184</v>
      </c>
      <c r="L1445" s="4" t="s">
        <v>1679</v>
      </c>
      <c r="M1445" s="4" t="s">
        <v>49</v>
      </c>
      <c r="N1445" s="4" t="s">
        <v>94</v>
      </c>
      <c r="O1445" s="4">
        <v>8</v>
      </c>
      <c r="P1445" s="7">
        <v>4590</v>
      </c>
      <c r="Q1445" s="8">
        <v>0.1</v>
      </c>
      <c r="R1445" s="7">
        <v>3270</v>
      </c>
      <c r="S1445" s="7">
        <f>Table1_1[[#This Row],[Units Sold]]*Table1_1[[#This Row],[Unit Price]]*(1-Table1_1[[#This Row],[Discount %]])</f>
        <v>33048</v>
      </c>
      <c r="T1445" s="7">
        <f>Table1_1[[#This Row],[Units Sold]]*Table1_1[[#This Row],[Unit Cost]]</f>
        <v>26160</v>
      </c>
      <c r="U1445" s="7">
        <f>Table1_1[[#This Row],[Calculated sales]]-Table1_1[[#This Row],[Total cost]]</f>
        <v>6888</v>
      </c>
      <c r="V1445" s="4">
        <f>IFERROR(Table1_1[[#This Row],[Profit/Loss]]/Table1_1[[#This Row],[Calculated sales]],0)</f>
        <v>0.2084241103848947</v>
      </c>
    </row>
    <row r="1446" spans="1:22" x14ac:dyDescent="0.25">
      <c r="A1446" s="4" t="s">
        <v>1595</v>
      </c>
      <c r="B1446" s="5">
        <v>45995</v>
      </c>
      <c r="C1446" s="4">
        <f>YEAR(Table1_1[[#This Row],[Order Dates]])</f>
        <v>2025</v>
      </c>
      <c r="D1446" s="6">
        <f>MONTH(Table1_1[[#This Row],[Order Dates]])</f>
        <v>12</v>
      </c>
      <c r="E1446" s="4" t="s">
        <v>16</v>
      </c>
      <c r="F1446" s="4" t="s">
        <v>17</v>
      </c>
      <c r="G1446" s="4" t="s">
        <v>32</v>
      </c>
      <c r="H1446" s="4" t="str">
        <f>TRIM(CLEAN(SUBSTITUTE(Table1_1[[#This Row],[Salesperson]],"   "," ")))</f>
        <v>Neha Deshpande</v>
      </c>
      <c r="I1446" s="4" t="s">
        <v>19</v>
      </c>
      <c r="J1446" s="4" t="s">
        <v>20</v>
      </c>
      <c r="K1446" s="4" t="s">
        <v>21</v>
      </c>
      <c r="L1446" s="4" t="s">
        <v>1670</v>
      </c>
      <c r="M1446" s="4" t="s">
        <v>23</v>
      </c>
      <c r="N1446" s="4" t="s">
        <v>24</v>
      </c>
      <c r="O1446" s="4">
        <v>2</v>
      </c>
      <c r="P1446" s="7">
        <v>8240</v>
      </c>
      <c r="Q1446" s="8">
        <v>0</v>
      </c>
      <c r="R1446" s="7">
        <v>6090</v>
      </c>
      <c r="S1446" s="7">
        <f>Table1_1[[#This Row],[Units Sold]]*Table1_1[[#This Row],[Unit Price]]*(1-Table1_1[[#This Row],[Discount %]])</f>
        <v>16480</v>
      </c>
      <c r="T1446" s="7">
        <f>Table1_1[[#This Row],[Units Sold]]*Table1_1[[#This Row],[Unit Cost]]</f>
        <v>12180</v>
      </c>
      <c r="U1446" s="7">
        <f>Table1_1[[#This Row],[Calculated sales]]-Table1_1[[#This Row],[Total cost]]</f>
        <v>4300</v>
      </c>
      <c r="V1446" s="4">
        <f>IFERROR(Table1_1[[#This Row],[Profit/Loss]]/Table1_1[[#This Row],[Calculated sales]],0)</f>
        <v>0.26092233009708737</v>
      </c>
    </row>
    <row r="1447" spans="1:22" x14ac:dyDescent="0.25">
      <c r="A1447" s="4" t="s">
        <v>1596</v>
      </c>
      <c r="B1447" s="5">
        <v>45995</v>
      </c>
      <c r="C1447" s="4">
        <f>YEAR(Table1_1[[#This Row],[Order Dates]])</f>
        <v>2025</v>
      </c>
      <c r="D1447" s="6">
        <f>MONTH(Table1_1[[#This Row],[Order Dates]])</f>
        <v>12</v>
      </c>
      <c r="E1447" s="4" t="s">
        <v>16</v>
      </c>
      <c r="F1447" s="4" t="s">
        <v>191</v>
      </c>
      <c r="G1447" s="4" t="s">
        <v>32</v>
      </c>
      <c r="H1447" s="4" t="str">
        <f>TRIM(CLEAN(SUBSTITUTE(Table1_1[[#This Row],[Salesperson]],"   "," ")))</f>
        <v>Neha Deshpande</v>
      </c>
      <c r="I1447" s="4" t="s">
        <v>52</v>
      </c>
      <c r="J1447" s="4" t="s">
        <v>20</v>
      </c>
      <c r="K1447" s="4" t="s">
        <v>21</v>
      </c>
      <c r="L1447" s="4" t="s">
        <v>1670</v>
      </c>
      <c r="M1447" s="4" t="s">
        <v>23</v>
      </c>
      <c r="N1447" s="4" t="s">
        <v>24</v>
      </c>
      <c r="O1447" s="4">
        <v>15</v>
      </c>
      <c r="P1447" s="7">
        <v>8170</v>
      </c>
      <c r="Q1447" s="8">
        <v>0.1</v>
      </c>
      <c r="R1447" s="7">
        <v>5250</v>
      </c>
      <c r="S1447" s="7">
        <f>Table1_1[[#This Row],[Units Sold]]*Table1_1[[#This Row],[Unit Price]]*(1-Table1_1[[#This Row],[Discount %]])</f>
        <v>110295</v>
      </c>
      <c r="T1447" s="7">
        <f>Table1_1[[#This Row],[Units Sold]]*Table1_1[[#This Row],[Unit Cost]]</f>
        <v>78750</v>
      </c>
      <c r="U1447" s="7">
        <f>Table1_1[[#This Row],[Calculated sales]]-Table1_1[[#This Row],[Total cost]]</f>
        <v>31545</v>
      </c>
      <c r="V1447" s="4">
        <f>IFERROR(Table1_1[[#This Row],[Profit/Loss]]/Table1_1[[#This Row],[Calculated sales]],0)</f>
        <v>0.28600571195430435</v>
      </c>
    </row>
    <row r="1448" spans="1:22" x14ac:dyDescent="0.25">
      <c r="A1448" s="4" t="s">
        <v>1597</v>
      </c>
      <c r="B1448" s="5">
        <v>45996</v>
      </c>
      <c r="C1448" s="4">
        <f>YEAR(Table1_1[[#This Row],[Order Dates]])</f>
        <v>2025</v>
      </c>
      <c r="D1448" s="6">
        <f>MONTH(Table1_1[[#This Row],[Order Dates]])</f>
        <v>12</v>
      </c>
      <c r="E1448" s="4" t="s">
        <v>56</v>
      </c>
      <c r="F1448" s="4" t="s">
        <v>72</v>
      </c>
      <c r="G1448" s="4" t="s">
        <v>58</v>
      </c>
      <c r="H1448" s="4" t="str">
        <f>TRIM(CLEAN(SUBSTITUTE(Table1_1[[#This Row],[Salesperson]],"   "," ")))</f>
        <v>Karthik Raman</v>
      </c>
      <c r="I1448" s="4" t="s">
        <v>19</v>
      </c>
      <c r="J1448" s="4" t="s">
        <v>20</v>
      </c>
      <c r="K1448" s="4" t="s">
        <v>109</v>
      </c>
      <c r="L1448" s="4" t="s">
        <v>1675</v>
      </c>
      <c r="M1448" s="4" t="s">
        <v>49</v>
      </c>
      <c r="N1448" s="4" t="s">
        <v>24</v>
      </c>
      <c r="O1448" s="4">
        <v>3</v>
      </c>
      <c r="P1448" s="7">
        <v>67040</v>
      </c>
      <c r="Q1448" s="8">
        <v>0</v>
      </c>
      <c r="R1448" s="7">
        <v>48410</v>
      </c>
      <c r="S1448" s="7">
        <f>Table1_1[[#This Row],[Units Sold]]*Table1_1[[#This Row],[Unit Price]]*(1-Table1_1[[#This Row],[Discount %]])</f>
        <v>201120</v>
      </c>
      <c r="T1448" s="7">
        <f>Table1_1[[#This Row],[Units Sold]]*Table1_1[[#This Row],[Unit Cost]]</f>
        <v>145230</v>
      </c>
      <c r="U1448" s="7">
        <f>Table1_1[[#This Row],[Calculated sales]]-Table1_1[[#This Row],[Total cost]]</f>
        <v>55890</v>
      </c>
      <c r="V1448" s="4">
        <f>IFERROR(Table1_1[[#This Row],[Profit/Loss]]/Table1_1[[#This Row],[Calculated sales]],0)</f>
        <v>0.27789379474940334</v>
      </c>
    </row>
    <row r="1449" spans="1:22" x14ac:dyDescent="0.25">
      <c r="A1449" s="4" t="s">
        <v>1598</v>
      </c>
      <c r="B1449" s="5">
        <v>45996</v>
      </c>
      <c r="C1449" s="4">
        <f>YEAR(Table1_1[[#This Row],[Order Dates]])</f>
        <v>2025</v>
      </c>
      <c r="D1449" s="6">
        <f>MONTH(Table1_1[[#This Row],[Order Dates]])</f>
        <v>12</v>
      </c>
      <c r="E1449" s="4" t="s">
        <v>42</v>
      </c>
      <c r="F1449" s="4" t="s">
        <v>265</v>
      </c>
      <c r="G1449" s="4" t="s">
        <v>64</v>
      </c>
      <c r="H1449" s="4" t="str">
        <f>TRIM(CLEAN(SUBSTITUTE(Table1_1[[#This Row],[Salesperson]],"   "," ")))</f>
        <v>Aditya Verma</v>
      </c>
      <c r="I1449" s="4" t="s">
        <v>19</v>
      </c>
      <c r="J1449" s="4" t="s">
        <v>46</v>
      </c>
      <c r="K1449" s="4" t="s">
        <v>100</v>
      </c>
      <c r="L1449" s="4" t="s">
        <v>101</v>
      </c>
      <c r="M1449" s="4" t="s">
        <v>40</v>
      </c>
      <c r="N1449" s="4" t="s">
        <v>35</v>
      </c>
      <c r="O1449" s="4">
        <v>23</v>
      </c>
      <c r="P1449" s="7">
        <v>1820</v>
      </c>
      <c r="Q1449" s="8">
        <v>0.18</v>
      </c>
      <c r="R1449" s="7">
        <v>1360</v>
      </c>
      <c r="S1449" s="7">
        <f>Table1_1[[#This Row],[Units Sold]]*Table1_1[[#This Row],[Unit Price]]*(1-Table1_1[[#This Row],[Discount %]])</f>
        <v>34325.200000000004</v>
      </c>
      <c r="T1449" s="7">
        <f>Table1_1[[#This Row],[Units Sold]]*Table1_1[[#This Row],[Unit Cost]]</f>
        <v>31280</v>
      </c>
      <c r="U1449" s="7">
        <f>Table1_1[[#This Row],[Calculated sales]]-Table1_1[[#This Row],[Total cost]]</f>
        <v>3045.2000000000044</v>
      </c>
      <c r="V1449" s="4">
        <f>IFERROR(Table1_1[[#This Row],[Profit/Loss]]/Table1_1[[#This Row],[Calculated sales]],0)</f>
        <v>8.8716161886893713E-2</v>
      </c>
    </row>
    <row r="1450" spans="1:22" x14ac:dyDescent="0.25">
      <c r="A1450" s="4" t="s">
        <v>1599</v>
      </c>
      <c r="B1450" s="5">
        <v>45996</v>
      </c>
      <c r="C1450" s="4">
        <f>YEAR(Table1_1[[#This Row],[Order Dates]])</f>
        <v>2025</v>
      </c>
      <c r="D1450" s="6">
        <f>MONTH(Table1_1[[#This Row],[Order Dates]])</f>
        <v>12</v>
      </c>
      <c r="E1450" s="4" t="s">
        <v>16</v>
      </c>
      <c r="F1450" s="4" t="s">
        <v>191</v>
      </c>
      <c r="G1450" s="4" t="s">
        <v>32</v>
      </c>
      <c r="H1450" s="4" t="str">
        <f>TRIM(CLEAN(SUBSTITUTE(Table1_1[[#This Row],[Salesperson]],"   "," ")))</f>
        <v>Neha Deshpande</v>
      </c>
      <c r="I1450" s="4" t="s">
        <v>52</v>
      </c>
      <c r="J1450" s="4" t="s">
        <v>27</v>
      </c>
      <c r="K1450" s="4" t="s">
        <v>214</v>
      </c>
      <c r="L1450" s="4" t="s">
        <v>1681</v>
      </c>
      <c r="M1450" s="4" t="s">
        <v>23</v>
      </c>
      <c r="N1450" s="4" t="s">
        <v>35</v>
      </c>
      <c r="O1450" s="4">
        <v>6</v>
      </c>
      <c r="P1450" s="7">
        <v>13440</v>
      </c>
      <c r="Q1450" s="8">
        <v>0.1</v>
      </c>
      <c r="R1450" s="7">
        <v>9750</v>
      </c>
      <c r="S1450" s="7">
        <f>Table1_1[[#This Row],[Units Sold]]*Table1_1[[#This Row],[Unit Price]]*(1-Table1_1[[#This Row],[Discount %]])</f>
        <v>72576</v>
      </c>
      <c r="T1450" s="7">
        <f>Table1_1[[#This Row],[Units Sold]]*Table1_1[[#This Row],[Unit Cost]]</f>
        <v>58500</v>
      </c>
      <c r="U1450" s="7">
        <f>Table1_1[[#This Row],[Calculated sales]]-Table1_1[[#This Row],[Total cost]]</f>
        <v>14076</v>
      </c>
      <c r="V1450" s="4">
        <f>IFERROR(Table1_1[[#This Row],[Profit/Loss]]/Table1_1[[#This Row],[Calculated sales]],0)</f>
        <v>0.1939484126984127</v>
      </c>
    </row>
    <row r="1451" spans="1:22" x14ac:dyDescent="0.25">
      <c r="A1451" s="4" t="s">
        <v>1600</v>
      </c>
      <c r="B1451" s="5">
        <v>45997</v>
      </c>
      <c r="C1451" s="4">
        <f>YEAR(Table1_1[[#This Row],[Order Dates]])</f>
        <v>2025</v>
      </c>
      <c r="D1451" s="6">
        <f>MONTH(Table1_1[[#This Row],[Order Dates]])</f>
        <v>12</v>
      </c>
      <c r="E1451" s="4" t="s">
        <v>42</v>
      </c>
      <c r="F1451" s="4" t="s">
        <v>130</v>
      </c>
      <c r="G1451" s="4" t="s">
        <v>44</v>
      </c>
      <c r="H1451" s="4" t="str">
        <f>TRIM(CLEAN(SUBSTITUTE(Table1_1[[#This Row],[Salesperson]],"   "," ")))</f>
        <v>Simran Kaur</v>
      </c>
      <c r="I1451" s="4" t="s">
        <v>19</v>
      </c>
      <c r="J1451" s="4" t="s">
        <v>20</v>
      </c>
      <c r="K1451" s="4" t="s">
        <v>21</v>
      </c>
      <c r="L1451" s="4" t="s">
        <v>1682</v>
      </c>
      <c r="M1451" s="4" t="s">
        <v>40</v>
      </c>
      <c r="N1451" s="4" t="s">
        <v>24</v>
      </c>
      <c r="O1451" s="4">
        <v>14</v>
      </c>
      <c r="P1451" s="7">
        <v>8970</v>
      </c>
      <c r="Q1451" s="8">
        <v>0.05</v>
      </c>
      <c r="R1451" s="7">
        <v>5820</v>
      </c>
      <c r="S1451" s="7">
        <f>Table1_1[[#This Row],[Units Sold]]*Table1_1[[#This Row],[Unit Price]]*(1-Table1_1[[#This Row],[Discount %]])</f>
        <v>119301</v>
      </c>
      <c r="T1451" s="7">
        <f>Table1_1[[#This Row],[Units Sold]]*Table1_1[[#This Row],[Unit Cost]]</f>
        <v>81480</v>
      </c>
      <c r="U1451" s="7">
        <f>Table1_1[[#This Row],[Calculated sales]]-Table1_1[[#This Row],[Total cost]]</f>
        <v>37821</v>
      </c>
      <c r="V1451" s="4">
        <f>IFERROR(Table1_1[[#This Row],[Profit/Loss]]/Table1_1[[#This Row],[Calculated sales]],0)</f>
        <v>0.31702165111776098</v>
      </c>
    </row>
    <row r="1452" spans="1:22" x14ac:dyDescent="0.25">
      <c r="A1452" s="4" t="s">
        <v>1601</v>
      </c>
      <c r="B1452" s="5">
        <v>45997</v>
      </c>
      <c r="C1452" s="4">
        <f>YEAR(Table1_1[[#This Row],[Order Dates]])</f>
        <v>2025</v>
      </c>
      <c r="D1452" s="6">
        <f>MONTH(Table1_1[[#This Row],[Order Dates]])</f>
        <v>12</v>
      </c>
      <c r="E1452" s="4" t="s">
        <v>56</v>
      </c>
      <c r="F1452" s="4" t="s">
        <v>127</v>
      </c>
      <c r="G1452" s="4" t="s">
        <v>91</v>
      </c>
      <c r="H1452" s="4" t="str">
        <f>TRIM(CLEAN(SUBSTITUTE(Table1_1[[#This Row],[Salesperson]],"   "," ")))</f>
        <v>Anjali Menon</v>
      </c>
      <c r="I1452" s="4" t="s">
        <v>45</v>
      </c>
      <c r="J1452" s="4" t="s">
        <v>59</v>
      </c>
      <c r="K1452" s="4" t="s">
        <v>154</v>
      </c>
      <c r="L1452" s="4" t="s">
        <v>249</v>
      </c>
      <c r="M1452" s="4" t="s">
        <v>23</v>
      </c>
      <c r="N1452" s="4" t="s">
        <v>24</v>
      </c>
      <c r="O1452" s="4">
        <v>19</v>
      </c>
      <c r="P1452" s="7">
        <v>6500</v>
      </c>
      <c r="Q1452" s="8">
        <v>0.1</v>
      </c>
      <c r="R1452" s="7">
        <v>3950</v>
      </c>
      <c r="S1452" s="7">
        <f>Table1_1[[#This Row],[Units Sold]]*Table1_1[[#This Row],[Unit Price]]*(1-Table1_1[[#This Row],[Discount %]])</f>
        <v>111150</v>
      </c>
      <c r="T1452" s="7">
        <f>Table1_1[[#This Row],[Units Sold]]*Table1_1[[#This Row],[Unit Cost]]</f>
        <v>75050</v>
      </c>
      <c r="U1452" s="7">
        <f>Table1_1[[#This Row],[Calculated sales]]-Table1_1[[#This Row],[Total cost]]</f>
        <v>36100</v>
      </c>
      <c r="V1452" s="4">
        <f>IFERROR(Table1_1[[#This Row],[Profit/Loss]]/Table1_1[[#This Row],[Calculated sales]],0)</f>
        <v>0.3247863247863248</v>
      </c>
    </row>
    <row r="1453" spans="1:22" x14ac:dyDescent="0.25">
      <c r="A1453" s="4" t="s">
        <v>1602</v>
      </c>
      <c r="B1453" s="5">
        <v>45997</v>
      </c>
      <c r="C1453" s="4">
        <f>YEAR(Table1_1[[#This Row],[Order Dates]])</f>
        <v>2025</v>
      </c>
      <c r="D1453" s="6">
        <f>MONTH(Table1_1[[#This Row],[Order Dates]])</f>
        <v>12</v>
      </c>
      <c r="E1453" s="4" t="s">
        <v>16</v>
      </c>
      <c r="F1453" s="4" t="s">
        <v>153</v>
      </c>
      <c r="G1453" s="4" t="s">
        <v>32</v>
      </c>
      <c r="H1453" s="4" t="str">
        <f>TRIM(CLEAN(SUBSTITUTE(Table1_1[[#This Row],[Salesperson]],"   "," ")))</f>
        <v>Neha Deshpande</v>
      </c>
      <c r="I1453" s="4" t="s">
        <v>52</v>
      </c>
      <c r="J1453" s="4" t="s">
        <v>27</v>
      </c>
      <c r="K1453" s="4" t="s">
        <v>214</v>
      </c>
      <c r="L1453" s="4" t="s">
        <v>1680</v>
      </c>
      <c r="M1453" s="4" t="s">
        <v>40</v>
      </c>
      <c r="N1453" s="4" t="s">
        <v>35</v>
      </c>
      <c r="O1453" s="4">
        <v>4</v>
      </c>
      <c r="P1453" s="7">
        <v>33640</v>
      </c>
      <c r="Q1453" s="8">
        <v>0.05</v>
      </c>
      <c r="R1453" s="7">
        <v>21380</v>
      </c>
      <c r="S1453" s="7">
        <f>Table1_1[[#This Row],[Units Sold]]*Table1_1[[#This Row],[Unit Price]]*(1-Table1_1[[#This Row],[Discount %]])</f>
        <v>127832</v>
      </c>
      <c r="T1453" s="7">
        <f>Table1_1[[#This Row],[Units Sold]]*Table1_1[[#This Row],[Unit Cost]]</f>
        <v>85520</v>
      </c>
      <c r="U1453" s="7">
        <f>Table1_1[[#This Row],[Calculated sales]]-Table1_1[[#This Row],[Total cost]]</f>
        <v>42312</v>
      </c>
      <c r="V1453" s="4">
        <f>IFERROR(Table1_1[[#This Row],[Profit/Loss]]/Table1_1[[#This Row],[Calculated sales]],0)</f>
        <v>0.33099693347518616</v>
      </c>
    </row>
    <row r="1454" spans="1:22" x14ac:dyDescent="0.25">
      <c r="A1454" s="4" t="s">
        <v>1603</v>
      </c>
      <c r="B1454" s="5">
        <v>45997</v>
      </c>
      <c r="C1454" s="4">
        <f>YEAR(Table1_1[[#This Row],[Order Dates]])</f>
        <v>2025</v>
      </c>
      <c r="D1454" s="6">
        <f>MONTH(Table1_1[[#This Row],[Order Dates]])</f>
        <v>12</v>
      </c>
      <c r="E1454" s="4" t="s">
        <v>37</v>
      </c>
      <c r="F1454" s="4" t="s">
        <v>67</v>
      </c>
      <c r="G1454" s="4" t="s">
        <v>39</v>
      </c>
      <c r="H1454" s="4" t="str">
        <f>TRIM(CLEAN(SUBSTITUTE(Table1_1[[#This Row],[Salesperson]],"   "," ")))</f>
        <v>Sourav Das</v>
      </c>
      <c r="I1454" s="4" t="s">
        <v>45</v>
      </c>
      <c r="J1454" s="4" t="s">
        <v>59</v>
      </c>
      <c r="K1454" s="4" t="s">
        <v>69</v>
      </c>
      <c r="L1454" s="4" t="s">
        <v>70</v>
      </c>
      <c r="M1454" s="4" t="s">
        <v>40</v>
      </c>
      <c r="N1454" s="4" t="s">
        <v>24</v>
      </c>
      <c r="O1454" s="4">
        <v>9</v>
      </c>
      <c r="P1454" s="7">
        <v>29110</v>
      </c>
      <c r="Q1454" s="8">
        <v>0.2</v>
      </c>
      <c r="R1454" s="7">
        <v>20170</v>
      </c>
      <c r="S1454" s="7">
        <f>Table1_1[[#This Row],[Units Sold]]*Table1_1[[#This Row],[Unit Price]]*(1-Table1_1[[#This Row],[Discount %]])</f>
        <v>209592</v>
      </c>
      <c r="T1454" s="7">
        <f>Table1_1[[#This Row],[Units Sold]]*Table1_1[[#This Row],[Unit Cost]]</f>
        <v>181530</v>
      </c>
      <c r="U1454" s="7">
        <f>Table1_1[[#This Row],[Calculated sales]]-Table1_1[[#This Row],[Total cost]]</f>
        <v>28062</v>
      </c>
      <c r="V1454" s="4">
        <f>IFERROR(Table1_1[[#This Row],[Profit/Loss]]/Table1_1[[#This Row],[Calculated sales]],0)</f>
        <v>0.13388869804191</v>
      </c>
    </row>
    <row r="1455" spans="1:22" x14ac:dyDescent="0.25">
      <c r="A1455" s="4" t="s">
        <v>1604</v>
      </c>
      <c r="B1455" s="5">
        <v>45998</v>
      </c>
      <c r="C1455" s="4">
        <f>YEAR(Table1_1[[#This Row],[Order Dates]])</f>
        <v>2025</v>
      </c>
      <c r="D1455" s="6">
        <f>MONTH(Table1_1[[#This Row],[Order Dates]])</f>
        <v>12</v>
      </c>
      <c r="E1455" s="4" t="s">
        <v>56</v>
      </c>
      <c r="F1455" s="4" t="s">
        <v>57</v>
      </c>
      <c r="G1455" s="4" t="s">
        <v>134</v>
      </c>
      <c r="H1455" s="4" t="str">
        <f>TRIM(CLEAN(SUBSTITUTE(Table1_1[[#This Row],[Salesperson]],"   "," ")))</f>
        <v>Divya Nair</v>
      </c>
      <c r="I1455" s="4" t="s">
        <v>52</v>
      </c>
      <c r="J1455" s="4" t="s">
        <v>20</v>
      </c>
      <c r="K1455" s="4" t="s">
        <v>87</v>
      </c>
      <c r="L1455" s="4" t="s">
        <v>1672</v>
      </c>
      <c r="M1455" s="4" t="s">
        <v>49</v>
      </c>
      <c r="N1455" s="4" t="s">
        <v>119</v>
      </c>
      <c r="O1455" s="4">
        <v>1</v>
      </c>
      <c r="P1455" s="7">
        <v>32060</v>
      </c>
      <c r="Q1455" s="8">
        <v>0</v>
      </c>
      <c r="R1455" s="7">
        <v>22710</v>
      </c>
      <c r="S1455" s="7">
        <f>Table1_1[[#This Row],[Units Sold]]*Table1_1[[#This Row],[Unit Price]]*(1-Table1_1[[#This Row],[Discount %]])</f>
        <v>32060</v>
      </c>
      <c r="T1455" s="7">
        <f>Table1_1[[#This Row],[Units Sold]]*Table1_1[[#This Row],[Unit Cost]]</f>
        <v>22710</v>
      </c>
      <c r="U1455" s="7">
        <f>Table1_1[[#This Row],[Calculated sales]]-Table1_1[[#This Row],[Total cost]]</f>
        <v>9350</v>
      </c>
      <c r="V1455" s="4">
        <f>IFERROR(Table1_1[[#This Row],[Profit/Loss]]/Table1_1[[#This Row],[Calculated sales]],0)</f>
        <v>0.29164067373674363</v>
      </c>
    </row>
    <row r="1456" spans="1:22" x14ac:dyDescent="0.25">
      <c r="A1456" s="4" t="s">
        <v>1605</v>
      </c>
      <c r="B1456" s="5">
        <v>45998</v>
      </c>
      <c r="C1456" s="4">
        <f>YEAR(Table1_1[[#This Row],[Order Dates]])</f>
        <v>2025</v>
      </c>
      <c r="D1456" s="6">
        <f>MONTH(Table1_1[[#This Row],[Order Dates]])</f>
        <v>12</v>
      </c>
      <c r="E1456" s="4" t="s">
        <v>16</v>
      </c>
      <c r="F1456" s="4" t="s">
        <v>191</v>
      </c>
      <c r="G1456" s="4" t="s">
        <v>18</v>
      </c>
      <c r="H1456" s="4" t="str">
        <f>TRIM(CLEAN(SUBSTITUTE(Table1_1[[#This Row],[Salesperson]],"   "," ")))</f>
        <v>Imran Sheikh</v>
      </c>
      <c r="I1456" s="4" t="s">
        <v>19</v>
      </c>
      <c r="J1456" s="4" t="s">
        <v>83</v>
      </c>
      <c r="K1456" s="4" t="s">
        <v>84</v>
      </c>
      <c r="L1456" s="4" t="s">
        <v>292</v>
      </c>
      <c r="M1456" s="4" t="s">
        <v>23</v>
      </c>
      <c r="N1456" s="4" t="s">
        <v>24</v>
      </c>
      <c r="O1456" s="4">
        <v>4</v>
      </c>
      <c r="P1456" s="7">
        <v>43410</v>
      </c>
      <c r="Q1456" s="8">
        <v>0.18</v>
      </c>
      <c r="R1456" s="7">
        <v>28600</v>
      </c>
      <c r="S1456" s="7">
        <f>Table1_1[[#This Row],[Units Sold]]*Table1_1[[#This Row],[Unit Price]]*(1-Table1_1[[#This Row],[Discount %]])</f>
        <v>142384.80000000002</v>
      </c>
      <c r="T1456" s="7">
        <f>Table1_1[[#This Row],[Units Sold]]*Table1_1[[#This Row],[Unit Cost]]</f>
        <v>114400</v>
      </c>
      <c r="U1456" s="7">
        <f>Table1_1[[#This Row],[Calculated sales]]-Table1_1[[#This Row],[Total cost]]</f>
        <v>27984.800000000017</v>
      </c>
      <c r="V1456" s="4">
        <f>IFERROR(Table1_1[[#This Row],[Profit/Loss]]/Table1_1[[#This Row],[Calculated sales]],0)</f>
        <v>0.19654345126727021</v>
      </c>
    </row>
    <row r="1457" spans="1:22" x14ac:dyDescent="0.25">
      <c r="A1457" s="4" t="s">
        <v>1606</v>
      </c>
      <c r="B1457" s="5">
        <v>45998</v>
      </c>
      <c r="C1457" s="4">
        <f>YEAR(Table1_1[[#This Row],[Order Dates]])</f>
        <v>2025</v>
      </c>
      <c r="D1457" s="6">
        <f>MONTH(Table1_1[[#This Row],[Order Dates]])</f>
        <v>12</v>
      </c>
      <c r="E1457" s="4" t="s">
        <v>56</v>
      </c>
      <c r="F1457" s="4" t="s">
        <v>127</v>
      </c>
      <c r="G1457" s="4" t="s">
        <v>58</v>
      </c>
      <c r="H1457" s="4" t="str">
        <f>TRIM(CLEAN(SUBSTITUTE(Table1_1[[#This Row],[Salesperson]],"   "," ")))</f>
        <v>Karthik Raman</v>
      </c>
      <c r="I1457" s="4" t="s">
        <v>92</v>
      </c>
      <c r="J1457" s="4" t="s">
        <v>83</v>
      </c>
      <c r="K1457" s="4" t="s">
        <v>84</v>
      </c>
      <c r="L1457" s="4" t="s">
        <v>1671</v>
      </c>
      <c r="M1457" s="4" t="s">
        <v>40</v>
      </c>
      <c r="N1457" s="4" t="s">
        <v>35</v>
      </c>
      <c r="O1457" s="4">
        <v>11</v>
      </c>
      <c r="P1457" s="7">
        <v>2430</v>
      </c>
      <c r="Q1457" s="8">
        <v>0.05</v>
      </c>
      <c r="R1457" s="7">
        <v>1760</v>
      </c>
      <c r="S1457" s="7">
        <f>Table1_1[[#This Row],[Units Sold]]*Table1_1[[#This Row],[Unit Price]]*(1-Table1_1[[#This Row],[Discount %]])</f>
        <v>25393.5</v>
      </c>
      <c r="T1457" s="7">
        <f>Table1_1[[#This Row],[Units Sold]]*Table1_1[[#This Row],[Unit Cost]]</f>
        <v>19360</v>
      </c>
      <c r="U1457" s="7">
        <f>Table1_1[[#This Row],[Calculated sales]]-Table1_1[[#This Row],[Total cost]]</f>
        <v>6033.5</v>
      </c>
      <c r="V1457" s="4">
        <f>IFERROR(Table1_1[[#This Row],[Profit/Loss]]/Table1_1[[#This Row],[Calculated sales]],0)</f>
        <v>0.2376001732726879</v>
      </c>
    </row>
    <row r="1458" spans="1:22" x14ac:dyDescent="0.25">
      <c r="A1458" s="4" t="s">
        <v>1607</v>
      </c>
      <c r="B1458" s="5">
        <v>45999</v>
      </c>
      <c r="C1458" s="4">
        <f>YEAR(Table1_1[[#This Row],[Order Dates]])</f>
        <v>2025</v>
      </c>
      <c r="D1458" s="6">
        <f>MONTH(Table1_1[[#This Row],[Order Dates]])</f>
        <v>12</v>
      </c>
      <c r="E1458" s="4" t="s">
        <v>42</v>
      </c>
      <c r="F1458" s="4" t="s">
        <v>130</v>
      </c>
      <c r="G1458" s="4" t="s">
        <v>64</v>
      </c>
      <c r="H1458" s="4" t="str">
        <f>TRIM(CLEAN(SUBSTITUTE(Table1_1[[#This Row],[Salesperson]],"   "," ")))</f>
        <v>Aditya Verma</v>
      </c>
      <c r="I1458" s="4" t="s">
        <v>19</v>
      </c>
      <c r="J1458" s="4" t="s">
        <v>83</v>
      </c>
      <c r="K1458" s="4" t="s">
        <v>84</v>
      </c>
      <c r="L1458" s="4" t="s">
        <v>1671</v>
      </c>
      <c r="M1458" s="4" t="s">
        <v>23</v>
      </c>
      <c r="N1458" s="4" t="s">
        <v>24</v>
      </c>
      <c r="O1458" s="4">
        <v>20</v>
      </c>
      <c r="P1458" s="7">
        <v>2490</v>
      </c>
      <c r="Q1458" s="8">
        <v>0.2</v>
      </c>
      <c r="R1458" s="7">
        <v>1580</v>
      </c>
      <c r="S1458" s="7">
        <f>Table1_1[[#This Row],[Units Sold]]*Table1_1[[#This Row],[Unit Price]]*(1-Table1_1[[#This Row],[Discount %]])</f>
        <v>39840</v>
      </c>
      <c r="T1458" s="7">
        <f>Table1_1[[#This Row],[Units Sold]]*Table1_1[[#This Row],[Unit Cost]]</f>
        <v>31600</v>
      </c>
      <c r="U1458" s="7">
        <f>Table1_1[[#This Row],[Calculated sales]]-Table1_1[[#This Row],[Total cost]]</f>
        <v>8240</v>
      </c>
      <c r="V1458" s="4">
        <f>IFERROR(Table1_1[[#This Row],[Profit/Loss]]/Table1_1[[#This Row],[Calculated sales]],0)</f>
        <v>0.20682730923694778</v>
      </c>
    </row>
    <row r="1459" spans="1:22" x14ac:dyDescent="0.25">
      <c r="A1459" s="4" t="s">
        <v>1608</v>
      </c>
      <c r="B1459" s="5">
        <v>46000</v>
      </c>
      <c r="C1459" s="4">
        <f>YEAR(Table1_1[[#This Row],[Order Dates]])</f>
        <v>2025</v>
      </c>
      <c r="D1459" s="6">
        <f>MONTH(Table1_1[[#This Row],[Order Dates]])</f>
        <v>12</v>
      </c>
      <c r="E1459" s="4" t="s">
        <v>16</v>
      </c>
      <c r="F1459" s="4" t="s">
        <v>51</v>
      </c>
      <c r="G1459" s="4" t="s">
        <v>32</v>
      </c>
      <c r="H1459" s="4" t="str">
        <f>TRIM(CLEAN(SUBSTITUTE(Table1_1[[#This Row],[Salesperson]],"   "," ")))</f>
        <v>Neha Deshpande</v>
      </c>
      <c r="I1459" s="4" t="s">
        <v>52</v>
      </c>
      <c r="J1459" s="4" t="s">
        <v>20</v>
      </c>
      <c r="K1459" s="4" t="s">
        <v>33</v>
      </c>
      <c r="L1459" s="4" t="s">
        <v>1677</v>
      </c>
      <c r="M1459" s="4" t="s">
        <v>40</v>
      </c>
      <c r="N1459" s="4" t="s">
        <v>24</v>
      </c>
      <c r="O1459" s="4">
        <v>3</v>
      </c>
      <c r="P1459" s="7">
        <v>65050</v>
      </c>
      <c r="Q1459" s="8">
        <v>0.08</v>
      </c>
      <c r="R1459" s="7">
        <v>42580</v>
      </c>
      <c r="S1459" s="7">
        <f>Table1_1[[#This Row],[Units Sold]]*Table1_1[[#This Row],[Unit Price]]*(1-Table1_1[[#This Row],[Discount %]])</f>
        <v>179538</v>
      </c>
      <c r="T1459" s="7">
        <f>Table1_1[[#This Row],[Units Sold]]*Table1_1[[#This Row],[Unit Cost]]</f>
        <v>127740</v>
      </c>
      <c r="U1459" s="7">
        <f>Table1_1[[#This Row],[Calculated sales]]-Table1_1[[#This Row],[Total cost]]</f>
        <v>51798</v>
      </c>
      <c r="V1459" s="4">
        <f>IFERROR(Table1_1[[#This Row],[Profit/Loss]]/Table1_1[[#This Row],[Calculated sales]],0)</f>
        <v>0.28850716839889051</v>
      </c>
    </row>
    <row r="1460" spans="1:22" x14ac:dyDescent="0.25">
      <c r="A1460" s="4" t="s">
        <v>1609</v>
      </c>
      <c r="B1460" s="5">
        <v>46000</v>
      </c>
      <c r="C1460" s="4">
        <f>YEAR(Table1_1[[#This Row],[Order Dates]])</f>
        <v>2025</v>
      </c>
      <c r="D1460" s="6">
        <f>MONTH(Table1_1[[#This Row],[Order Dates]])</f>
        <v>12</v>
      </c>
      <c r="E1460" s="4" t="s">
        <v>42</v>
      </c>
      <c r="F1460" s="4" t="s">
        <v>146</v>
      </c>
      <c r="G1460" s="4" t="s">
        <v>97</v>
      </c>
      <c r="H1460" s="4" t="str">
        <f>TRIM(CLEAN(SUBSTITUTE(Table1_1[[#This Row],[Salesperson]],"   "," ")))</f>
        <v>Rohit Malhotra</v>
      </c>
      <c r="I1460" s="4" t="s">
        <v>19</v>
      </c>
      <c r="J1460" s="4" t="s">
        <v>20</v>
      </c>
      <c r="K1460" s="4" t="s">
        <v>21</v>
      </c>
      <c r="L1460" s="4" t="s">
        <v>1667</v>
      </c>
      <c r="M1460" s="4" t="s">
        <v>49</v>
      </c>
      <c r="N1460" s="4" t="s">
        <v>94</v>
      </c>
      <c r="O1460" s="4">
        <v>17</v>
      </c>
      <c r="P1460" s="7">
        <v>1730</v>
      </c>
      <c r="Q1460" s="8">
        <v>0.12</v>
      </c>
      <c r="R1460" s="7">
        <v>1250</v>
      </c>
      <c r="S1460" s="7">
        <f>Table1_1[[#This Row],[Units Sold]]*Table1_1[[#This Row],[Unit Price]]*(1-Table1_1[[#This Row],[Discount %]])</f>
        <v>25880.799999999999</v>
      </c>
      <c r="T1460" s="7">
        <f>Table1_1[[#This Row],[Units Sold]]*Table1_1[[#This Row],[Unit Cost]]</f>
        <v>21250</v>
      </c>
      <c r="U1460" s="7">
        <f>Table1_1[[#This Row],[Calculated sales]]-Table1_1[[#This Row],[Total cost]]</f>
        <v>4630.7999999999993</v>
      </c>
      <c r="V1460" s="4">
        <f>IFERROR(Table1_1[[#This Row],[Profit/Loss]]/Table1_1[[#This Row],[Calculated sales]],0)</f>
        <v>0.17892800840777717</v>
      </c>
    </row>
    <row r="1461" spans="1:22" x14ac:dyDescent="0.25">
      <c r="A1461" s="4" t="s">
        <v>1610</v>
      </c>
      <c r="B1461" s="5">
        <v>46001</v>
      </c>
      <c r="C1461" s="4">
        <f>YEAR(Table1_1[[#This Row],[Order Dates]])</f>
        <v>2025</v>
      </c>
      <c r="D1461" s="6">
        <f>MONTH(Table1_1[[#This Row],[Order Dates]])</f>
        <v>12</v>
      </c>
      <c r="E1461" s="4" t="s">
        <v>16</v>
      </c>
      <c r="F1461" s="4" t="s">
        <v>51</v>
      </c>
      <c r="G1461" s="4" t="s">
        <v>18</v>
      </c>
      <c r="H1461" s="4" t="str">
        <f>TRIM(CLEAN(SUBSTITUTE(Table1_1[[#This Row],[Salesperson]],"   "," ")))</f>
        <v>Imran Sheikh</v>
      </c>
      <c r="I1461" s="4" t="s">
        <v>19</v>
      </c>
      <c r="J1461" s="4" t="s">
        <v>83</v>
      </c>
      <c r="K1461" s="4" t="s">
        <v>136</v>
      </c>
      <c r="L1461" s="4" t="s">
        <v>307</v>
      </c>
      <c r="M1461" s="4" t="s">
        <v>40</v>
      </c>
      <c r="N1461" s="4" t="s">
        <v>24</v>
      </c>
      <c r="O1461" s="4">
        <v>6</v>
      </c>
      <c r="P1461" s="7">
        <v>940</v>
      </c>
      <c r="Q1461" s="8">
        <v>0.12</v>
      </c>
      <c r="R1461" s="7">
        <v>730</v>
      </c>
      <c r="S1461" s="7">
        <f>Table1_1[[#This Row],[Units Sold]]*Table1_1[[#This Row],[Unit Price]]*(1-Table1_1[[#This Row],[Discount %]])</f>
        <v>4963.2</v>
      </c>
      <c r="T1461" s="7">
        <f>Table1_1[[#This Row],[Units Sold]]*Table1_1[[#This Row],[Unit Cost]]</f>
        <v>4380</v>
      </c>
      <c r="U1461" s="7">
        <f>Table1_1[[#This Row],[Calculated sales]]-Table1_1[[#This Row],[Total cost]]</f>
        <v>583.19999999999982</v>
      </c>
      <c r="V1461" s="4">
        <f>IFERROR(Table1_1[[#This Row],[Profit/Loss]]/Table1_1[[#This Row],[Calculated sales]],0)</f>
        <v>0.11750483558994194</v>
      </c>
    </row>
    <row r="1462" spans="1:22" x14ac:dyDescent="0.25">
      <c r="A1462" s="4" t="s">
        <v>1611</v>
      </c>
      <c r="B1462" s="5">
        <v>46001</v>
      </c>
      <c r="C1462" s="4">
        <f>YEAR(Table1_1[[#This Row],[Order Dates]])</f>
        <v>2025</v>
      </c>
      <c r="D1462" s="6">
        <f>MONTH(Table1_1[[#This Row],[Order Dates]])</f>
        <v>12</v>
      </c>
      <c r="E1462" s="4" t="s">
        <v>37</v>
      </c>
      <c r="F1462" s="4" t="s">
        <v>38</v>
      </c>
      <c r="G1462" s="4" t="s">
        <v>39</v>
      </c>
      <c r="H1462" s="4" t="str">
        <f>TRIM(CLEAN(SUBSTITUTE(Table1_1[[#This Row],[Salesperson]],"   "," ")))</f>
        <v>Sourav Das</v>
      </c>
      <c r="I1462" s="4" t="s">
        <v>19</v>
      </c>
      <c r="J1462" s="4" t="s">
        <v>27</v>
      </c>
      <c r="K1462" s="4" t="s">
        <v>53</v>
      </c>
      <c r="L1462" s="4" t="s">
        <v>1669</v>
      </c>
      <c r="M1462" s="4" t="s">
        <v>49</v>
      </c>
      <c r="N1462" s="4" t="s">
        <v>24</v>
      </c>
      <c r="O1462" s="4">
        <v>2</v>
      </c>
      <c r="P1462" s="7">
        <v>42690</v>
      </c>
      <c r="Q1462" s="8">
        <v>0.12</v>
      </c>
      <c r="R1462" s="7">
        <v>33550</v>
      </c>
      <c r="S1462" s="7">
        <f>Table1_1[[#This Row],[Units Sold]]*Table1_1[[#This Row],[Unit Price]]*(1-Table1_1[[#This Row],[Discount %]])</f>
        <v>75134.399999999994</v>
      </c>
      <c r="T1462" s="7">
        <f>Table1_1[[#This Row],[Units Sold]]*Table1_1[[#This Row],[Unit Cost]]</f>
        <v>67100</v>
      </c>
      <c r="U1462" s="7">
        <f>Table1_1[[#This Row],[Calculated sales]]-Table1_1[[#This Row],[Total cost]]</f>
        <v>8034.3999999999942</v>
      </c>
      <c r="V1462" s="4">
        <f>IFERROR(Table1_1[[#This Row],[Profit/Loss]]/Table1_1[[#This Row],[Calculated sales]],0)</f>
        <v>0.10693370812836724</v>
      </c>
    </row>
    <row r="1463" spans="1:22" x14ac:dyDescent="0.25">
      <c r="A1463" s="4" t="s">
        <v>1612</v>
      </c>
      <c r="B1463" s="5">
        <v>46001</v>
      </c>
      <c r="C1463" s="4">
        <f>YEAR(Table1_1[[#This Row],[Order Dates]])</f>
        <v>2025</v>
      </c>
      <c r="D1463" s="6">
        <f>MONTH(Table1_1[[#This Row],[Order Dates]])</f>
        <v>12</v>
      </c>
      <c r="E1463" s="4" t="s">
        <v>42</v>
      </c>
      <c r="F1463" s="4" t="s">
        <v>265</v>
      </c>
      <c r="G1463" s="4" t="s">
        <v>97</v>
      </c>
      <c r="H1463" s="4" t="str">
        <f>TRIM(CLEAN(SUBSTITUTE(Table1_1[[#This Row],[Salesperson]],"   "," ")))</f>
        <v>Rohit Malhotra</v>
      </c>
      <c r="I1463" s="4" t="s">
        <v>52</v>
      </c>
      <c r="J1463" s="4" t="s">
        <v>27</v>
      </c>
      <c r="K1463" s="4" t="s">
        <v>28</v>
      </c>
      <c r="L1463" s="4" t="s">
        <v>141</v>
      </c>
      <c r="M1463" s="4" t="s">
        <v>49</v>
      </c>
      <c r="N1463" s="4" t="s">
        <v>24</v>
      </c>
      <c r="O1463" s="4">
        <v>1</v>
      </c>
      <c r="P1463" s="7">
        <v>15910</v>
      </c>
      <c r="Q1463" s="8">
        <v>0.18</v>
      </c>
      <c r="R1463" s="7">
        <v>10840</v>
      </c>
      <c r="S1463" s="7">
        <f>Table1_1[[#This Row],[Units Sold]]*Table1_1[[#This Row],[Unit Price]]*(1-Table1_1[[#This Row],[Discount %]])</f>
        <v>13046.2</v>
      </c>
      <c r="T1463" s="7">
        <f>Table1_1[[#This Row],[Units Sold]]*Table1_1[[#This Row],[Unit Cost]]</f>
        <v>10840</v>
      </c>
      <c r="U1463" s="7">
        <f>Table1_1[[#This Row],[Calculated sales]]-Table1_1[[#This Row],[Total cost]]</f>
        <v>2206.2000000000007</v>
      </c>
      <c r="V1463" s="4">
        <f>IFERROR(Table1_1[[#This Row],[Profit/Loss]]/Table1_1[[#This Row],[Calculated sales]],0)</f>
        <v>0.16910671306587363</v>
      </c>
    </row>
    <row r="1464" spans="1:22" x14ac:dyDescent="0.25">
      <c r="A1464" s="4" t="s">
        <v>1613</v>
      </c>
      <c r="B1464" s="5">
        <v>46002</v>
      </c>
      <c r="C1464" s="4">
        <f>YEAR(Table1_1[[#This Row],[Order Dates]])</f>
        <v>2025</v>
      </c>
      <c r="D1464" s="6">
        <f>MONTH(Table1_1[[#This Row],[Order Dates]])</f>
        <v>12</v>
      </c>
      <c r="E1464" s="4" t="s">
        <v>37</v>
      </c>
      <c r="F1464" s="4" t="s">
        <v>115</v>
      </c>
      <c r="G1464" s="4" t="s">
        <v>39</v>
      </c>
      <c r="H1464" s="4" t="str">
        <f>TRIM(CLEAN(SUBSTITUTE(Table1_1[[#This Row],[Salesperson]],"   "," ")))</f>
        <v>Sourav Das</v>
      </c>
      <c r="I1464" s="4" t="s">
        <v>19</v>
      </c>
      <c r="J1464" s="4" t="s">
        <v>20</v>
      </c>
      <c r="K1464" s="4" t="s">
        <v>87</v>
      </c>
      <c r="L1464" s="4" t="s">
        <v>1674</v>
      </c>
      <c r="M1464" s="4" t="s">
        <v>23</v>
      </c>
      <c r="N1464" s="4" t="s">
        <v>24</v>
      </c>
      <c r="O1464" s="4">
        <v>4</v>
      </c>
      <c r="P1464" s="7">
        <v>51690</v>
      </c>
      <c r="Q1464" s="8">
        <v>0.15</v>
      </c>
      <c r="R1464" s="7">
        <v>40520</v>
      </c>
      <c r="S1464" s="7">
        <f>Table1_1[[#This Row],[Units Sold]]*Table1_1[[#This Row],[Unit Price]]*(1-Table1_1[[#This Row],[Discount %]])</f>
        <v>175746</v>
      </c>
      <c r="T1464" s="7">
        <f>Table1_1[[#This Row],[Units Sold]]*Table1_1[[#This Row],[Unit Cost]]</f>
        <v>162080</v>
      </c>
      <c r="U1464" s="7">
        <f>Table1_1[[#This Row],[Calculated sales]]-Table1_1[[#This Row],[Total cost]]</f>
        <v>13666</v>
      </c>
      <c r="V1464" s="4">
        <f>IFERROR(Table1_1[[#This Row],[Profit/Loss]]/Table1_1[[#This Row],[Calculated sales]],0)</f>
        <v>7.7759949017331825E-2</v>
      </c>
    </row>
    <row r="1465" spans="1:22" x14ac:dyDescent="0.25">
      <c r="A1465" s="4" t="s">
        <v>1614</v>
      </c>
      <c r="B1465" s="5">
        <v>46003</v>
      </c>
      <c r="C1465" s="4">
        <f>YEAR(Table1_1[[#This Row],[Order Dates]])</f>
        <v>2025</v>
      </c>
      <c r="D1465" s="6">
        <f>MONTH(Table1_1[[#This Row],[Order Dates]])</f>
        <v>12</v>
      </c>
      <c r="E1465" s="4" t="s">
        <v>16</v>
      </c>
      <c r="F1465" s="4" t="s">
        <v>17</v>
      </c>
      <c r="G1465" s="4" t="s">
        <v>18</v>
      </c>
      <c r="H1465" s="4" t="str">
        <f>TRIM(CLEAN(SUBSTITUTE(Table1_1[[#This Row],[Salesperson]],"   "," ")))</f>
        <v>Imran Sheikh</v>
      </c>
      <c r="I1465" s="4" t="s">
        <v>19</v>
      </c>
      <c r="J1465" s="4" t="s">
        <v>83</v>
      </c>
      <c r="K1465" s="4" t="s">
        <v>84</v>
      </c>
      <c r="L1465" s="4" t="s">
        <v>1671</v>
      </c>
      <c r="M1465" s="4" t="s">
        <v>40</v>
      </c>
      <c r="N1465" s="4" t="s">
        <v>35</v>
      </c>
      <c r="O1465" s="4">
        <v>20</v>
      </c>
      <c r="P1465" s="7">
        <v>2340</v>
      </c>
      <c r="Q1465" s="8">
        <v>0.08</v>
      </c>
      <c r="R1465" s="7">
        <v>1330</v>
      </c>
      <c r="S1465" s="7">
        <f>Table1_1[[#This Row],[Units Sold]]*Table1_1[[#This Row],[Unit Price]]*(1-Table1_1[[#This Row],[Discount %]])</f>
        <v>43056</v>
      </c>
      <c r="T1465" s="7">
        <f>Table1_1[[#This Row],[Units Sold]]*Table1_1[[#This Row],[Unit Cost]]</f>
        <v>26600</v>
      </c>
      <c r="U1465" s="7">
        <f>Table1_1[[#This Row],[Calculated sales]]-Table1_1[[#This Row],[Total cost]]</f>
        <v>16456</v>
      </c>
      <c r="V1465" s="4">
        <f>IFERROR(Table1_1[[#This Row],[Profit/Loss]]/Table1_1[[#This Row],[Calculated sales]],0)</f>
        <v>0.38219992567818656</v>
      </c>
    </row>
    <row r="1466" spans="1:22" x14ac:dyDescent="0.25">
      <c r="A1466" s="4" t="s">
        <v>1615</v>
      </c>
      <c r="B1466" s="5">
        <v>46004</v>
      </c>
      <c r="C1466" s="4">
        <f>YEAR(Table1_1[[#This Row],[Order Dates]])</f>
        <v>2025</v>
      </c>
      <c r="D1466" s="6">
        <f>MONTH(Table1_1[[#This Row],[Order Dates]])</f>
        <v>12</v>
      </c>
      <c r="E1466" s="4" t="s">
        <v>16</v>
      </c>
      <c r="F1466" s="4" t="s">
        <v>191</v>
      </c>
      <c r="G1466" s="4" t="s">
        <v>32</v>
      </c>
      <c r="H1466" s="4" t="str">
        <f>TRIM(CLEAN(SUBSTITUTE(Table1_1[[#This Row],[Salesperson]],"   "," ")))</f>
        <v>Neha Deshpande</v>
      </c>
      <c r="I1466" s="4" t="s">
        <v>19</v>
      </c>
      <c r="J1466" s="4" t="s">
        <v>83</v>
      </c>
      <c r="K1466" s="4" t="s">
        <v>184</v>
      </c>
      <c r="L1466" s="4" t="s">
        <v>1679</v>
      </c>
      <c r="M1466" s="4" t="s">
        <v>40</v>
      </c>
      <c r="N1466" s="4" t="s">
        <v>24</v>
      </c>
      <c r="O1466" s="4">
        <v>15</v>
      </c>
      <c r="P1466" s="7">
        <v>4690</v>
      </c>
      <c r="Q1466" s="8">
        <v>0.12</v>
      </c>
      <c r="R1466" s="7">
        <v>3600</v>
      </c>
      <c r="S1466" s="7">
        <f>Table1_1[[#This Row],[Units Sold]]*Table1_1[[#This Row],[Unit Price]]*(1-Table1_1[[#This Row],[Discount %]])</f>
        <v>61908</v>
      </c>
      <c r="T1466" s="7">
        <f>Table1_1[[#This Row],[Units Sold]]*Table1_1[[#This Row],[Unit Cost]]</f>
        <v>54000</v>
      </c>
      <c r="U1466" s="7">
        <f>Table1_1[[#This Row],[Calculated sales]]-Table1_1[[#This Row],[Total cost]]</f>
        <v>7908</v>
      </c>
      <c r="V1466" s="4">
        <f>IFERROR(Table1_1[[#This Row],[Profit/Loss]]/Table1_1[[#This Row],[Calculated sales]],0)</f>
        <v>0.12773793370808295</v>
      </c>
    </row>
    <row r="1467" spans="1:22" x14ac:dyDescent="0.25">
      <c r="A1467" s="4" t="s">
        <v>1616</v>
      </c>
      <c r="B1467" s="5">
        <v>46004</v>
      </c>
      <c r="C1467" s="4">
        <f>YEAR(Table1_1[[#This Row],[Order Dates]])</f>
        <v>2025</v>
      </c>
      <c r="D1467" s="6">
        <f>MONTH(Table1_1[[#This Row],[Order Dates]])</f>
        <v>12</v>
      </c>
      <c r="E1467" s="4" t="s">
        <v>56</v>
      </c>
      <c r="F1467" s="4" t="s">
        <v>103</v>
      </c>
      <c r="G1467" s="4" t="s">
        <v>134</v>
      </c>
      <c r="H1467" s="4" t="str">
        <f>TRIM(CLEAN(SUBSTITUTE(Table1_1[[#This Row],[Salesperson]],"   "," ")))</f>
        <v>Divya Nair</v>
      </c>
      <c r="I1467" s="4" t="s">
        <v>19</v>
      </c>
      <c r="J1467" s="4" t="s">
        <v>83</v>
      </c>
      <c r="K1467" s="4" t="s">
        <v>136</v>
      </c>
      <c r="L1467" s="4" t="s">
        <v>137</v>
      </c>
      <c r="M1467" s="4" t="s">
        <v>23</v>
      </c>
      <c r="N1467" s="4" t="s">
        <v>119</v>
      </c>
      <c r="O1467" s="4">
        <v>6</v>
      </c>
      <c r="P1467" s="7">
        <v>1650</v>
      </c>
      <c r="Q1467" s="8">
        <v>0</v>
      </c>
      <c r="R1467" s="7">
        <v>1170</v>
      </c>
      <c r="S1467" s="7">
        <f>Table1_1[[#This Row],[Units Sold]]*Table1_1[[#This Row],[Unit Price]]*(1-Table1_1[[#This Row],[Discount %]])</f>
        <v>9900</v>
      </c>
      <c r="T1467" s="7">
        <f>Table1_1[[#This Row],[Units Sold]]*Table1_1[[#This Row],[Unit Cost]]</f>
        <v>7020</v>
      </c>
      <c r="U1467" s="7">
        <f>Table1_1[[#This Row],[Calculated sales]]-Table1_1[[#This Row],[Total cost]]</f>
        <v>2880</v>
      </c>
      <c r="V1467" s="4">
        <f>IFERROR(Table1_1[[#This Row],[Profit/Loss]]/Table1_1[[#This Row],[Calculated sales]],0)</f>
        <v>0.29090909090909089</v>
      </c>
    </row>
    <row r="1468" spans="1:22" x14ac:dyDescent="0.25">
      <c r="A1468" s="4" t="s">
        <v>1617</v>
      </c>
      <c r="B1468" s="5">
        <v>46004</v>
      </c>
      <c r="C1468" s="4">
        <f>YEAR(Table1_1[[#This Row],[Order Dates]])</f>
        <v>2025</v>
      </c>
      <c r="D1468" s="6">
        <f>MONTH(Table1_1[[#This Row],[Order Dates]])</f>
        <v>12</v>
      </c>
      <c r="E1468" s="4" t="s">
        <v>42</v>
      </c>
      <c r="F1468" s="4" t="s">
        <v>265</v>
      </c>
      <c r="G1468" s="4" t="s">
        <v>44</v>
      </c>
      <c r="H1468" s="4" t="str">
        <f>TRIM(CLEAN(SUBSTITUTE(Table1_1[[#This Row],[Salesperson]],"   "," ")))</f>
        <v>Simran Kaur</v>
      </c>
      <c r="I1468" s="4" t="s">
        <v>92</v>
      </c>
      <c r="J1468" s="4" t="s">
        <v>83</v>
      </c>
      <c r="K1468" s="4" t="s">
        <v>84</v>
      </c>
      <c r="L1468" s="4" t="s">
        <v>1671</v>
      </c>
      <c r="M1468" s="4" t="s">
        <v>40</v>
      </c>
      <c r="N1468" s="4" t="s">
        <v>24</v>
      </c>
      <c r="O1468" s="4">
        <v>61</v>
      </c>
      <c r="P1468" s="7">
        <v>2410</v>
      </c>
      <c r="Q1468" s="8">
        <v>0.1</v>
      </c>
      <c r="R1468" s="7">
        <v>1870</v>
      </c>
      <c r="S1468" s="7">
        <f>Table1_1[[#This Row],[Units Sold]]*Table1_1[[#This Row],[Unit Price]]*(1-Table1_1[[#This Row],[Discount %]])</f>
        <v>132309</v>
      </c>
      <c r="T1468" s="7">
        <f>Table1_1[[#This Row],[Units Sold]]*Table1_1[[#This Row],[Unit Cost]]</f>
        <v>114070</v>
      </c>
      <c r="U1468" s="7">
        <f>Table1_1[[#This Row],[Calculated sales]]-Table1_1[[#This Row],[Total cost]]</f>
        <v>18239</v>
      </c>
      <c r="V1468" s="4">
        <f>IFERROR(Table1_1[[#This Row],[Profit/Loss]]/Table1_1[[#This Row],[Calculated sales]],0)</f>
        <v>0.13785154449054865</v>
      </c>
    </row>
    <row r="1469" spans="1:22" x14ac:dyDescent="0.25">
      <c r="A1469" s="4" t="s">
        <v>1618</v>
      </c>
      <c r="B1469" s="5">
        <v>46004</v>
      </c>
      <c r="C1469" s="4">
        <f>YEAR(Table1_1[[#This Row],[Order Dates]])</f>
        <v>2025</v>
      </c>
      <c r="D1469" s="6">
        <f>MONTH(Table1_1[[#This Row],[Order Dates]])</f>
        <v>12</v>
      </c>
      <c r="E1469" s="4" t="s">
        <v>16</v>
      </c>
      <c r="F1469" s="4" t="s">
        <v>51</v>
      </c>
      <c r="G1469" s="4" t="s">
        <v>18</v>
      </c>
      <c r="H1469" s="4" t="str">
        <f>TRIM(CLEAN(SUBSTITUTE(Table1_1[[#This Row],[Salesperson]],"   "," ")))</f>
        <v>Imran Sheikh</v>
      </c>
      <c r="I1469" s="4" t="s">
        <v>92</v>
      </c>
      <c r="J1469" s="4" t="s">
        <v>27</v>
      </c>
      <c r="K1469" s="4" t="s">
        <v>28</v>
      </c>
      <c r="L1469" s="4" t="s">
        <v>141</v>
      </c>
      <c r="M1469" s="4" t="s">
        <v>23</v>
      </c>
      <c r="N1469" s="4" t="s">
        <v>24</v>
      </c>
      <c r="O1469" s="4">
        <v>4</v>
      </c>
      <c r="P1469" s="7">
        <v>17120</v>
      </c>
      <c r="Q1469" s="8">
        <v>0.1</v>
      </c>
      <c r="R1469" s="7">
        <v>11740</v>
      </c>
      <c r="S1469" s="7">
        <f>Table1_1[[#This Row],[Units Sold]]*Table1_1[[#This Row],[Unit Price]]*(1-Table1_1[[#This Row],[Discount %]])</f>
        <v>61632</v>
      </c>
      <c r="T1469" s="7">
        <f>Table1_1[[#This Row],[Units Sold]]*Table1_1[[#This Row],[Unit Cost]]</f>
        <v>46960</v>
      </c>
      <c r="U1469" s="7">
        <f>Table1_1[[#This Row],[Calculated sales]]-Table1_1[[#This Row],[Total cost]]</f>
        <v>14672</v>
      </c>
      <c r="V1469" s="4">
        <f>IFERROR(Table1_1[[#This Row],[Profit/Loss]]/Table1_1[[#This Row],[Calculated sales]],0)</f>
        <v>0.23805815160955349</v>
      </c>
    </row>
    <row r="1470" spans="1:22" x14ac:dyDescent="0.25">
      <c r="A1470" s="4" t="s">
        <v>1619</v>
      </c>
      <c r="B1470" s="5">
        <v>46005</v>
      </c>
      <c r="C1470" s="4">
        <f>YEAR(Table1_1[[#This Row],[Order Dates]])</f>
        <v>2025</v>
      </c>
      <c r="D1470" s="6">
        <f>MONTH(Table1_1[[#This Row],[Order Dates]])</f>
        <v>12</v>
      </c>
      <c r="E1470" s="4" t="s">
        <v>76</v>
      </c>
      <c r="F1470" s="4" t="s">
        <v>150</v>
      </c>
      <c r="G1470" s="4" t="s">
        <v>78</v>
      </c>
      <c r="H1470" s="4" t="str">
        <f>TRIM(CLEAN(SUBSTITUTE(Table1_1[[#This Row],[Salesperson]],"   "," ")))</f>
        <v>Pooja Chouhan</v>
      </c>
      <c r="I1470" s="4" t="s">
        <v>45</v>
      </c>
      <c r="J1470" s="4" t="s">
        <v>46</v>
      </c>
      <c r="K1470" s="4" t="s">
        <v>179</v>
      </c>
      <c r="L1470" s="4" t="s">
        <v>180</v>
      </c>
      <c r="M1470" s="4" t="s">
        <v>23</v>
      </c>
      <c r="N1470" s="4" t="s">
        <v>24</v>
      </c>
      <c r="O1470" s="4">
        <v>8</v>
      </c>
      <c r="P1470" s="7">
        <v>3950</v>
      </c>
      <c r="Q1470" s="8">
        <v>0.08</v>
      </c>
      <c r="R1470" s="7">
        <v>2640</v>
      </c>
      <c r="S1470" s="7">
        <f>Table1_1[[#This Row],[Units Sold]]*Table1_1[[#This Row],[Unit Price]]*(1-Table1_1[[#This Row],[Discount %]])</f>
        <v>29072</v>
      </c>
      <c r="T1470" s="7">
        <f>Table1_1[[#This Row],[Units Sold]]*Table1_1[[#This Row],[Unit Cost]]</f>
        <v>21120</v>
      </c>
      <c r="U1470" s="7">
        <f>Table1_1[[#This Row],[Calculated sales]]-Table1_1[[#This Row],[Total cost]]</f>
        <v>7952</v>
      </c>
      <c r="V1470" s="4">
        <f>IFERROR(Table1_1[[#This Row],[Profit/Loss]]/Table1_1[[#This Row],[Calculated sales]],0)</f>
        <v>0.27352779306549257</v>
      </c>
    </row>
    <row r="1471" spans="1:22" x14ac:dyDescent="0.25">
      <c r="A1471" s="4" t="s">
        <v>1620</v>
      </c>
      <c r="B1471" s="5">
        <v>46006</v>
      </c>
      <c r="C1471" s="4">
        <f>YEAR(Table1_1[[#This Row],[Order Dates]])</f>
        <v>2025</v>
      </c>
      <c r="D1471" s="6">
        <f>MONTH(Table1_1[[#This Row],[Order Dates]])</f>
        <v>12</v>
      </c>
      <c r="E1471" s="4" t="s">
        <v>16</v>
      </c>
      <c r="F1471" s="4" t="s">
        <v>31</v>
      </c>
      <c r="G1471" s="4" t="s">
        <v>26</v>
      </c>
      <c r="H1471" s="4" t="str">
        <f>TRIM(CLEAN(SUBSTITUTE(Table1_1[[#This Row],[Salesperson]],"   "," ")))</f>
        <v>Prateek Shah</v>
      </c>
      <c r="I1471" s="4" t="s">
        <v>52</v>
      </c>
      <c r="J1471" s="4" t="s">
        <v>59</v>
      </c>
      <c r="K1471" s="4" t="s">
        <v>69</v>
      </c>
      <c r="L1471" s="4" t="s">
        <v>121</v>
      </c>
      <c r="M1471" s="4" t="s">
        <v>40</v>
      </c>
      <c r="N1471" s="4" t="s">
        <v>94</v>
      </c>
      <c r="O1471" s="4">
        <v>9</v>
      </c>
      <c r="P1471" s="7">
        <v>3750</v>
      </c>
      <c r="Q1471" s="8">
        <v>0.15</v>
      </c>
      <c r="R1471" s="7">
        <v>2480</v>
      </c>
      <c r="S1471" s="7">
        <f>Table1_1[[#This Row],[Units Sold]]*Table1_1[[#This Row],[Unit Price]]*(1-Table1_1[[#This Row],[Discount %]])</f>
        <v>28687.5</v>
      </c>
      <c r="T1471" s="7">
        <f>Table1_1[[#This Row],[Units Sold]]*Table1_1[[#This Row],[Unit Cost]]</f>
        <v>22320</v>
      </c>
      <c r="U1471" s="7">
        <f>Table1_1[[#This Row],[Calculated sales]]-Table1_1[[#This Row],[Total cost]]</f>
        <v>6367.5</v>
      </c>
      <c r="V1471" s="4">
        <f>IFERROR(Table1_1[[#This Row],[Profit/Loss]]/Table1_1[[#This Row],[Calculated sales]],0)</f>
        <v>0.22196078431372548</v>
      </c>
    </row>
    <row r="1472" spans="1:22" x14ac:dyDescent="0.25">
      <c r="A1472" s="4" t="s">
        <v>1621</v>
      </c>
      <c r="B1472" s="5">
        <v>46006</v>
      </c>
      <c r="C1472" s="4">
        <f>YEAR(Table1_1[[#This Row],[Order Dates]])</f>
        <v>2025</v>
      </c>
      <c r="D1472" s="6">
        <f>MONTH(Table1_1[[#This Row],[Order Dates]])</f>
        <v>12</v>
      </c>
      <c r="E1472" s="4" t="s">
        <v>16</v>
      </c>
      <c r="F1472" s="4" t="s">
        <v>153</v>
      </c>
      <c r="G1472" s="4" t="s">
        <v>32</v>
      </c>
      <c r="H1472" s="4" t="str">
        <f>TRIM(CLEAN(SUBSTITUTE(Table1_1[[#This Row],[Salesperson]],"   "," ")))</f>
        <v>Neha Deshpande</v>
      </c>
      <c r="I1472" s="4" t="s">
        <v>19</v>
      </c>
      <c r="J1472" s="4" t="s">
        <v>59</v>
      </c>
      <c r="K1472" s="4" t="s">
        <v>73</v>
      </c>
      <c r="L1472" s="4" t="s">
        <v>74</v>
      </c>
      <c r="M1472" s="4" t="s">
        <v>23</v>
      </c>
      <c r="N1472" s="4" t="s">
        <v>24</v>
      </c>
      <c r="O1472" s="4">
        <v>3</v>
      </c>
      <c r="P1472" s="7">
        <v>47200</v>
      </c>
      <c r="Q1472" s="8">
        <v>0</v>
      </c>
      <c r="R1472" s="7">
        <v>32350</v>
      </c>
      <c r="S1472" s="7">
        <f>Table1_1[[#This Row],[Units Sold]]*Table1_1[[#This Row],[Unit Price]]*(1-Table1_1[[#This Row],[Discount %]])</f>
        <v>141600</v>
      </c>
      <c r="T1472" s="7">
        <f>Table1_1[[#This Row],[Units Sold]]*Table1_1[[#This Row],[Unit Cost]]</f>
        <v>97050</v>
      </c>
      <c r="U1472" s="7">
        <f>Table1_1[[#This Row],[Calculated sales]]-Table1_1[[#This Row],[Total cost]]</f>
        <v>44550</v>
      </c>
      <c r="V1472" s="4">
        <f>IFERROR(Table1_1[[#This Row],[Profit/Loss]]/Table1_1[[#This Row],[Calculated sales]],0)</f>
        <v>0.3146186440677966</v>
      </c>
    </row>
    <row r="1473" spans="1:22" x14ac:dyDescent="0.25">
      <c r="A1473" s="4" t="s">
        <v>1622</v>
      </c>
      <c r="B1473" s="5">
        <v>46007</v>
      </c>
      <c r="C1473" s="4">
        <f>YEAR(Table1_1[[#This Row],[Order Dates]])</f>
        <v>2025</v>
      </c>
      <c r="D1473" s="6">
        <f>MONTH(Table1_1[[#This Row],[Order Dates]])</f>
        <v>12</v>
      </c>
      <c r="E1473" s="4" t="s">
        <v>42</v>
      </c>
      <c r="F1473" s="4" t="s">
        <v>123</v>
      </c>
      <c r="G1473" s="4" t="s">
        <v>64</v>
      </c>
      <c r="H1473" s="4" t="str">
        <f>TRIM(CLEAN(SUBSTITUTE(Table1_1[[#This Row],[Salesperson]],"   "," ")))</f>
        <v>Aditya Verma</v>
      </c>
      <c r="I1473" s="4" t="s">
        <v>92</v>
      </c>
      <c r="J1473" s="4" t="s">
        <v>59</v>
      </c>
      <c r="K1473" s="4" t="s">
        <v>73</v>
      </c>
      <c r="L1473" s="4" t="s">
        <v>113</v>
      </c>
      <c r="M1473" s="4" t="s">
        <v>49</v>
      </c>
      <c r="N1473" s="4" t="s">
        <v>24</v>
      </c>
      <c r="O1473" s="4">
        <v>6</v>
      </c>
      <c r="P1473" s="7">
        <v>33120</v>
      </c>
      <c r="Q1473" s="8">
        <v>0.05</v>
      </c>
      <c r="R1473" s="7">
        <v>18910</v>
      </c>
      <c r="S1473" s="7">
        <f>Table1_1[[#This Row],[Units Sold]]*Table1_1[[#This Row],[Unit Price]]*(1-Table1_1[[#This Row],[Discount %]])</f>
        <v>188784</v>
      </c>
      <c r="T1473" s="7">
        <f>Table1_1[[#This Row],[Units Sold]]*Table1_1[[#This Row],[Unit Cost]]</f>
        <v>113460</v>
      </c>
      <c r="U1473" s="7">
        <f>Table1_1[[#This Row],[Calculated sales]]-Table1_1[[#This Row],[Total cost]]</f>
        <v>75324</v>
      </c>
      <c r="V1473" s="4">
        <f>IFERROR(Table1_1[[#This Row],[Profit/Loss]]/Table1_1[[#This Row],[Calculated sales]],0)</f>
        <v>0.39899567759979659</v>
      </c>
    </row>
    <row r="1474" spans="1:22" x14ac:dyDescent="0.25">
      <c r="A1474" s="4" t="s">
        <v>1623</v>
      </c>
      <c r="B1474" s="5">
        <v>46008</v>
      </c>
      <c r="C1474" s="4">
        <f>YEAR(Table1_1[[#This Row],[Order Dates]])</f>
        <v>2025</v>
      </c>
      <c r="D1474" s="6">
        <f>MONTH(Table1_1[[#This Row],[Order Dates]])</f>
        <v>12</v>
      </c>
      <c r="E1474" s="4" t="s">
        <v>42</v>
      </c>
      <c r="F1474" s="4" t="s">
        <v>265</v>
      </c>
      <c r="G1474" s="4" t="s">
        <v>97</v>
      </c>
      <c r="H1474" s="4" t="str">
        <f>TRIM(CLEAN(SUBSTITUTE(Table1_1[[#This Row],[Salesperson]],"   "," ")))</f>
        <v>Rohit Malhotra</v>
      </c>
      <c r="I1474" s="4" t="s">
        <v>19</v>
      </c>
      <c r="J1474" s="4" t="s">
        <v>27</v>
      </c>
      <c r="K1474" s="4" t="s">
        <v>79</v>
      </c>
      <c r="L1474" s="4" t="s">
        <v>262</v>
      </c>
      <c r="M1474" s="4" t="s">
        <v>23</v>
      </c>
      <c r="N1474" s="4" t="s">
        <v>24</v>
      </c>
      <c r="O1474" s="4">
        <v>35</v>
      </c>
      <c r="P1474" s="7">
        <v>2600</v>
      </c>
      <c r="Q1474" s="8">
        <v>0.25</v>
      </c>
      <c r="R1474" s="7">
        <v>1530</v>
      </c>
      <c r="S1474" s="7">
        <f>Table1_1[[#This Row],[Units Sold]]*Table1_1[[#This Row],[Unit Price]]*(1-Table1_1[[#This Row],[Discount %]])</f>
        <v>68250</v>
      </c>
      <c r="T1474" s="7">
        <f>Table1_1[[#This Row],[Units Sold]]*Table1_1[[#This Row],[Unit Cost]]</f>
        <v>53550</v>
      </c>
      <c r="U1474" s="7">
        <f>Table1_1[[#This Row],[Calculated sales]]-Table1_1[[#This Row],[Total cost]]</f>
        <v>14700</v>
      </c>
      <c r="V1474" s="4">
        <f>IFERROR(Table1_1[[#This Row],[Profit/Loss]]/Table1_1[[#This Row],[Calculated sales]],0)</f>
        <v>0.2153846153846154</v>
      </c>
    </row>
    <row r="1475" spans="1:22" x14ac:dyDescent="0.25">
      <c r="A1475" s="4" t="s">
        <v>1624</v>
      </c>
      <c r="B1475" s="5">
        <v>46008</v>
      </c>
      <c r="C1475" s="4">
        <f>YEAR(Table1_1[[#This Row],[Order Dates]])</f>
        <v>2025</v>
      </c>
      <c r="D1475" s="6">
        <f>MONTH(Table1_1[[#This Row],[Order Dates]])</f>
        <v>12</v>
      </c>
      <c r="E1475" s="4" t="s">
        <v>42</v>
      </c>
      <c r="F1475" s="4" t="s">
        <v>123</v>
      </c>
      <c r="G1475" s="4" t="s">
        <v>97</v>
      </c>
      <c r="H1475" s="4" t="str">
        <f>TRIM(CLEAN(SUBSTITUTE(Table1_1[[#This Row],[Salesperson]],"   "," ")))</f>
        <v>Rohit Malhotra</v>
      </c>
      <c r="I1475" s="4" t="s">
        <v>92</v>
      </c>
      <c r="J1475" s="4" t="s">
        <v>27</v>
      </c>
      <c r="K1475" s="4" t="s">
        <v>53</v>
      </c>
      <c r="L1475" s="4" t="s">
        <v>1669</v>
      </c>
      <c r="M1475" s="4" t="s">
        <v>40</v>
      </c>
      <c r="N1475" s="4" t="s">
        <v>35</v>
      </c>
      <c r="O1475" s="4">
        <v>1</v>
      </c>
      <c r="P1475" s="7">
        <v>41730</v>
      </c>
      <c r="Q1475" s="8">
        <v>0.15</v>
      </c>
      <c r="R1475" s="7">
        <v>31200</v>
      </c>
      <c r="S1475" s="7">
        <f>Table1_1[[#This Row],[Units Sold]]*Table1_1[[#This Row],[Unit Price]]*(1-Table1_1[[#This Row],[Discount %]])</f>
        <v>35470.5</v>
      </c>
      <c r="T1475" s="7">
        <f>Table1_1[[#This Row],[Units Sold]]*Table1_1[[#This Row],[Unit Cost]]</f>
        <v>31200</v>
      </c>
      <c r="U1475" s="7">
        <f>Table1_1[[#This Row],[Calculated sales]]-Table1_1[[#This Row],[Total cost]]</f>
        <v>4270.5</v>
      </c>
      <c r="V1475" s="4">
        <f>IFERROR(Table1_1[[#This Row],[Profit/Loss]]/Table1_1[[#This Row],[Calculated sales]],0)</f>
        <v>0.12039582188015394</v>
      </c>
    </row>
    <row r="1476" spans="1:22" x14ac:dyDescent="0.25">
      <c r="A1476" s="4" t="s">
        <v>1625</v>
      </c>
      <c r="B1476" s="5">
        <v>46008</v>
      </c>
      <c r="C1476" s="4">
        <f>YEAR(Table1_1[[#This Row],[Order Dates]])</f>
        <v>2025</v>
      </c>
      <c r="D1476" s="6">
        <f>MONTH(Table1_1[[#This Row],[Order Dates]])</f>
        <v>12</v>
      </c>
      <c r="E1476" s="4" t="s">
        <v>76</v>
      </c>
      <c r="F1476" s="4" t="s">
        <v>77</v>
      </c>
      <c r="G1476" s="4" t="s">
        <v>170</v>
      </c>
      <c r="H1476" s="4" t="str">
        <f>TRIM(CLEAN(SUBSTITUTE(Table1_1[[#This Row],[Salesperson]],"   "," ")))</f>
        <v>Manish Tiwari</v>
      </c>
      <c r="I1476" s="4" t="s">
        <v>19</v>
      </c>
      <c r="J1476" s="4" t="s">
        <v>59</v>
      </c>
      <c r="K1476" s="4" t="s">
        <v>69</v>
      </c>
      <c r="L1476" s="4" t="s">
        <v>121</v>
      </c>
      <c r="M1476" s="4" t="s">
        <v>40</v>
      </c>
      <c r="N1476" s="4" t="s">
        <v>24</v>
      </c>
      <c r="O1476" s="4">
        <v>3</v>
      </c>
      <c r="P1476" s="7">
        <v>3420</v>
      </c>
      <c r="Q1476" s="8">
        <v>0.1</v>
      </c>
      <c r="R1476" s="7">
        <v>2140</v>
      </c>
      <c r="S1476" s="7">
        <f>Table1_1[[#This Row],[Units Sold]]*Table1_1[[#This Row],[Unit Price]]*(1-Table1_1[[#This Row],[Discount %]])</f>
        <v>9234</v>
      </c>
      <c r="T1476" s="7">
        <f>Table1_1[[#This Row],[Units Sold]]*Table1_1[[#This Row],[Unit Cost]]</f>
        <v>6420</v>
      </c>
      <c r="U1476" s="7">
        <f>Table1_1[[#This Row],[Calculated sales]]-Table1_1[[#This Row],[Total cost]]</f>
        <v>2814</v>
      </c>
      <c r="V1476" s="4">
        <f>IFERROR(Table1_1[[#This Row],[Profit/Loss]]/Table1_1[[#This Row],[Calculated sales]],0)</f>
        <v>0.30474333983105911</v>
      </c>
    </row>
    <row r="1477" spans="1:22" x14ac:dyDescent="0.25">
      <c r="A1477" s="4" t="s">
        <v>1626</v>
      </c>
      <c r="B1477" s="5">
        <v>46008</v>
      </c>
      <c r="C1477" s="4">
        <f>YEAR(Table1_1[[#This Row],[Order Dates]])</f>
        <v>2025</v>
      </c>
      <c r="D1477" s="6">
        <f>MONTH(Table1_1[[#This Row],[Order Dates]])</f>
        <v>12</v>
      </c>
      <c r="E1477" s="4" t="s">
        <v>56</v>
      </c>
      <c r="F1477" s="4" t="s">
        <v>72</v>
      </c>
      <c r="G1477" s="4" t="s">
        <v>91</v>
      </c>
      <c r="H1477" s="4" t="str">
        <f>TRIM(CLEAN(SUBSTITUTE(Table1_1[[#This Row],[Salesperson]],"   "," ")))</f>
        <v>Anjali Menon</v>
      </c>
      <c r="I1477" s="4" t="s">
        <v>52</v>
      </c>
      <c r="J1477" s="4" t="s">
        <v>46</v>
      </c>
      <c r="K1477" s="4" t="s">
        <v>47</v>
      </c>
      <c r="L1477" s="4" t="s">
        <v>48</v>
      </c>
      <c r="M1477" s="4" t="s">
        <v>49</v>
      </c>
      <c r="N1477" s="4" t="s">
        <v>94</v>
      </c>
      <c r="O1477" s="4">
        <v>33</v>
      </c>
      <c r="P1477" s="7">
        <v>1920</v>
      </c>
      <c r="Q1477" s="8">
        <v>0</v>
      </c>
      <c r="R1477" s="7">
        <v>1490</v>
      </c>
      <c r="S1477" s="7">
        <f>Table1_1[[#This Row],[Units Sold]]*Table1_1[[#This Row],[Unit Price]]*(1-Table1_1[[#This Row],[Discount %]])</f>
        <v>63360</v>
      </c>
      <c r="T1477" s="7">
        <f>Table1_1[[#This Row],[Units Sold]]*Table1_1[[#This Row],[Unit Cost]]</f>
        <v>49170</v>
      </c>
      <c r="U1477" s="7">
        <f>Table1_1[[#This Row],[Calculated sales]]-Table1_1[[#This Row],[Total cost]]</f>
        <v>14190</v>
      </c>
      <c r="V1477" s="4">
        <f>IFERROR(Table1_1[[#This Row],[Profit/Loss]]/Table1_1[[#This Row],[Calculated sales]],0)</f>
        <v>0.22395833333333334</v>
      </c>
    </row>
    <row r="1478" spans="1:22" x14ac:dyDescent="0.25">
      <c r="A1478" s="4" t="s">
        <v>1627</v>
      </c>
      <c r="B1478" s="5">
        <v>46009</v>
      </c>
      <c r="C1478" s="4">
        <f>YEAR(Table1_1[[#This Row],[Order Dates]])</f>
        <v>2025</v>
      </c>
      <c r="D1478" s="6">
        <f>MONTH(Table1_1[[#This Row],[Order Dates]])</f>
        <v>12</v>
      </c>
      <c r="E1478" s="4" t="s">
        <v>42</v>
      </c>
      <c r="F1478" s="4" t="s">
        <v>43</v>
      </c>
      <c r="G1478" s="4" t="s">
        <v>44</v>
      </c>
      <c r="H1478" s="4" t="str">
        <f>TRIM(CLEAN(SUBSTITUTE(Table1_1[[#This Row],[Salesperson]],"   "," ")))</f>
        <v>Simran Kaur</v>
      </c>
      <c r="I1478" s="4" t="s">
        <v>19</v>
      </c>
      <c r="J1478" s="4" t="s">
        <v>27</v>
      </c>
      <c r="K1478" s="4" t="s">
        <v>79</v>
      </c>
      <c r="L1478" s="4" t="s">
        <v>80</v>
      </c>
      <c r="M1478" s="4" t="s">
        <v>40</v>
      </c>
      <c r="N1478" s="4" t="s">
        <v>24</v>
      </c>
      <c r="O1478" s="4">
        <v>9</v>
      </c>
      <c r="P1478" s="7">
        <v>4410</v>
      </c>
      <c r="Q1478" s="8">
        <v>0</v>
      </c>
      <c r="R1478" s="7">
        <v>3460</v>
      </c>
      <c r="S1478" s="7">
        <f>Table1_1[[#This Row],[Units Sold]]*Table1_1[[#This Row],[Unit Price]]*(1-Table1_1[[#This Row],[Discount %]])</f>
        <v>39690</v>
      </c>
      <c r="T1478" s="7">
        <f>Table1_1[[#This Row],[Units Sold]]*Table1_1[[#This Row],[Unit Cost]]</f>
        <v>31140</v>
      </c>
      <c r="U1478" s="7">
        <f>Table1_1[[#This Row],[Calculated sales]]-Table1_1[[#This Row],[Total cost]]</f>
        <v>8550</v>
      </c>
      <c r="V1478" s="4">
        <f>IFERROR(Table1_1[[#This Row],[Profit/Loss]]/Table1_1[[#This Row],[Calculated sales]],0)</f>
        <v>0.21541950113378686</v>
      </c>
    </row>
    <row r="1479" spans="1:22" x14ac:dyDescent="0.25">
      <c r="A1479" s="4" t="s">
        <v>1628</v>
      </c>
      <c r="B1479" s="5">
        <v>46009</v>
      </c>
      <c r="C1479" s="4">
        <f>YEAR(Table1_1[[#This Row],[Order Dates]])</f>
        <v>2025</v>
      </c>
      <c r="D1479" s="6">
        <f>MONTH(Table1_1[[#This Row],[Order Dates]])</f>
        <v>12</v>
      </c>
      <c r="E1479" s="4" t="s">
        <v>37</v>
      </c>
      <c r="F1479" s="4" t="s">
        <v>161</v>
      </c>
      <c r="G1479" s="4" t="s">
        <v>39</v>
      </c>
      <c r="H1479" s="4" t="str">
        <f>TRIM(CLEAN(SUBSTITUTE(Table1_1[[#This Row],[Salesperson]],"   "," ")))</f>
        <v>Sourav Das</v>
      </c>
      <c r="I1479" s="4" t="s">
        <v>19</v>
      </c>
      <c r="J1479" s="4" t="s">
        <v>59</v>
      </c>
      <c r="K1479" s="4" t="s">
        <v>69</v>
      </c>
      <c r="L1479" s="4" t="s">
        <v>70</v>
      </c>
      <c r="M1479" s="4" t="s">
        <v>23</v>
      </c>
      <c r="N1479" s="4" t="s">
        <v>24</v>
      </c>
      <c r="O1479" s="4">
        <v>4</v>
      </c>
      <c r="P1479" s="7">
        <v>27490</v>
      </c>
      <c r="Q1479" s="8">
        <v>0.1</v>
      </c>
      <c r="R1479" s="7">
        <v>21450</v>
      </c>
      <c r="S1479" s="7">
        <f>Table1_1[[#This Row],[Units Sold]]*Table1_1[[#This Row],[Unit Price]]*(1-Table1_1[[#This Row],[Discount %]])</f>
        <v>98964</v>
      </c>
      <c r="T1479" s="7">
        <f>Table1_1[[#This Row],[Units Sold]]*Table1_1[[#This Row],[Unit Cost]]</f>
        <v>85800</v>
      </c>
      <c r="U1479" s="7">
        <f>Table1_1[[#This Row],[Calculated sales]]-Table1_1[[#This Row],[Total cost]]</f>
        <v>13164</v>
      </c>
      <c r="V1479" s="4">
        <f>IFERROR(Table1_1[[#This Row],[Profit/Loss]]/Table1_1[[#This Row],[Calculated sales]],0)</f>
        <v>0.13301806717594278</v>
      </c>
    </row>
    <row r="1480" spans="1:22" x14ac:dyDescent="0.25">
      <c r="A1480" s="4" t="s">
        <v>1629</v>
      </c>
      <c r="B1480" s="5">
        <v>46009</v>
      </c>
      <c r="C1480" s="4">
        <f>YEAR(Table1_1[[#This Row],[Order Dates]])</f>
        <v>2025</v>
      </c>
      <c r="D1480" s="6">
        <f>MONTH(Table1_1[[#This Row],[Order Dates]])</f>
        <v>12</v>
      </c>
      <c r="E1480" s="4" t="s">
        <v>56</v>
      </c>
      <c r="F1480" s="4" t="s">
        <v>72</v>
      </c>
      <c r="G1480" s="4" t="s">
        <v>134</v>
      </c>
      <c r="H1480" s="4" t="str">
        <f>TRIM(CLEAN(SUBSTITUTE(Table1_1[[#This Row],[Salesperson]],"   "," ")))</f>
        <v>Divya Nair</v>
      </c>
      <c r="I1480" s="4" t="s">
        <v>19</v>
      </c>
      <c r="J1480" s="4" t="s">
        <v>20</v>
      </c>
      <c r="K1480" s="4" t="s">
        <v>87</v>
      </c>
      <c r="L1480" s="4" t="s">
        <v>1672</v>
      </c>
      <c r="M1480" s="4" t="s">
        <v>49</v>
      </c>
      <c r="N1480" s="4" t="s">
        <v>35</v>
      </c>
      <c r="O1480" s="4">
        <v>3</v>
      </c>
      <c r="P1480" s="7">
        <v>33740</v>
      </c>
      <c r="Q1480" s="8">
        <v>0.12</v>
      </c>
      <c r="R1480" s="7">
        <v>25150</v>
      </c>
      <c r="S1480" s="7">
        <f>Table1_1[[#This Row],[Units Sold]]*Table1_1[[#This Row],[Unit Price]]*(1-Table1_1[[#This Row],[Discount %]])</f>
        <v>89073.600000000006</v>
      </c>
      <c r="T1480" s="7">
        <f>Table1_1[[#This Row],[Units Sold]]*Table1_1[[#This Row],[Unit Cost]]</f>
        <v>75450</v>
      </c>
      <c r="U1480" s="7">
        <f>Table1_1[[#This Row],[Calculated sales]]-Table1_1[[#This Row],[Total cost]]</f>
        <v>13623.600000000006</v>
      </c>
      <c r="V1480" s="4">
        <f>IFERROR(Table1_1[[#This Row],[Profit/Loss]]/Table1_1[[#This Row],[Calculated sales]],0)</f>
        <v>0.15294767473190715</v>
      </c>
    </row>
    <row r="1481" spans="1:22" x14ac:dyDescent="0.25">
      <c r="A1481" s="4" t="s">
        <v>1630</v>
      </c>
      <c r="B1481" s="5">
        <v>46009</v>
      </c>
      <c r="C1481" s="4">
        <f>YEAR(Table1_1[[#This Row],[Order Dates]])</f>
        <v>2025</v>
      </c>
      <c r="D1481" s="6">
        <f>MONTH(Table1_1[[#This Row],[Order Dates]])</f>
        <v>12</v>
      </c>
      <c r="E1481" s="4" t="s">
        <v>37</v>
      </c>
      <c r="F1481" s="4" t="s">
        <v>213</v>
      </c>
      <c r="G1481" s="4" t="s">
        <v>39</v>
      </c>
      <c r="H1481" s="4" t="str">
        <f>TRIM(CLEAN(SUBSTITUTE(Table1_1[[#This Row],[Salesperson]],"   "," ")))</f>
        <v>Sourav Das</v>
      </c>
      <c r="I1481" s="4" t="s">
        <v>19</v>
      </c>
      <c r="J1481" s="4" t="s">
        <v>46</v>
      </c>
      <c r="K1481" s="4" t="s">
        <v>179</v>
      </c>
      <c r="L1481" s="4" t="s">
        <v>221</v>
      </c>
      <c r="M1481" s="4" t="s">
        <v>23</v>
      </c>
      <c r="N1481" s="4" t="s">
        <v>24</v>
      </c>
      <c r="O1481" s="4">
        <v>16</v>
      </c>
      <c r="P1481" s="7">
        <v>1580</v>
      </c>
      <c r="Q1481" s="8">
        <v>0</v>
      </c>
      <c r="R1481" s="7">
        <v>1200</v>
      </c>
      <c r="S1481" s="7">
        <f>Table1_1[[#This Row],[Units Sold]]*Table1_1[[#This Row],[Unit Price]]*(1-Table1_1[[#This Row],[Discount %]])</f>
        <v>25280</v>
      </c>
      <c r="T1481" s="7">
        <f>Table1_1[[#This Row],[Units Sold]]*Table1_1[[#This Row],[Unit Cost]]</f>
        <v>19200</v>
      </c>
      <c r="U1481" s="7">
        <f>Table1_1[[#This Row],[Calculated sales]]-Table1_1[[#This Row],[Total cost]]</f>
        <v>6080</v>
      </c>
      <c r="V1481" s="4">
        <f>IFERROR(Table1_1[[#This Row],[Profit/Loss]]/Table1_1[[#This Row],[Calculated sales]],0)</f>
        <v>0.24050632911392406</v>
      </c>
    </row>
    <row r="1482" spans="1:22" x14ac:dyDescent="0.25">
      <c r="A1482" s="4" t="s">
        <v>1631</v>
      </c>
      <c r="B1482" s="5">
        <v>46011</v>
      </c>
      <c r="C1482" s="4">
        <f>YEAR(Table1_1[[#This Row],[Order Dates]])</f>
        <v>2025</v>
      </c>
      <c r="D1482" s="6">
        <f>MONTH(Table1_1[[#This Row],[Order Dates]])</f>
        <v>12</v>
      </c>
      <c r="E1482" s="4" t="s">
        <v>56</v>
      </c>
      <c r="F1482" s="4" t="s">
        <v>103</v>
      </c>
      <c r="G1482" s="4" t="s">
        <v>91</v>
      </c>
      <c r="H1482" s="4" t="str">
        <f>TRIM(CLEAN(SUBSTITUTE(Table1_1[[#This Row],[Salesperson]],"   "," ")))</f>
        <v>Anjali Menon</v>
      </c>
      <c r="I1482" s="4" t="s">
        <v>92</v>
      </c>
      <c r="J1482" s="4" t="s">
        <v>59</v>
      </c>
      <c r="K1482" s="4" t="s">
        <v>73</v>
      </c>
      <c r="L1482" s="4" t="s">
        <v>113</v>
      </c>
      <c r="M1482" s="4" t="s">
        <v>23</v>
      </c>
      <c r="N1482" s="4" t="s">
        <v>24</v>
      </c>
      <c r="O1482" s="4">
        <v>7</v>
      </c>
      <c r="P1482" s="7">
        <v>31450</v>
      </c>
      <c r="Q1482" s="8">
        <v>0.15</v>
      </c>
      <c r="R1482" s="7">
        <v>23450</v>
      </c>
      <c r="S1482" s="7">
        <f>Table1_1[[#This Row],[Units Sold]]*Table1_1[[#This Row],[Unit Price]]*(1-Table1_1[[#This Row],[Discount %]])</f>
        <v>187127.5</v>
      </c>
      <c r="T1482" s="7">
        <f>Table1_1[[#This Row],[Units Sold]]*Table1_1[[#This Row],[Unit Cost]]</f>
        <v>164150</v>
      </c>
      <c r="U1482" s="7">
        <f>Table1_1[[#This Row],[Calculated sales]]-Table1_1[[#This Row],[Total cost]]</f>
        <v>22977.5</v>
      </c>
      <c r="V1482" s="4">
        <f>IFERROR(Table1_1[[#This Row],[Profit/Loss]]/Table1_1[[#This Row],[Calculated sales]],0)</f>
        <v>0.12279061067988403</v>
      </c>
    </row>
    <row r="1483" spans="1:22" x14ac:dyDescent="0.25">
      <c r="A1483" s="4" t="s">
        <v>1632</v>
      </c>
      <c r="B1483" s="5">
        <v>46011</v>
      </c>
      <c r="C1483" s="4">
        <f>YEAR(Table1_1[[#This Row],[Order Dates]])</f>
        <v>2025</v>
      </c>
      <c r="D1483" s="6">
        <f>MONTH(Table1_1[[#This Row],[Order Dates]])</f>
        <v>12</v>
      </c>
      <c r="E1483" s="4" t="s">
        <v>37</v>
      </c>
      <c r="F1483" s="4" t="s">
        <v>38</v>
      </c>
      <c r="G1483" s="4" t="s">
        <v>68</v>
      </c>
      <c r="H1483" s="4" t="str">
        <f>TRIM(CLEAN(SUBSTITUTE(Table1_1[[#This Row],[Salesperson]],"   "," ")))</f>
        <v>Ritika Ghosh</v>
      </c>
      <c r="I1483" s="4" t="s">
        <v>19</v>
      </c>
      <c r="J1483" s="4" t="s">
        <v>20</v>
      </c>
      <c r="K1483" s="4" t="s">
        <v>33</v>
      </c>
      <c r="L1483" s="4" t="s">
        <v>1678</v>
      </c>
      <c r="M1483" s="4" t="s">
        <v>49</v>
      </c>
      <c r="N1483" s="4" t="s">
        <v>24</v>
      </c>
      <c r="O1483" s="4">
        <v>3</v>
      </c>
      <c r="P1483" s="7">
        <v>102410</v>
      </c>
      <c r="Q1483" s="8">
        <v>0.15</v>
      </c>
      <c r="R1483" s="7">
        <v>70200</v>
      </c>
      <c r="S1483" s="7">
        <f>Table1_1[[#This Row],[Units Sold]]*Table1_1[[#This Row],[Unit Price]]*(1-Table1_1[[#This Row],[Discount %]])</f>
        <v>261145.5</v>
      </c>
      <c r="T1483" s="7">
        <f>Table1_1[[#This Row],[Units Sold]]*Table1_1[[#This Row],[Unit Cost]]</f>
        <v>210600</v>
      </c>
      <c r="U1483" s="7">
        <f>Table1_1[[#This Row],[Calculated sales]]-Table1_1[[#This Row],[Total cost]]</f>
        <v>50545.5</v>
      </c>
      <c r="V1483" s="4">
        <f>IFERROR(Table1_1[[#This Row],[Profit/Loss]]/Table1_1[[#This Row],[Calculated sales]],0)</f>
        <v>0.19355301929384194</v>
      </c>
    </row>
    <row r="1484" spans="1:22" x14ac:dyDescent="0.25">
      <c r="A1484" s="4" t="s">
        <v>1633</v>
      </c>
      <c r="B1484" s="5">
        <v>46011</v>
      </c>
      <c r="C1484" s="4">
        <f>YEAR(Table1_1[[#This Row],[Order Dates]])</f>
        <v>2025</v>
      </c>
      <c r="D1484" s="6">
        <f>MONTH(Table1_1[[#This Row],[Order Dates]])</f>
        <v>12</v>
      </c>
      <c r="E1484" s="4" t="s">
        <v>16</v>
      </c>
      <c r="F1484" s="4" t="s">
        <v>31</v>
      </c>
      <c r="G1484" s="4" t="s">
        <v>32</v>
      </c>
      <c r="H1484" s="4" t="str">
        <f>TRIM(CLEAN(SUBSTITUTE(Table1_1[[#This Row],[Salesperson]],"   "," ")))</f>
        <v>Neha Deshpande</v>
      </c>
      <c r="I1484" s="4" t="s">
        <v>92</v>
      </c>
      <c r="J1484" s="4" t="s">
        <v>27</v>
      </c>
      <c r="K1484" s="4" t="s">
        <v>53</v>
      </c>
      <c r="L1484" s="4" t="s">
        <v>1676</v>
      </c>
      <c r="M1484" s="4" t="s">
        <v>23</v>
      </c>
      <c r="N1484" s="4" t="s">
        <v>24</v>
      </c>
      <c r="O1484" s="4">
        <v>6</v>
      </c>
      <c r="P1484" s="7">
        <v>35740</v>
      </c>
      <c r="Q1484" s="8">
        <v>0.05</v>
      </c>
      <c r="R1484" s="7">
        <v>20730</v>
      </c>
      <c r="S1484" s="7">
        <f>Table1_1[[#This Row],[Units Sold]]*Table1_1[[#This Row],[Unit Price]]*(1-Table1_1[[#This Row],[Discount %]])</f>
        <v>203718</v>
      </c>
      <c r="T1484" s="7">
        <f>Table1_1[[#This Row],[Units Sold]]*Table1_1[[#This Row],[Unit Cost]]</f>
        <v>124380</v>
      </c>
      <c r="U1484" s="7">
        <f>Table1_1[[#This Row],[Calculated sales]]-Table1_1[[#This Row],[Total cost]]</f>
        <v>79338</v>
      </c>
      <c r="V1484" s="4">
        <f>IFERROR(Table1_1[[#This Row],[Profit/Loss]]/Table1_1[[#This Row],[Calculated sales]],0)</f>
        <v>0.38945012222778547</v>
      </c>
    </row>
    <row r="1485" spans="1:22" x14ac:dyDescent="0.25">
      <c r="A1485" s="4" t="s">
        <v>1634</v>
      </c>
      <c r="B1485" s="5">
        <v>46011</v>
      </c>
      <c r="C1485" s="4">
        <f>YEAR(Table1_1[[#This Row],[Order Dates]])</f>
        <v>2025</v>
      </c>
      <c r="D1485" s="6">
        <f>MONTH(Table1_1[[#This Row],[Order Dates]])</f>
        <v>12</v>
      </c>
      <c r="E1485" s="4" t="s">
        <v>42</v>
      </c>
      <c r="F1485" s="4" t="s">
        <v>130</v>
      </c>
      <c r="G1485" s="4" t="s">
        <v>97</v>
      </c>
      <c r="H1485" s="4" t="str">
        <f>TRIM(CLEAN(SUBSTITUTE(Table1_1[[#This Row],[Salesperson]],"   "," ")))</f>
        <v>Rohit Malhotra</v>
      </c>
      <c r="I1485" s="4" t="s">
        <v>19</v>
      </c>
      <c r="J1485" s="4" t="s">
        <v>83</v>
      </c>
      <c r="K1485" s="4" t="s">
        <v>136</v>
      </c>
      <c r="L1485" s="4" t="s">
        <v>137</v>
      </c>
      <c r="M1485" s="4" t="s">
        <v>40</v>
      </c>
      <c r="N1485" s="4" t="s">
        <v>24</v>
      </c>
      <c r="O1485" s="4">
        <v>37</v>
      </c>
      <c r="P1485" s="7">
        <v>1650</v>
      </c>
      <c r="Q1485" s="8">
        <v>0.05</v>
      </c>
      <c r="R1485" s="7">
        <v>960</v>
      </c>
      <c r="S1485" s="7">
        <f>Table1_1[[#This Row],[Units Sold]]*Table1_1[[#This Row],[Unit Price]]*(1-Table1_1[[#This Row],[Discount %]])</f>
        <v>57997.5</v>
      </c>
      <c r="T1485" s="7">
        <f>Table1_1[[#This Row],[Units Sold]]*Table1_1[[#This Row],[Unit Cost]]</f>
        <v>35520</v>
      </c>
      <c r="U1485" s="7">
        <f>Table1_1[[#This Row],[Calculated sales]]-Table1_1[[#This Row],[Total cost]]</f>
        <v>22477.5</v>
      </c>
      <c r="V1485" s="4">
        <f>IFERROR(Table1_1[[#This Row],[Profit/Loss]]/Table1_1[[#This Row],[Calculated sales]],0)</f>
        <v>0.38755980861244022</v>
      </c>
    </row>
    <row r="1486" spans="1:22" x14ac:dyDescent="0.25">
      <c r="A1486" s="4" t="s">
        <v>1635</v>
      </c>
      <c r="B1486" s="5">
        <v>46012</v>
      </c>
      <c r="C1486" s="4">
        <f>YEAR(Table1_1[[#This Row],[Order Dates]])</f>
        <v>2025</v>
      </c>
      <c r="D1486" s="6">
        <f>MONTH(Table1_1[[#This Row],[Order Dates]])</f>
        <v>12</v>
      </c>
      <c r="E1486" s="4" t="s">
        <v>56</v>
      </c>
      <c r="F1486" s="4" t="s">
        <v>133</v>
      </c>
      <c r="G1486" s="4" t="s">
        <v>58</v>
      </c>
      <c r="H1486" s="4" t="str">
        <f>TRIM(CLEAN(SUBSTITUTE(Table1_1[[#This Row],[Salesperson]],"   "," ")))</f>
        <v>Karthik Raman</v>
      </c>
      <c r="I1486" s="4" t="s">
        <v>19</v>
      </c>
      <c r="J1486" s="4" t="s">
        <v>46</v>
      </c>
      <c r="K1486" s="4" t="s">
        <v>179</v>
      </c>
      <c r="L1486" s="4" t="s">
        <v>180</v>
      </c>
      <c r="M1486" s="4" t="s">
        <v>49</v>
      </c>
      <c r="N1486" s="4" t="s">
        <v>24</v>
      </c>
      <c r="O1486" s="4">
        <v>8</v>
      </c>
      <c r="P1486" s="7">
        <v>4080</v>
      </c>
      <c r="Q1486" s="8">
        <v>0.18</v>
      </c>
      <c r="R1486" s="7">
        <v>3040</v>
      </c>
      <c r="S1486" s="7">
        <f>Table1_1[[#This Row],[Units Sold]]*Table1_1[[#This Row],[Unit Price]]*(1-Table1_1[[#This Row],[Discount %]])</f>
        <v>26764.800000000003</v>
      </c>
      <c r="T1486" s="7">
        <f>Table1_1[[#This Row],[Units Sold]]*Table1_1[[#This Row],[Unit Cost]]</f>
        <v>24320</v>
      </c>
      <c r="U1486" s="7">
        <f>Table1_1[[#This Row],[Calculated sales]]-Table1_1[[#This Row],[Total cost]]</f>
        <v>2444.8000000000029</v>
      </c>
      <c r="V1486" s="4">
        <f>IFERROR(Table1_1[[#This Row],[Profit/Loss]]/Table1_1[[#This Row],[Calculated sales]],0)</f>
        <v>9.1343854615016831E-2</v>
      </c>
    </row>
    <row r="1487" spans="1:22" x14ac:dyDescent="0.25">
      <c r="A1487" s="4" t="s">
        <v>1636</v>
      </c>
      <c r="B1487" s="5">
        <v>46012</v>
      </c>
      <c r="C1487" s="4">
        <f>YEAR(Table1_1[[#This Row],[Order Dates]])</f>
        <v>2025</v>
      </c>
      <c r="D1487" s="6">
        <f>MONTH(Table1_1[[#This Row],[Order Dates]])</f>
        <v>12</v>
      </c>
      <c r="E1487" s="4" t="s">
        <v>56</v>
      </c>
      <c r="F1487" s="4" t="s">
        <v>72</v>
      </c>
      <c r="G1487" s="4" t="s">
        <v>91</v>
      </c>
      <c r="H1487" s="4" t="str">
        <f>TRIM(CLEAN(SUBSTITUTE(Table1_1[[#This Row],[Salesperson]],"   "," ")))</f>
        <v>Anjali Menon</v>
      </c>
      <c r="I1487" s="4" t="s">
        <v>92</v>
      </c>
      <c r="J1487" s="4" t="s">
        <v>83</v>
      </c>
      <c r="K1487" s="4" t="s">
        <v>136</v>
      </c>
      <c r="L1487" s="4" t="s">
        <v>307</v>
      </c>
      <c r="M1487" s="4" t="s">
        <v>23</v>
      </c>
      <c r="N1487" s="4" t="s">
        <v>35</v>
      </c>
      <c r="O1487" s="4">
        <v>45</v>
      </c>
      <c r="P1487" s="7">
        <v>920</v>
      </c>
      <c r="Q1487" s="8">
        <v>0.12</v>
      </c>
      <c r="R1487" s="7">
        <v>550</v>
      </c>
      <c r="S1487" s="7">
        <f>Table1_1[[#This Row],[Units Sold]]*Table1_1[[#This Row],[Unit Price]]*(1-Table1_1[[#This Row],[Discount %]])</f>
        <v>36432</v>
      </c>
      <c r="T1487" s="7">
        <f>Table1_1[[#This Row],[Units Sold]]*Table1_1[[#This Row],[Unit Cost]]</f>
        <v>24750</v>
      </c>
      <c r="U1487" s="7">
        <f>Table1_1[[#This Row],[Calculated sales]]-Table1_1[[#This Row],[Total cost]]</f>
        <v>11682</v>
      </c>
      <c r="V1487" s="4">
        <f>IFERROR(Table1_1[[#This Row],[Profit/Loss]]/Table1_1[[#This Row],[Calculated sales]],0)</f>
        <v>0.32065217391304346</v>
      </c>
    </row>
    <row r="1488" spans="1:22" x14ac:dyDescent="0.25">
      <c r="A1488" s="4" t="s">
        <v>1637</v>
      </c>
      <c r="B1488" s="5">
        <v>46012</v>
      </c>
      <c r="C1488" s="4">
        <f>YEAR(Table1_1[[#This Row],[Order Dates]])</f>
        <v>2025</v>
      </c>
      <c r="D1488" s="6">
        <f>MONTH(Table1_1[[#This Row],[Order Dates]])</f>
        <v>12</v>
      </c>
      <c r="E1488" s="4" t="s">
        <v>16</v>
      </c>
      <c r="F1488" s="4" t="s">
        <v>17</v>
      </c>
      <c r="G1488" s="4" t="s">
        <v>32</v>
      </c>
      <c r="H1488" s="4" t="str">
        <f>TRIM(CLEAN(SUBSTITUTE(Table1_1[[#This Row],[Salesperson]],"   "," ")))</f>
        <v>Neha Deshpande</v>
      </c>
      <c r="I1488" s="4" t="s">
        <v>19</v>
      </c>
      <c r="J1488" s="4" t="s">
        <v>20</v>
      </c>
      <c r="K1488" s="4" t="s">
        <v>87</v>
      </c>
      <c r="L1488" s="4" t="s">
        <v>1672</v>
      </c>
      <c r="M1488" s="4" t="s">
        <v>49</v>
      </c>
      <c r="N1488" s="4" t="s">
        <v>119</v>
      </c>
      <c r="O1488" s="4">
        <v>3</v>
      </c>
      <c r="P1488" s="7">
        <v>32100</v>
      </c>
      <c r="Q1488" s="8">
        <v>0.05</v>
      </c>
      <c r="R1488" s="7">
        <v>20900</v>
      </c>
      <c r="S1488" s="7">
        <f>Table1_1[[#This Row],[Units Sold]]*Table1_1[[#This Row],[Unit Price]]*(1-Table1_1[[#This Row],[Discount %]])</f>
        <v>91485</v>
      </c>
      <c r="T1488" s="7">
        <f>Table1_1[[#This Row],[Units Sold]]*Table1_1[[#This Row],[Unit Cost]]</f>
        <v>62700</v>
      </c>
      <c r="U1488" s="7">
        <f>Table1_1[[#This Row],[Calculated sales]]-Table1_1[[#This Row],[Total cost]]</f>
        <v>28785</v>
      </c>
      <c r="V1488" s="4">
        <f>IFERROR(Table1_1[[#This Row],[Profit/Loss]]/Table1_1[[#This Row],[Calculated sales]],0)</f>
        <v>0.31464174454828658</v>
      </c>
    </row>
    <row r="1489" spans="1:22" x14ac:dyDescent="0.25">
      <c r="A1489" s="4" t="s">
        <v>1638</v>
      </c>
      <c r="B1489" s="5">
        <v>46012</v>
      </c>
      <c r="C1489" s="4">
        <f>YEAR(Table1_1[[#This Row],[Order Dates]])</f>
        <v>2025</v>
      </c>
      <c r="D1489" s="6">
        <f>MONTH(Table1_1[[#This Row],[Order Dates]])</f>
        <v>12</v>
      </c>
      <c r="E1489" s="4" t="s">
        <v>76</v>
      </c>
      <c r="F1489" s="4" t="s">
        <v>125</v>
      </c>
      <c r="G1489" s="4" t="s">
        <v>78</v>
      </c>
      <c r="H1489" s="4" t="str">
        <f>TRIM(CLEAN(SUBSTITUTE(Table1_1[[#This Row],[Salesperson]],"   "," ")))</f>
        <v>Pooja Chouhan</v>
      </c>
      <c r="I1489" s="4" t="s">
        <v>92</v>
      </c>
      <c r="J1489" s="4" t="s">
        <v>27</v>
      </c>
      <c r="K1489" s="4" t="s">
        <v>214</v>
      </c>
      <c r="L1489" s="4" t="s">
        <v>1681</v>
      </c>
      <c r="M1489" s="4" t="s">
        <v>40</v>
      </c>
      <c r="N1489" s="4" t="s">
        <v>24</v>
      </c>
      <c r="O1489" s="4">
        <v>9</v>
      </c>
      <c r="P1489" s="7">
        <v>15030</v>
      </c>
      <c r="Q1489" s="8">
        <v>0.1</v>
      </c>
      <c r="R1489" s="7">
        <v>9950</v>
      </c>
      <c r="S1489" s="7">
        <f>Table1_1[[#This Row],[Units Sold]]*Table1_1[[#This Row],[Unit Price]]*(1-Table1_1[[#This Row],[Discount %]])</f>
        <v>121743</v>
      </c>
      <c r="T1489" s="7">
        <f>Table1_1[[#This Row],[Units Sold]]*Table1_1[[#This Row],[Unit Cost]]</f>
        <v>89550</v>
      </c>
      <c r="U1489" s="7">
        <f>Table1_1[[#This Row],[Calculated sales]]-Table1_1[[#This Row],[Total cost]]</f>
        <v>32193</v>
      </c>
      <c r="V1489" s="4">
        <f>IFERROR(Table1_1[[#This Row],[Profit/Loss]]/Table1_1[[#This Row],[Calculated sales]],0)</f>
        <v>0.26443409477341612</v>
      </c>
    </row>
    <row r="1490" spans="1:22" x14ac:dyDescent="0.25">
      <c r="A1490" s="4" t="s">
        <v>1639</v>
      </c>
      <c r="B1490" s="5">
        <v>46013</v>
      </c>
      <c r="C1490" s="4">
        <f>YEAR(Table1_1[[#This Row],[Order Dates]])</f>
        <v>2025</v>
      </c>
      <c r="D1490" s="6">
        <f>MONTH(Table1_1[[#This Row],[Order Dates]])</f>
        <v>12</v>
      </c>
      <c r="E1490" s="4" t="s">
        <v>37</v>
      </c>
      <c r="F1490" s="4" t="s">
        <v>166</v>
      </c>
      <c r="G1490" s="4" t="s">
        <v>68</v>
      </c>
      <c r="H1490" s="4" t="str">
        <f>TRIM(CLEAN(SUBSTITUTE(Table1_1[[#This Row],[Salesperson]],"   "," ")))</f>
        <v>Ritika Ghosh</v>
      </c>
      <c r="I1490" s="4" t="s">
        <v>92</v>
      </c>
      <c r="J1490" s="4" t="s">
        <v>46</v>
      </c>
      <c r="K1490" s="4" t="s">
        <v>179</v>
      </c>
      <c r="L1490" s="4" t="s">
        <v>180</v>
      </c>
      <c r="M1490" s="4" t="s">
        <v>23</v>
      </c>
      <c r="N1490" s="4" t="s">
        <v>24</v>
      </c>
      <c r="O1490" s="4">
        <v>5</v>
      </c>
      <c r="P1490" s="7">
        <v>3620</v>
      </c>
      <c r="Q1490" s="8">
        <v>0</v>
      </c>
      <c r="R1490" s="7">
        <v>2480</v>
      </c>
      <c r="S1490" s="7">
        <f>Table1_1[[#This Row],[Units Sold]]*Table1_1[[#This Row],[Unit Price]]*(1-Table1_1[[#This Row],[Discount %]])</f>
        <v>18100</v>
      </c>
      <c r="T1490" s="7">
        <f>Table1_1[[#This Row],[Units Sold]]*Table1_1[[#This Row],[Unit Cost]]</f>
        <v>12400</v>
      </c>
      <c r="U1490" s="7">
        <f>Table1_1[[#This Row],[Calculated sales]]-Table1_1[[#This Row],[Total cost]]</f>
        <v>5700</v>
      </c>
      <c r="V1490" s="4">
        <f>IFERROR(Table1_1[[#This Row],[Profit/Loss]]/Table1_1[[#This Row],[Calculated sales]],0)</f>
        <v>0.31491712707182318</v>
      </c>
    </row>
    <row r="1491" spans="1:22" x14ac:dyDescent="0.25">
      <c r="A1491" s="4" t="s">
        <v>1640</v>
      </c>
      <c r="B1491" s="5">
        <v>46014</v>
      </c>
      <c r="C1491" s="4">
        <f>YEAR(Table1_1[[#This Row],[Order Dates]])</f>
        <v>2025</v>
      </c>
      <c r="D1491" s="6">
        <f>MONTH(Table1_1[[#This Row],[Order Dates]])</f>
        <v>12</v>
      </c>
      <c r="E1491" s="4" t="s">
        <v>37</v>
      </c>
      <c r="F1491" s="4" t="s">
        <v>166</v>
      </c>
      <c r="G1491" s="4" t="s">
        <v>39</v>
      </c>
      <c r="H1491" s="4" t="str">
        <f>TRIM(CLEAN(SUBSTITUTE(Table1_1[[#This Row],[Salesperson]],"   "," ")))</f>
        <v>Sourav Das</v>
      </c>
      <c r="I1491" s="4" t="s">
        <v>19</v>
      </c>
      <c r="J1491" s="4" t="s">
        <v>59</v>
      </c>
      <c r="K1491" s="4" t="s">
        <v>69</v>
      </c>
      <c r="L1491" s="4" t="s">
        <v>70</v>
      </c>
      <c r="M1491" s="4" t="s">
        <v>40</v>
      </c>
      <c r="N1491" s="4" t="s">
        <v>119</v>
      </c>
      <c r="O1491" s="4">
        <v>3</v>
      </c>
      <c r="P1491" s="7">
        <v>28570</v>
      </c>
      <c r="Q1491" s="8">
        <v>0.1</v>
      </c>
      <c r="R1491" s="7">
        <v>21100</v>
      </c>
      <c r="S1491" s="7">
        <f>Table1_1[[#This Row],[Units Sold]]*Table1_1[[#This Row],[Unit Price]]*(1-Table1_1[[#This Row],[Discount %]])</f>
        <v>77139</v>
      </c>
      <c r="T1491" s="7">
        <f>Table1_1[[#This Row],[Units Sold]]*Table1_1[[#This Row],[Unit Cost]]</f>
        <v>63300</v>
      </c>
      <c r="U1491" s="7">
        <f>Table1_1[[#This Row],[Calculated sales]]-Table1_1[[#This Row],[Total cost]]</f>
        <v>13839</v>
      </c>
      <c r="V1491" s="4">
        <f>IFERROR(Table1_1[[#This Row],[Profit/Loss]]/Table1_1[[#This Row],[Calculated sales]],0)</f>
        <v>0.1794034146151752</v>
      </c>
    </row>
    <row r="1492" spans="1:22" x14ac:dyDescent="0.25">
      <c r="A1492" s="4" t="s">
        <v>1641</v>
      </c>
      <c r="B1492" s="5">
        <v>46014</v>
      </c>
      <c r="C1492" s="4">
        <f>YEAR(Table1_1[[#This Row],[Order Dates]])</f>
        <v>2025</v>
      </c>
      <c r="D1492" s="6">
        <f>MONTH(Table1_1[[#This Row],[Order Dates]])</f>
        <v>12</v>
      </c>
      <c r="E1492" s="4" t="s">
        <v>37</v>
      </c>
      <c r="F1492" s="4" t="s">
        <v>213</v>
      </c>
      <c r="G1492" s="4" t="s">
        <v>39</v>
      </c>
      <c r="H1492" s="4" t="str">
        <f>TRIM(CLEAN(SUBSTITUTE(Table1_1[[#This Row],[Salesperson]],"   "," ")))</f>
        <v>Sourav Das</v>
      </c>
      <c r="I1492" s="4" t="s">
        <v>45</v>
      </c>
      <c r="J1492" s="4" t="s">
        <v>20</v>
      </c>
      <c r="K1492" s="4" t="s">
        <v>33</v>
      </c>
      <c r="L1492" s="4" t="s">
        <v>1677</v>
      </c>
      <c r="M1492" s="4" t="s">
        <v>23</v>
      </c>
      <c r="N1492" s="4" t="s">
        <v>24</v>
      </c>
      <c r="O1492" s="4">
        <v>7</v>
      </c>
      <c r="P1492" s="7">
        <v>63640</v>
      </c>
      <c r="Q1492" s="8">
        <v>0.08</v>
      </c>
      <c r="R1492" s="7">
        <v>46400</v>
      </c>
      <c r="S1492" s="7">
        <f>Table1_1[[#This Row],[Units Sold]]*Table1_1[[#This Row],[Unit Price]]*(1-Table1_1[[#This Row],[Discount %]])</f>
        <v>409841.60000000003</v>
      </c>
      <c r="T1492" s="7">
        <f>Table1_1[[#This Row],[Units Sold]]*Table1_1[[#This Row],[Unit Cost]]</f>
        <v>324800</v>
      </c>
      <c r="U1492" s="7">
        <f>Table1_1[[#This Row],[Calculated sales]]-Table1_1[[#This Row],[Total cost]]</f>
        <v>85041.600000000035</v>
      </c>
      <c r="V1492" s="4">
        <f>IFERROR(Table1_1[[#This Row],[Profit/Loss]]/Table1_1[[#This Row],[Calculated sales]],0)</f>
        <v>0.20749870193752909</v>
      </c>
    </row>
    <row r="1493" spans="1:22" x14ac:dyDescent="0.25">
      <c r="A1493" s="4" t="s">
        <v>1642</v>
      </c>
      <c r="B1493" s="5">
        <v>46014</v>
      </c>
      <c r="C1493" s="4">
        <f>YEAR(Table1_1[[#This Row],[Order Dates]])</f>
        <v>2025</v>
      </c>
      <c r="D1493" s="6">
        <f>MONTH(Table1_1[[#This Row],[Order Dates]])</f>
        <v>12</v>
      </c>
      <c r="E1493" s="4" t="s">
        <v>37</v>
      </c>
      <c r="F1493" s="4" t="s">
        <v>166</v>
      </c>
      <c r="G1493" s="4" t="s">
        <v>39</v>
      </c>
      <c r="H1493" s="4" t="str">
        <f>TRIM(CLEAN(SUBSTITUTE(Table1_1[[#This Row],[Salesperson]],"   "," ")))</f>
        <v>Sourav Das</v>
      </c>
      <c r="I1493" s="4" t="s">
        <v>92</v>
      </c>
      <c r="J1493" s="4" t="s">
        <v>83</v>
      </c>
      <c r="K1493" s="4" t="s">
        <v>184</v>
      </c>
      <c r="L1493" s="4" t="s">
        <v>196</v>
      </c>
      <c r="M1493" s="4" t="s">
        <v>23</v>
      </c>
      <c r="N1493" s="4" t="s">
        <v>24</v>
      </c>
      <c r="O1493" s="4">
        <v>5</v>
      </c>
      <c r="P1493" s="7">
        <v>3340</v>
      </c>
      <c r="Q1493" s="8">
        <v>0.2</v>
      </c>
      <c r="R1493" s="7">
        <v>2610</v>
      </c>
      <c r="S1493" s="7">
        <f>Table1_1[[#This Row],[Units Sold]]*Table1_1[[#This Row],[Unit Price]]*(1-Table1_1[[#This Row],[Discount %]])</f>
        <v>13360</v>
      </c>
      <c r="T1493" s="7">
        <f>Table1_1[[#This Row],[Units Sold]]*Table1_1[[#This Row],[Unit Cost]]</f>
        <v>13050</v>
      </c>
      <c r="U1493" s="7">
        <f>Table1_1[[#This Row],[Calculated sales]]-Table1_1[[#This Row],[Total cost]]</f>
        <v>310</v>
      </c>
      <c r="V1493" s="4">
        <f>IFERROR(Table1_1[[#This Row],[Profit/Loss]]/Table1_1[[#This Row],[Calculated sales]],0)</f>
        <v>2.3203592814371257E-2</v>
      </c>
    </row>
    <row r="1494" spans="1:22" x14ac:dyDescent="0.25">
      <c r="A1494" s="4" t="s">
        <v>1643</v>
      </c>
      <c r="B1494" s="5">
        <v>46014</v>
      </c>
      <c r="C1494" s="4">
        <f>YEAR(Table1_1[[#This Row],[Order Dates]])</f>
        <v>2025</v>
      </c>
      <c r="D1494" s="6">
        <f>MONTH(Table1_1[[#This Row],[Order Dates]])</f>
        <v>12</v>
      </c>
      <c r="E1494" s="4" t="s">
        <v>56</v>
      </c>
      <c r="F1494" s="4" t="s">
        <v>133</v>
      </c>
      <c r="G1494" s="4" t="s">
        <v>134</v>
      </c>
      <c r="H1494" s="4" t="str">
        <f>TRIM(CLEAN(SUBSTITUTE(Table1_1[[#This Row],[Salesperson]],"   "," ")))</f>
        <v>Divya Nair</v>
      </c>
      <c r="I1494" s="4" t="s">
        <v>92</v>
      </c>
      <c r="J1494" s="4" t="s">
        <v>27</v>
      </c>
      <c r="K1494" s="4" t="s">
        <v>53</v>
      </c>
      <c r="L1494" s="4" t="s">
        <v>1676</v>
      </c>
      <c r="M1494" s="4" t="s">
        <v>23</v>
      </c>
      <c r="N1494" s="4" t="s">
        <v>24</v>
      </c>
      <c r="O1494" s="4">
        <v>2</v>
      </c>
      <c r="P1494" s="7">
        <v>36080</v>
      </c>
      <c r="Q1494" s="8">
        <v>0</v>
      </c>
      <c r="R1494" s="7">
        <v>26620</v>
      </c>
      <c r="S1494" s="7">
        <f>Table1_1[[#This Row],[Units Sold]]*Table1_1[[#This Row],[Unit Price]]*(1-Table1_1[[#This Row],[Discount %]])</f>
        <v>72160</v>
      </c>
      <c r="T1494" s="7">
        <f>Table1_1[[#This Row],[Units Sold]]*Table1_1[[#This Row],[Unit Cost]]</f>
        <v>53240</v>
      </c>
      <c r="U1494" s="7">
        <f>Table1_1[[#This Row],[Calculated sales]]-Table1_1[[#This Row],[Total cost]]</f>
        <v>18920</v>
      </c>
      <c r="V1494" s="4">
        <f>IFERROR(Table1_1[[#This Row],[Profit/Loss]]/Table1_1[[#This Row],[Calculated sales]],0)</f>
        <v>0.26219512195121952</v>
      </c>
    </row>
    <row r="1495" spans="1:22" x14ac:dyDescent="0.25">
      <c r="A1495" s="4" t="s">
        <v>1644</v>
      </c>
      <c r="B1495" s="5">
        <v>46014</v>
      </c>
      <c r="C1495" s="4">
        <f>YEAR(Table1_1[[#This Row],[Order Dates]])</f>
        <v>2025</v>
      </c>
      <c r="D1495" s="6">
        <f>MONTH(Table1_1[[#This Row],[Order Dates]])</f>
        <v>12</v>
      </c>
      <c r="E1495" s="4" t="s">
        <v>76</v>
      </c>
      <c r="F1495" s="4" t="s">
        <v>125</v>
      </c>
      <c r="G1495" s="4" t="s">
        <v>1645</v>
      </c>
      <c r="H1495" s="4" t="str">
        <f>TRIM(CLEAN(SUBSTITUTE(Table1_1[[#This Row],[Salesperson]],"   "," ")))</f>
        <v>Manish Tiwari</v>
      </c>
      <c r="I1495" s="4" t="s">
        <v>19</v>
      </c>
      <c r="J1495" s="4" t="s">
        <v>20</v>
      </c>
      <c r="K1495" s="4" t="s">
        <v>21</v>
      </c>
      <c r="L1495" s="4" t="s">
        <v>1682</v>
      </c>
      <c r="M1495" s="4" t="s">
        <v>40</v>
      </c>
      <c r="N1495" s="4" t="s">
        <v>24</v>
      </c>
      <c r="O1495" s="4">
        <v>4</v>
      </c>
      <c r="P1495" s="7">
        <v>8960</v>
      </c>
      <c r="Q1495" s="8">
        <v>0.18</v>
      </c>
      <c r="R1495" s="7">
        <v>6080</v>
      </c>
      <c r="S1495" s="7">
        <f>Table1_1[[#This Row],[Units Sold]]*Table1_1[[#This Row],[Unit Price]]*(1-Table1_1[[#This Row],[Discount %]])</f>
        <v>29388.800000000003</v>
      </c>
      <c r="T1495" s="7">
        <f>Table1_1[[#This Row],[Units Sold]]*Table1_1[[#This Row],[Unit Cost]]</f>
        <v>24320</v>
      </c>
      <c r="U1495" s="7">
        <f>Table1_1[[#This Row],[Calculated sales]]-Table1_1[[#This Row],[Total cost]]</f>
        <v>5068.8000000000029</v>
      </c>
      <c r="V1495" s="4">
        <f>IFERROR(Table1_1[[#This Row],[Profit/Loss]]/Table1_1[[#This Row],[Calculated sales]],0)</f>
        <v>0.1724738675958189</v>
      </c>
    </row>
    <row r="1496" spans="1:22" x14ac:dyDescent="0.25">
      <c r="A1496" s="4" t="s">
        <v>1646</v>
      </c>
      <c r="B1496" s="5">
        <v>46014</v>
      </c>
      <c r="C1496" s="4">
        <f>YEAR(Table1_1[[#This Row],[Order Dates]])</f>
        <v>2025</v>
      </c>
      <c r="D1496" s="6">
        <f>MONTH(Table1_1[[#This Row],[Order Dates]])</f>
        <v>12</v>
      </c>
      <c r="E1496" s="4" t="s">
        <v>16</v>
      </c>
      <c r="F1496" s="4" t="s">
        <v>17</v>
      </c>
      <c r="G1496" s="4" t="s">
        <v>26</v>
      </c>
      <c r="H1496" s="4" t="str">
        <f>TRIM(CLEAN(SUBSTITUTE(Table1_1[[#This Row],[Salesperson]],"   "," ")))</f>
        <v>Prateek Shah</v>
      </c>
      <c r="I1496" s="4" t="s">
        <v>19</v>
      </c>
      <c r="J1496" s="4" t="s">
        <v>83</v>
      </c>
      <c r="K1496" s="4" t="s">
        <v>184</v>
      </c>
      <c r="L1496" s="4" t="s">
        <v>196</v>
      </c>
      <c r="M1496" s="4" t="s">
        <v>23</v>
      </c>
      <c r="N1496" s="4" t="s">
        <v>24</v>
      </c>
      <c r="O1496" s="4">
        <v>6</v>
      </c>
      <c r="P1496" s="7">
        <v>3260</v>
      </c>
      <c r="Q1496" s="8">
        <v>0.08</v>
      </c>
      <c r="R1496" s="7">
        <v>2350</v>
      </c>
      <c r="S1496" s="7">
        <f>Table1_1[[#This Row],[Units Sold]]*Table1_1[[#This Row],[Unit Price]]*(1-Table1_1[[#This Row],[Discount %]])</f>
        <v>17995.2</v>
      </c>
      <c r="T1496" s="7">
        <f>Table1_1[[#This Row],[Units Sold]]*Table1_1[[#This Row],[Unit Cost]]</f>
        <v>14100</v>
      </c>
      <c r="U1496" s="7">
        <f>Table1_1[[#This Row],[Calculated sales]]-Table1_1[[#This Row],[Total cost]]</f>
        <v>3895.2000000000007</v>
      </c>
      <c r="V1496" s="4">
        <f>IFERROR(Table1_1[[#This Row],[Profit/Loss]]/Table1_1[[#This Row],[Calculated sales]],0)</f>
        <v>0.21645772205921582</v>
      </c>
    </row>
    <row r="1497" spans="1:22" x14ac:dyDescent="0.25">
      <c r="A1497" s="4" t="s">
        <v>1647</v>
      </c>
      <c r="B1497" s="5">
        <v>46014</v>
      </c>
      <c r="C1497" s="4">
        <f>YEAR(Table1_1[[#This Row],[Order Dates]])</f>
        <v>2025</v>
      </c>
      <c r="D1497" s="6">
        <f>MONTH(Table1_1[[#This Row],[Order Dates]])</f>
        <v>12</v>
      </c>
      <c r="E1497" s="4" t="s">
        <v>37</v>
      </c>
      <c r="F1497" s="4" t="s">
        <v>161</v>
      </c>
      <c r="G1497" s="4" t="s">
        <v>39</v>
      </c>
      <c r="H1497" s="4" t="str">
        <f>TRIM(CLEAN(SUBSTITUTE(Table1_1[[#This Row],[Salesperson]],"   "," ")))</f>
        <v>Sourav Das</v>
      </c>
      <c r="I1497" s="4" t="s">
        <v>52</v>
      </c>
      <c r="J1497" s="4" t="s">
        <v>59</v>
      </c>
      <c r="K1497" s="4" t="s">
        <v>154</v>
      </c>
      <c r="L1497" s="4" t="s">
        <v>155</v>
      </c>
      <c r="M1497" s="4" t="s">
        <v>23</v>
      </c>
      <c r="N1497" s="4" t="s">
        <v>35</v>
      </c>
      <c r="O1497" s="4">
        <v>8</v>
      </c>
      <c r="P1497" s="7">
        <v>11830</v>
      </c>
      <c r="Q1497" s="8">
        <v>0.12</v>
      </c>
      <c r="R1497" s="7">
        <v>9220</v>
      </c>
      <c r="S1497" s="7">
        <f>Table1_1[[#This Row],[Units Sold]]*Table1_1[[#This Row],[Unit Price]]*(1-Table1_1[[#This Row],[Discount %]])</f>
        <v>83283.199999999997</v>
      </c>
      <c r="T1497" s="7">
        <f>Table1_1[[#This Row],[Units Sold]]*Table1_1[[#This Row],[Unit Cost]]</f>
        <v>73760</v>
      </c>
      <c r="U1497" s="7">
        <f>Table1_1[[#This Row],[Calculated sales]]-Table1_1[[#This Row],[Total cost]]</f>
        <v>9523.1999999999971</v>
      </c>
      <c r="V1497" s="4">
        <f>IFERROR(Table1_1[[#This Row],[Profit/Loss]]/Table1_1[[#This Row],[Calculated sales]],0)</f>
        <v>0.11434719127026816</v>
      </c>
    </row>
    <row r="1498" spans="1:22" x14ac:dyDescent="0.25">
      <c r="A1498" s="4" t="s">
        <v>1648</v>
      </c>
      <c r="B1498" s="5">
        <v>46015</v>
      </c>
      <c r="C1498" s="4">
        <f>YEAR(Table1_1[[#This Row],[Order Dates]])</f>
        <v>2025</v>
      </c>
      <c r="D1498" s="6">
        <f>MONTH(Table1_1[[#This Row],[Order Dates]])</f>
        <v>12</v>
      </c>
      <c r="E1498" s="4" t="s">
        <v>37</v>
      </c>
      <c r="F1498" s="4" t="s">
        <v>115</v>
      </c>
      <c r="G1498" s="4" t="s">
        <v>68</v>
      </c>
      <c r="H1498" s="4" t="str">
        <f>TRIM(CLEAN(SUBSTITUTE(Table1_1[[#This Row],[Salesperson]],"   "," ")))</f>
        <v>Ritika Ghosh</v>
      </c>
      <c r="I1498" s="4" t="s">
        <v>19</v>
      </c>
      <c r="J1498" s="4" t="s">
        <v>83</v>
      </c>
      <c r="K1498" s="4" t="s">
        <v>184</v>
      </c>
      <c r="L1498" s="4" t="s">
        <v>196</v>
      </c>
      <c r="M1498" s="4" t="s">
        <v>23</v>
      </c>
      <c r="N1498" s="4" t="s">
        <v>24</v>
      </c>
      <c r="O1498" s="4">
        <v>8</v>
      </c>
      <c r="P1498" s="7">
        <v>3310</v>
      </c>
      <c r="Q1498" s="8">
        <v>0.15</v>
      </c>
      <c r="R1498" s="7">
        <v>2030</v>
      </c>
      <c r="S1498" s="7">
        <f>Table1_1[[#This Row],[Units Sold]]*Table1_1[[#This Row],[Unit Price]]*(1-Table1_1[[#This Row],[Discount %]])</f>
        <v>22508</v>
      </c>
      <c r="T1498" s="7">
        <f>Table1_1[[#This Row],[Units Sold]]*Table1_1[[#This Row],[Unit Cost]]</f>
        <v>16240</v>
      </c>
      <c r="U1498" s="7">
        <f>Table1_1[[#This Row],[Calculated sales]]-Table1_1[[#This Row],[Total cost]]</f>
        <v>6268</v>
      </c>
      <c r="V1498" s="4">
        <f>IFERROR(Table1_1[[#This Row],[Profit/Loss]]/Table1_1[[#This Row],[Calculated sales]],0)</f>
        <v>0.27847876310645103</v>
      </c>
    </row>
    <row r="1499" spans="1:22" x14ac:dyDescent="0.25">
      <c r="A1499" s="4" t="s">
        <v>1649</v>
      </c>
      <c r="B1499" s="5">
        <v>46015</v>
      </c>
      <c r="C1499" s="4">
        <f>YEAR(Table1_1[[#This Row],[Order Dates]])</f>
        <v>2025</v>
      </c>
      <c r="D1499" s="6">
        <f>MONTH(Table1_1[[#This Row],[Order Dates]])</f>
        <v>12</v>
      </c>
      <c r="E1499" s="4" t="s">
        <v>16</v>
      </c>
      <c r="F1499" s="4" t="s">
        <v>51</v>
      </c>
      <c r="G1499" s="4" t="s">
        <v>18</v>
      </c>
      <c r="H1499" s="4" t="str">
        <f>TRIM(CLEAN(SUBSTITUTE(Table1_1[[#This Row],[Salesperson]],"   "," ")))</f>
        <v>Imran Sheikh</v>
      </c>
      <c r="I1499" s="4" t="s">
        <v>19</v>
      </c>
      <c r="J1499" s="4" t="s">
        <v>20</v>
      </c>
      <c r="K1499" s="4" t="s">
        <v>33</v>
      </c>
      <c r="L1499" s="4" t="s">
        <v>34</v>
      </c>
      <c r="M1499" s="4" t="s">
        <v>23</v>
      </c>
      <c r="N1499" s="4" t="s">
        <v>35</v>
      </c>
      <c r="O1499" s="4">
        <v>2</v>
      </c>
      <c r="P1499" s="7">
        <v>55880</v>
      </c>
      <c r="Q1499" s="8">
        <v>0.15</v>
      </c>
      <c r="R1499" s="7">
        <v>34570</v>
      </c>
      <c r="S1499" s="7">
        <f>Table1_1[[#This Row],[Units Sold]]*Table1_1[[#This Row],[Unit Price]]*(1-Table1_1[[#This Row],[Discount %]])</f>
        <v>94996</v>
      </c>
      <c r="T1499" s="7">
        <f>Table1_1[[#This Row],[Units Sold]]*Table1_1[[#This Row],[Unit Cost]]</f>
        <v>69140</v>
      </c>
      <c r="U1499" s="7">
        <f>Table1_1[[#This Row],[Calculated sales]]-Table1_1[[#This Row],[Total cost]]</f>
        <v>25856</v>
      </c>
      <c r="V1499" s="4">
        <f>IFERROR(Table1_1[[#This Row],[Profit/Loss]]/Table1_1[[#This Row],[Calculated sales]],0)</f>
        <v>0.27217988125815823</v>
      </c>
    </row>
    <row r="1500" spans="1:22" x14ac:dyDescent="0.25">
      <c r="A1500" s="4" t="s">
        <v>1650</v>
      </c>
      <c r="B1500" s="5">
        <v>46016</v>
      </c>
      <c r="C1500" s="4">
        <f>YEAR(Table1_1[[#This Row],[Order Dates]])</f>
        <v>2025</v>
      </c>
      <c r="D1500" s="6">
        <f>MONTH(Table1_1[[#This Row],[Order Dates]])</f>
        <v>12</v>
      </c>
      <c r="E1500" s="4" t="s">
        <v>37</v>
      </c>
      <c r="F1500" s="4" t="s">
        <v>38</v>
      </c>
      <c r="G1500" s="4" t="s">
        <v>68</v>
      </c>
      <c r="H1500" s="4" t="str">
        <f>TRIM(CLEAN(SUBSTITUTE(Table1_1[[#This Row],[Salesperson]],"   "," ")))</f>
        <v>Ritika Ghosh</v>
      </c>
      <c r="I1500" s="4" t="s">
        <v>92</v>
      </c>
      <c r="J1500" s="4" t="s">
        <v>20</v>
      </c>
      <c r="K1500" s="4" t="s">
        <v>33</v>
      </c>
      <c r="L1500" s="4" t="s">
        <v>34</v>
      </c>
      <c r="M1500" s="4" t="s">
        <v>40</v>
      </c>
      <c r="N1500" s="4" t="s">
        <v>24</v>
      </c>
      <c r="O1500" s="4">
        <v>5</v>
      </c>
      <c r="P1500" s="7">
        <v>56820</v>
      </c>
      <c r="Q1500" s="8">
        <v>0.1</v>
      </c>
      <c r="R1500" s="7">
        <v>40360</v>
      </c>
      <c r="S1500" s="7">
        <f>Table1_1[[#This Row],[Units Sold]]*Table1_1[[#This Row],[Unit Price]]*(1-Table1_1[[#This Row],[Discount %]])</f>
        <v>255690</v>
      </c>
      <c r="T1500" s="7">
        <f>Table1_1[[#This Row],[Units Sold]]*Table1_1[[#This Row],[Unit Cost]]</f>
        <v>201800</v>
      </c>
      <c r="U1500" s="7">
        <f>Table1_1[[#This Row],[Calculated sales]]-Table1_1[[#This Row],[Total cost]]</f>
        <v>53890</v>
      </c>
      <c r="V1500" s="4">
        <f>IFERROR(Table1_1[[#This Row],[Profit/Loss]]/Table1_1[[#This Row],[Calculated sales]],0)</f>
        <v>0.21076303336071023</v>
      </c>
    </row>
    <row r="1501" spans="1:22" x14ac:dyDescent="0.25">
      <c r="A1501" s="4" t="s">
        <v>1651</v>
      </c>
      <c r="B1501" s="5">
        <v>46016</v>
      </c>
      <c r="C1501" s="4">
        <f>YEAR(Table1_1[[#This Row],[Order Dates]])</f>
        <v>2025</v>
      </c>
      <c r="D1501" s="6">
        <f>MONTH(Table1_1[[#This Row],[Order Dates]])</f>
        <v>12</v>
      </c>
      <c r="E1501" s="4" t="s">
        <v>76</v>
      </c>
      <c r="F1501" s="4" t="s">
        <v>77</v>
      </c>
      <c r="G1501" s="4" t="s">
        <v>78</v>
      </c>
      <c r="H1501" s="4" t="str">
        <f>TRIM(CLEAN(SUBSTITUTE(Table1_1[[#This Row],[Salesperson]],"   "," ")))</f>
        <v>Pooja Chouhan</v>
      </c>
      <c r="I1501" s="4" t="s">
        <v>19</v>
      </c>
      <c r="J1501" s="4" t="s">
        <v>27</v>
      </c>
      <c r="K1501" s="4" t="s">
        <v>28</v>
      </c>
      <c r="L1501" s="4" t="s">
        <v>141</v>
      </c>
      <c r="M1501" s="4" t="s">
        <v>23</v>
      </c>
      <c r="N1501" s="4" t="s">
        <v>94</v>
      </c>
      <c r="O1501" s="4">
        <v>1</v>
      </c>
      <c r="P1501" s="7">
        <v>16940</v>
      </c>
      <c r="Q1501" s="8">
        <v>0.05</v>
      </c>
      <c r="R1501" s="7">
        <v>11380</v>
      </c>
      <c r="S1501" s="7">
        <f>Table1_1[[#This Row],[Units Sold]]*Table1_1[[#This Row],[Unit Price]]*(1-Table1_1[[#This Row],[Discount %]])</f>
        <v>16093</v>
      </c>
      <c r="T1501" s="7">
        <f>Table1_1[[#This Row],[Units Sold]]*Table1_1[[#This Row],[Unit Cost]]</f>
        <v>11380</v>
      </c>
      <c r="U1501" s="7">
        <f>Table1_1[[#This Row],[Calculated sales]]-Table1_1[[#This Row],[Total cost]]</f>
        <v>4713</v>
      </c>
      <c r="V1501" s="4">
        <f>IFERROR(Table1_1[[#This Row],[Profit/Loss]]/Table1_1[[#This Row],[Calculated sales]],0)</f>
        <v>0.29286024979804887</v>
      </c>
    </row>
    <row r="1502" spans="1:22" x14ac:dyDescent="0.25">
      <c r="A1502" s="4" t="s">
        <v>1652</v>
      </c>
      <c r="B1502" s="5">
        <v>46016</v>
      </c>
      <c r="C1502" s="4">
        <f>YEAR(Table1_1[[#This Row],[Order Dates]])</f>
        <v>2025</v>
      </c>
      <c r="D1502" s="6">
        <f>MONTH(Table1_1[[#This Row],[Order Dates]])</f>
        <v>12</v>
      </c>
      <c r="E1502" s="4" t="s">
        <v>56</v>
      </c>
      <c r="F1502" s="4" t="s">
        <v>143</v>
      </c>
      <c r="G1502" s="4" t="s">
        <v>91</v>
      </c>
      <c r="H1502" s="4" t="str">
        <f>TRIM(CLEAN(SUBSTITUTE(Table1_1[[#This Row],[Salesperson]],"   "," ")))</f>
        <v>Anjali Menon</v>
      </c>
      <c r="I1502" s="4" t="s">
        <v>19</v>
      </c>
      <c r="J1502" s="4" t="s">
        <v>27</v>
      </c>
      <c r="K1502" s="4" t="s">
        <v>79</v>
      </c>
      <c r="L1502" s="4" t="s">
        <v>80</v>
      </c>
      <c r="M1502" s="4" t="s">
        <v>49</v>
      </c>
      <c r="N1502" s="4" t="s">
        <v>35</v>
      </c>
      <c r="O1502" s="4">
        <v>8</v>
      </c>
      <c r="P1502" s="7">
        <v>4820</v>
      </c>
      <c r="Q1502" s="8">
        <v>0.1</v>
      </c>
      <c r="R1502" s="7">
        <v>3240</v>
      </c>
      <c r="S1502" s="7">
        <f>Table1_1[[#This Row],[Units Sold]]*Table1_1[[#This Row],[Unit Price]]*(1-Table1_1[[#This Row],[Discount %]])</f>
        <v>34704</v>
      </c>
      <c r="T1502" s="7">
        <f>Table1_1[[#This Row],[Units Sold]]*Table1_1[[#This Row],[Unit Cost]]</f>
        <v>25920</v>
      </c>
      <c r="U1502" s="7">
        <f>Table1_1[[#This Row],[Calculated sales]]-Table1_1[[#This Row],[Total cost]]</f>
        <v>8784</v>
      </c>
      <c r="V1502" s="4">
        <f>IFERROR(Table1_1[[#This Row],[Profit/Loss]]/Table1_1[[#This Row],[Calculated sales]],0)</f>
        <v>0.25311203319502074</v>
      </c>
    </row>
    <row r="1503" spans="1:22" x14ac:dyDescent="0.25">
      <c r="A1503" s="4" t="s">
        <v>1653</v>
      </c>
      <c r="B1503" s="5">
        <v>46017</v>
      </c>
      <c r="C1503" s="4">
        <f>YEAR(Table1_1[[#This Row],[Order Dates]])</f>
        <v>2025</v>
      </c>
      <c r="D1503" s="6">
        <f>MONTH(Table1_1[[#This Row],[Order Dates]])</f>
        <v>12</v>
      </c>
      <c r="E1503" s="4" t="s">
        <v>16</v>
      </c>
      <c r="F1503" s="4" t="s">
        <v>51</v>
      </c>
      <c r="G1503" s="4" t="s">
        <v>32</v>
      </c>
      <c r="H1503" s="4" t="str">
        <f>TRIM(CLEAN(SUBSTITUTE(Table1_1[[#This Row],[Salesperson]],"   "," ")))</f>
        <v>Neha Deshpande</v>
      </c>
      <c r="I1503" s="4" t="s">
        <v>92</v>
      </c>
      <c r="J1503" s="4" t="s">
        <v>83</v>
      </c>
      <c r="K1503" s="4" t="s">
        <v>184</v>
      </c>
      <c r="L1503" s="4" t="s">
        <v>1679</v>
      </c>
      <c r="M1503" s="4" t="s">
        <v>49</v>
      </c>
      <c r="N1503" s="4" t="s">
        <v>24</v>
      </c>
      <c r="O1503" s="4">
        <v>26</v>
      </c>
      <c r="P1503" s="7">
        <v>4280</v>
      </c>
      <c r="Q1503" s="8">
        <v>0.1</v>
      </c>
      <c r="R1503" s="7">
        <v>3100</v>
      </c>
      <c r="S1503" s="7">
        <f>Table1_1[[#This Row],[Units Sold]]*Table1_1[[#This Row],[Unit Price]]*(1-Table1_1[[#This Row],[Discount %]])</f>
        <v>100152</v>
      </c>
      <c r="T1503" s="7">
        <f>Table1_1[[#This Row],[Units Sold]]*Table1_1[[#This Row],[Unit Cost]]</f>
        <v>80600</v>
      </c>
      <c r="U1503" s="7">
        <f>Table1_1[[#This Row],[Calculated sales]]-Table1_1[[#This Row],[Total cost]]</f>
        <v>19552</v>
      </c>
      <c r="V1503" s="4">
        <f>IFERROR(Table1_1[[#This Row],[Profit/Loss]]/Table1_1[[#This Row],[Calculated sales]],0)</f>
        <v>0.19522326064382139</v>
      </c>
    </row>
    <row r="1504" spans="1:22" x14ac:dyDescent="0.25">
      <c r="A1504" s="4" t="s">
        <v>1654</v>
      </c>
      <c r="B1504" s="5">
        <v>46017</v>
      </c>
      <c r="C1504" s="4">
        <f>YEAR(Table1_1[[#This Row],[Order Dates]])</f>
        <v>2025</v>
      </c>
      <c r="D1504" s="6">
        <f>MONTH(Table1_1[[#This Row],[Order Dates]])</f>
        <v>12</v>
      </c>
      <c r="E1504" s="4" t="s">
        <v>37</v>
      </c>
      <c r="F1504" s="4" t="s">
        <v>115</v>
      </c>
      <c r="G1504" s="4" t="s">
        <v>39</v>
      </c>
      <c r="H1504" s="4" t="str">
        <f>TRIM(CLEAN(SUBSTITUTE(Table1_1[[#This Row],[Salesperson]],"   "," ")))</f>
        <v>Sourav Das</v>
      </c>
      <c r="I1504" s="4" t="s">
        <v>19</v>
      </c>
      <c r="J1504" s="4" t="s">
        <v>27</v>
      </c>
      <c r="K1504" s="4" t="s">
        <v>28</v>
      </c>
      <c r="L1504" s="4" t="s">
        <v>141</v>
      </c>
      <c r="M1504" s="4" t="s">
        <v>49</v>
      </c>
      <c r="N1504" s="4" t="s">
        <v>24</v>
      </c>
      <c r="O1504" s="4">
        <v>3</v>
      </c>
      <c r="P1504" s="7">
        <v>17130</v>
      </c>
      <c r="Q1504" s="8">
        <v>0.1</v>
      </c>
      <c r="R1504" s="7">
        <v>13510</v>
      </c>
      <c r="S1504" s="7">
        <f>Table1_1[[#This Row],[Units Sold]]*Table1_1[[#This Row],[Unit Price]]*(1-Table1_1[[#This Row],[Discount %]])</f>
        <v>46251</v>
      </c>
      <c r="T1504" s="7">
        <f>Table1_1[[#This Row],[Units Sold]]*Table1_1[[#This Row],[Unit Cost]]</f>
        <v>40530</v>
      </c>
      <c r="U1504" s="7">
        <f>Table1_1[[#This Row],[Calculated sales]]-Table1_1[[#This Row],[Total cost]]</f>
        <v>5721</v>
      </c>
      <c r="V1504" s="4">
        <f>IFERROR(Table1_1[[#This Row],[Profit/Loss]]/Table1_1[[#This Row],[Calculated sales]],0)</f>
        <v>0.12369462281896608</v>
      </c>
    </row>
    <row r="1505" spans="1:22" x14ac:dyDescent="0.25">
      <c r="A1505" s="4" t="s">
        <v>1655</v>
      </c>
      <c r="B1505" s="5">
        <v>46017</v>
      </c>
      <c r="C1505" s="4">
        <f>YEAR(Table1_1[[#This Row],[Order Dates]])</f>
        <v>2025</v>
      </c>
      <c r="D1505" s="6">
        <f>MONTH(Table1_1[[#This Row],[Order Dates]])</f>
        <v>12</v>
      </c>
      <c r="E1505" s="4" t="s">
        <v>42</v>
      </c>
      <c r="F1505" s="4" t="s">
        <v>123</v>
      </c>
      <c r="G1505" s="4" t="s">
        <v>97</v>
      </c>
      <c r="H1505" s="4" t="str">
        <f>TRIM(CLEAN(SUBSTITUTE(Table1_1[[#This Row],[Salesperson]],"   "," ")))</f>
        <v>Rohit Malhotra</v>
      </c>
      <c r="I1505" s="4" t="s">
        <v>92</v>
      </c>
      <c r="J1505" s="4" t="s">
        <v>27</v>
      </c>
      <c r="K1505" s="4" t="s">
        <v>28</v>
      </c>
      <c r="L1505" s="4" t="s">
        <v>1668</v>
      </c>
      <c r="M1505" s="4" t="s">
        <v>40</v>
      </c>
      <c r="N1505" s="4" t="s">
        <v>119</v>
      </c>
      <c r="O1505" s="4">
        <v>3</v>
      </c>
      <c r="P1505" s="7">
        <v>29220</v>
      </c>
      <c r="Q1505" s="8">
        <v>0</v>
      </c>
      <c r="R1505" s="7">
        <v>20190</v>
      </c>
      <c r="S1505" s="7">
        <f>Table1_1[[#This Row],[Units Sold]]*Table1_1[[#This Row],[Unit Price]]*(1-Table1_1[[#This Row],[Discount %]])</f>
        <v>87660</v>
      </c>
      <c r="T1505" s="7">
        <f>Table1_1[[#This Row],[Units Sold]]*Table1_1[[#This Row],[Unit Cost]]</f>
        <v>60570</v>
      </c>
      <c r="U1505" s="7">
        <f>Table1_1[[#This Row],[Calculated sales]]-Table1_1[[#This Row],[Total cost]]</f>
        <v>27090</v>
      </c>
      <c r="V1505" s="4">
        <f>IFERROR(Table1_1[[#This Row],[Profit/Loss]]/Table1_1[[#This Row],[Calculated sales]],0)</f>
        <v>0.30903490759753593</v>
      </c>
    </row>
    <row r="1506" spans="1:22" x14ac:dyDescent="0.25">
      <c r="A1506" s="4" t="s">
        <v>1656</v>
      </c>
      <c r="B1506" s="5">
        <v>46017</v>
      </c>
      <c r="C1506" s="4">
        <f>YEAR(Table1_1[[#This Row],[Order Dates]])</f>
        <v>2025</v>
      </c>
      <c r="D1506" s="6">
        <f>MONTH(Table1_1[[#This Row],[Order Dates]])</f>
        <v>12</v>
      </c>
      <c r="E1506" s="4" t="s">
        <v>76</v>
      </c>
      <c r="F1506" s="4" t="s">
        <v>125</v>
      </c>
      <c r="G1506" s="4" t="s">
        <v>170</v>
      </c>
      <c r="H1506" s="4" t="str">
        <f>TRIM(CLEAN(SUBSTITUTE(Table1_1[[#This Row],[Salesperson]],"   "," ")))</f>
        <v>Manish Tiwari</v>
      </c>
      <c r="I1506" s="4" t="s">
        <v>52</v>
      </c>
      <c r="J1506" s="4" t="s">
        <v>20</v>
      </c>
      <c r="K1506" s="4" t="s">
        <v>33</v>
      </c>
      <c r="L1506" s="4" t="s">
        <v>34</v>
      </c>
      <c r="M1506" s="4" t="s">
        <v>23</v>
      </c>
      <c r="N1506" s="4" t="s">
        <v>24</v>
      </c>
      <c r="O1506" s="4">
        <v>1</v>
      </c>
      <c r="P1506" s="7">
        <v>54610</v>
      </c>
      <c r="Q1506" s="8">
        <v>0.12</v>
      </c>
      <c r="R1506" s="7">
        <v>35930</v>
      </c>
      <c r="S1506" s="7">
        <f>Table1_1[[#This Row],[Units Sold]]*Table1_1[[#This Row],[Unit Price]]*(1-Table1_1[[#This Row],[Discount %]])</f>
        <v>48056.800000000003</v>
      </c>
      <c r="T1506" s="7">
        <f>Table1_1[[#This Row],[Units Sold]]*Table1_1[[#This Row],[Unit Cost]]</f>
        <v>35930</v>
      </c>
      <c r="U1506" s="7">
        <f>Table1_1[[#This Row],[Calculated sales]]-Table1_1[[#This Row],[Total cost]]</f>
        <v>12126.800000000003</v>
      </c>
      <c r="V1506" s="4">
        <f>IFERROR(Table1_1[[#This Row],[Profit/Loss]]/Table1_1[[#This Row],[Calculated sales]],0)</f>
        <v>0.25234306071149143</v>
      </c>
    </row>
    <row r="1507" spans="1:22" x14ac:dyDescent="0.25">
      <c r="A1507" s="4" t="s">
        <v>1657</v>
      </c>
      <c r="B1507" s="5">
        <v>46018</v>
      </c>
      <c r="C1507" s="4">
        <f>YEAR(Table1_1[[#This Row],[Order Dates]])</f>
        <v>2025</v>
      </c>
      <c r="D1507" s="6">
        <f>MONTH(Table1_1[[#This Row],[Order Dates]])</f>
        <v>12</v>
      </c>
      <c r="E1507" s="4" t="s">
        <v>37</v>
      </c>
      <c r="F1507" s="4" t="s">
        <v>161</v>
      </c>
      <c r="G1507" s="4" t="s">
        <v>39</v>
      </c>
      <c r="H1507" s="4" t="str">
        <f>TRIM(CLEAN(SUBSTITUTE(Table1_1[[#This Row],[Salesperson]],"   "," ")))</f>
        <v>Sourav Das</v>
      </c>
      <c r="I1507" s="4" t="s">
        <v>19</v>
      </c>
      <c r="J1507" s="4" t="s">
        <v>59</v>
      </c>
      <c r="K1507" s="4" t="s">
        <v>73</v>
      </c>
      <c r="L1507" s="4" t="s">
        <v>74</v>
      </c>
      <c r="M1507" s="4" t="s">
        <v>40</v>
      </c>
      <c r="N1507" s="4" t="s">
        <v>24</v>
      </c>
      <c r="O1507" s="4">
        <v>4</v>
      </c>
      <c r="P1507" s="7">
        <v>44060</v>
      </c>
      <c r="Q1507" s="8">
        <v>0.1</v>
      </c>
      <c r="R1507" s="7">
        <v>33020</v>
      </c>
      <c r="S1507" s="7">
        <f>Table1_1[[#This Row],[Units Sold]]*Table1_1[[#This Row],[Unit Price]]*(1-Table1_1[[#This Row],[Discount %]])</f>
        <v>158616</v>
      </c>
      <c r="T1507" s="7">
        <f>Table1_1[[#This Row],[Units Sold]]*Table1_1[[#This Row],[Unit Cost]]</f>
        <v>132080</v>
      </c>
      <c r="U1507" s="7">
        <f>Table1_1[[#This Row],[Calculated sales]]-Table1_1[[#This Row],[Total cost]]</f>
        <v>26536</v>
      </c>
      <c r="V1507" s="4">
        <f>IFERROR(Table1_1[[#This Row],[Profit/Loss]]/Table1_1[[#This Row],[Calculated sales]],0)</f>
        <v>0.16729712008876785</v>
      </c>
    </row>
    <row r="1508" spans="1:22" x14ac:dyDescent="0.25">
      <c r="A1508" s="4" t="s">
        <v>1658</v>
      </c>
      <c r="B1508" s="5">
        <v>46019</v>
      </c>
      <c r="C1508" s="4">
        <f>YEAR(Table1_1[[#This Row],[Order Dates]])</f>
        <v>2025</v>
      </c>
      <c r="D1508" s="6">
        <f>MONTH(Table1_1[[#This Row],[Order Dates]])</f>
        <v>12</v>
      </c>
      <c r="E1508" s="4" t="s">
        <v>16</v>
      </c>
      <c r="F1508" s="4" t="s">
        <v>82</v>
      </c>
      <c r="G1508" s="4" t="s">
        <v>26</v>
      </c>
      <c r="H1508" s="4" t="str">
        <f>TRIM(CLEAN(SUBSTITUTE(Table1_1[[#This Row],[Salesperson]],"   "," ")))</f>
        <v>Prateek Shah</v>
      </c>
      <c r="I1508" s="4" t="s">
        <v>19</v>
      </c>
      <c r="J1508" s="4" t="s">
        <v>59</v>
      </c>
      <c r="K1508" s="4" t="s">
        <v>69</v>
      </c>
      <c r="L1508" s="4" t="s">
        <v>121</v>
      </c>
      <c r="M1508" s="4" t="s">
        <v>40</v>
      </c>
      <c r="N1508" s="4" t="s">
        <v>24</v>
      </c>
      <c r="O1508" s="4">
        <v>4</v>
      </c>
      <c r="P1508" s="7">
        <v>3440</v>
      </c>
      <c r="Q1508" s="8">
        <v>0.18</v>
      </c>
      <c r="R1508" s="7">
        <v>2660</v>
      </c>
      <c r="S1508" s="7">
        <f>Table1_1[[#This Row],[Units Sold]]*Table1_1[[#This Row],[Unit Price]]*(1-Table1_1[[#This Row],[Discount %]])</f>
        <v>11283.2</v>
      </c>
      <c r="T1508" s="7">
        <f>Table1_1[[#This Row],[Units Sold]]*Table1_1[[#This Row],[Unit Cost]]</f>
        <v>10640</v>
      </c>
      <c r="U1508" s="7">
        <f>Table1_1[[#This Row],[Calculated sales]]-Table1_1[[#This Row],[Total cost]]</f>
        <v>643.20000000000073</v>
      </c>
      <c r="V1508" s="4">
        <f>IFERROR(Table1_1[[#This Row],[Profit/Loss]]/Table1_1[[#This Row],[Calculated sales]],0)</f>
        <v>5.7005104934770338E-2</v>
      </c>
    </row>
    <row r="1509" spans="1:22" x14ac:dyDescent="0.25">
      <c r="A1509" s="4" t="s">
        <v>1659</v>
      </c>
      <c r="B1509" s="5">
        <v>46019</v>
      </c>
      <c r="C1509" s="4">
        <f>YEAR(Table1_1[[#This Row],[Order Dates]])</f>
        <v>2025</v>
      </c>
      <c r="D1509" s="6">
        <f>MONTH(Table1_1[[#This Row],[Order Dates]])</f>
        <v>12</v>
      </c>
      <c r="E1509" s="4" t="s">
        <v>56</v>
      </c>
      <c r="F1509" s="4" t="s">
        <v>72</v>
      </c>
      <c r="G1509" s="4" t="s">
        <v>134</v>
      </c>
      <c r="H1509" s="4" t="str">
        <f>TRIM(CLEAN(SUBSTITUTE(Table1_1[[#This Row],[Salesperson]],"   "," ")))</f>
        <v>Divya Nair</v>
      </c>
      <c r="I1509" s="4" t="s">
        <v>52</v>
      </c>
      <c r="J1509" s="4" t="s">
        <v>46</v>
      </c>
      <c r="K1509" s="4" t="s">
        <v>47</v>
      </c>
      <c r="L1509" s="4" t="s">
        <v>1673</v>
      </c>
      <c r="M1509" s="4" t="s">
        <v>49</v>
      </c>
      <c r="N1509" s="4" t="s">
        <v>24</v>
      </c>
      <c r="O1509" s="4">
        <v>35</v>
      </c>
      <c r="P1509" s="7">
        <v>1180</v>
      </c>
      <c r="Q1509" s="8">
        <v>0.18</v>
      </c>
      <c r="R1509" s="7">
        <v>750</v>
      </c>
      <c r="S1509" s="7">
        <f>Table1_1[[#This Row],[Units Sold]]*Table1_1[[#This Row],[Unit Price]]*(1-Table1_1[[#This Row],[Discount %]])</f>
        <v>33866</v>
      </c>
      <c r="T1509" s="7">
        <f>Table1_1[[#This Row],[Units Sold]]*Table1_1[[#This Row],[Unit Cost]]</f>
        <v>26250</v>
      </c>
      <c r="U1509" s="7">
        <f>Table1_1[[#This Row],[Calculated sales]]-Table1_1[[#This Row],[Total cost]]</f>
        <v>7616</v>
      </c>
      <c r="V1509" s="4">
        <f>IFERROR(Table1_1[[#This Row],[Profit/Loss]]/Table1_1[[#This Row],[Calculated sales]],0)</f>
        <v>0.22488631665977676</v>
      </c>
    </row>
    <row r="1510" spans="1:22" x14ac:dyDescent="0.25">
      <c r="A1510" s="4" t="s">
        <v>1660</v>
      </c>
      <c r="B1510" s="5">
        <v>46019</v>
      </c>
      <c r="C1510" s="4">
        <f>YEAR(Table1_1[[#This Row],[Order Dates]])</f>
        <v>2025</v>
      </c>
      <c r="D1510" s="6">
        <f>MONTH(Table1_1[[#This Row],[Order Dates]])</f>
        <v>12</v>
      </c>
      <c r="E1510" s="4" t="s">
        <v>16</v>
      </c>
      <c r="F1510" s="4" t="s">
        <v>191</v>
      </c>
      <c r="G1510" s="4" t="s">
        <v>18</v>
      </c>
      <c r="H1510" s="4" t="str">
        <f>TRIM(CLEAN(SUBSTITUTE(Table1_1[[#This Row],[Salesperson]],"   "," ")))</f>
        <v>Imran Sheikh</v>
      </c>
      <c r="I1510" s="4" t="s">
        <v>52</v>
      </c>
      <c r="J1510" s="4" t="s">
        <v>20</v>
      </c>
      <c r="K1510" s="4" t="s">
        <v>21</v>
      </c>
      <c r="L1510" s="4" t="s">
        <v>1670</v>
      </c>
      <c r="M1510" s="4" t="s">
        <v>40</v>
      </c>
      <c r="N1510" s="4" t="s">
        <v>24</v>
      </c>
      <c r="O1510" s="4">
        <v>5</v>
      </c>
      <c r="P1510" s="7">
        <v>8660</v>
      </c>
      <c r="Q1510" s="8">
        <v>0.12</v>
      </c>
      <c r="R1510" s="7">
        <v>5940</v>
      </c>
      <c r="S1510" s="7">
        <f>Table1_1[[#This Row],[Units Sold]]*Table1_1[[#This Row],[Unit Price]]*(1-Table1_1[[#This Row],[Discount %]])</f>
        <v>38104</v>
      </c>
      <c r="T1510" s="7">
        <f>Table1_1[[#This Row],[Units Sold]]*Table1_1[[#This Row],[Unit Cost]]</f>
        <v>29700</v>
      </c>
      <c r="U1510" s="7">
        <f>Table1_1[[#This Row],[Calculated sales]]-Table1_1[[#This Row],[Total cost]]</f>
        <v>8404</v>
      </c>
      <c r="V1510" s="4">
        <f>IFERROR(Table1_1[[#This Row],[Profit/Loss]]/Table1_1[[#This Row],[Calculated sales]],0)</f>
        <v>0.22055427251732102</v>
      </c>
    </row>
    <row r="1511" spans="1:22" x14ac:dyDescent="0.25">
      <c r="A1511" s="4" t="s">
        <v>1661</v>
      </c>
      <c r="B1511" s="5">
        <v>46020</v>
      </c>
      <c r="C1511" s="4">
        <f>YEAR(Table1_1[[#This Row],[Order Dates]])</f>
        <v>2025</v>
      </c>
      <c r="D1511" s="6">
        <f>MONTH(Table1_1[[#This Row],[Order Dates]])</f>
        <v>12</v>
      </c>
      <c r="E1511" s="4" t="s">
        <v>42</v>
      </c>
      <c r="F1511" s="4" t="s">
        <v>43</v>
      </c>
      <c r="G1511" s="4" t="s">
        <v>97</v>
      </c>
      <c r="H1511" s="4" t="str">
        <f>TRIM(CLEAN(SUBSTITUTE(Table1_1[[#This Row],[Salesperson]],"   "," ")))</f>
        <v>Rohit Malhotra</v>
      </c>
      <c r="I1511" s="4" t="s">
        <v>19</v>
      </c>
      <c r="J1511" s="4" t="s">
        <v>59</v>
      </c>
      <c r="K1511" s="4" t="s">
        <v>73</v>
      </c>
      <c r="L1511" s="4" t="s">
        <v>113</v>
      </c>
      <c r="M1511" s="4" t="s">
        <v>23</v>
      </c>
      <c r="N1511" s="4" t="s">
        <v>24</v>
      </c>
      <c r="O1511" s="4">
        <v>4</v>
      </c>
      <c r="P1511" s="7">
        <v>34480</v>
      </c>
      <c r="Q1511" s="8">
        <v>0.15</v>
      </c>
      <c r="R1511" s="7">
        <v>23320</v>
      </c>
      <c r="S1511" s="7">
        <f>Table1_1[[#This Row],[Units Sold]]*Table1_1[[#This Row],[Unit Price]]*(1-Table1_1[[#This Row],[Discount %]])</f>
        <v>117232</v>
      </c>
      <c r="T1511" s="7">
        <f>Table1_1[[#This Row],[Units Sold]]*Table1_1[[#This Row],[Unit Cost]]</f>
        <v>93280</v>
      </c>
      <c r="U1511" s="7">
        <f>Table1_1[[#This Row],[Calculated sales]]-Table1_1[[#This Row],[Total cost]]</f>
        <v>23952</v>
      </c>
      <c r="V1511" s="4">
        <f>IFERROR(Table1_1[[#This Row],[Profit/Loss]]/Table1_1[[#This Row],[Calculated sales]],0)</f>
        <v>0.20431281561348438</v>
      </c>
    </row>
    <row r="1512" spans="1:22" x14ac:dyDescent="0.25">
      <c r="A1512" s="4" t="s">
        <v>1662</v>
      </c>
      <c r="B1512" s="5">
        <v>46020</v>
      </c>
      <c r="C1512" s="4">
        <f>YEAR(Table1_1[[#This Row],[Order Dates]])</f>
        <v>2025</v>
      </c>
      <c r="D1512" s="6">
        <f>MONTH(Table1_1[[#This Row],[Order Dates]])</f>
        <v>12</v>
      </c>
      <c r="E1512" s="4" t="s">
        <v>42</v>
      </c>
      <c r="F1512" s="4" t="s">
        <v>43</v>
      </c>
      <c r="G1512" s="4" t="s">
        <v>44</v>
      </c>
      <c r="H1512" s="4" t="str">
        <f>TRIM(CLEAN(SUBSTITUTE(Table1_1[[#This Row],[Salesperson]],"   "," ")))</f>
        <v>Simran Kaur</v>
      </c>
      <c r="I1512" s="4" t="s">
        <v>19</v>
      </c>
      <c r="J1512" s="4" t="s">
        <v>20</v>
      </c>
      <c r="K1512" s="4" t="s">
        <v>109</v>
      </c>
      <c r="L1512" s="4" t="s">
        <v>1675</v>
      </c>
      <c r="M1512" s="4" t="s">
        <v>49</v>
      </c>
      <c r="N1512" s="4" t="s">
        <v>24</v>
      </c>
      <c r="O1512" s="4">
        <v>1</v>
      </c>
      <c r="P1512" s="7">
        <v>69810</v>
      </c>
      <c r="Q1512" s="8">
        <v>0.05</v>
      </c>
      <c r="R1512" s="7">
        <v>43300</v>
      </c>
      <c r="S1512" s="7">
        <f>Table1_1[[#This Row],[Units Sold]]*Table1_1[[#This Row],[Unit Price]]*(1-Table1_1[[#This Row],[Discount %]])</f>
        <v>66319.5</v>
      </c>
      <c r="T1512" s="7">
        <f>Table1_1[[#This Row],[Units Sold]]*Table1_1[[#This Row],[Unit Cost]]</f>
        <v>43300</v>
      </c>
      <c r="U1512" s="7">
        <f>Table1_1[[#This Row],[Calculated sales]]-Table1_1[[#This Row],[Total cost]]</f>
        <v>23019.5</v>
      </c>
      <c r="V1512" s="4">
        <f>IFERROR(Table1_1[[#This Row],[Profit/Loss]]/Table1_1[[#This Row],[Calculated sales]],0)</f>
        <v>0.34710002337170814</v>
      </c>
    </row>
    <row r="1513" spans="1:22" x14ac:dyDescent="0.25">
      <c r="A1513" s="4" t="s">
        <v>1663</v>
      </c>
      <c r="B1513" s="5">
        <v>46021</v>
      </c>
      <c r="C1513" s="4">
        <f>YEAR(Table1_1[[#This Row],[Order Dates]])</f>
        <v>2025</v>
      </c>
      <c r="D1513" s="6">
        <f>MONTH(Table1_1[[#This Row],[Order Dates]])</f>
        <v>12</v>
      </c>
      <c r="E1513" s="4" t="s">
        <v>42</v>
      </c>
      <c r="F1513" s="4" t="s">
        <v>123</v>
      </c>
      <c r="G1513" s="4" t="s">
        <v>1664</v>
      </c>
      <c r="H1513" s="4" t="str">
        <f>TRIM(CLEAN(SUBSTITUTE(Table1_1[[#This Row],[Salesperson]],"   "," ")))</f>
        <v>Simran Kaur</v>
      </c>
      <c r="I1513" s="4" t="s">
        <v>52</v>
      </c>
      <c r="J1513" s="4" t="s">
        <v>46</v>
      </c>
      <c r="K1513" s="4" t="s">
        <v>47</v>
      </c>
      <c r="L1513" s="4" t="s">
        <v>259</v>
      </c>
      <c r="M1513" s="4" t="s">
        <v>23</v>
      </c>
      <c r="N1513" s="4" t="s">
        <v>94</v>
      </c>
      <c r="O1513" s="4">
        <v>21</v>
      </c>
      <c r="P1513" s="7">
        <v>2780</v>
      </c>
      <c r="Q1513" s="8">
        <v>0.2</v>
      </c>
      <c r="R1513" s="7">
        <v>2060</v>
      </c>
      <c r="S1513" s="7">
        <f>Table1_1[[#This Row],[Units Sold]]*Table1_1[[#This Row],[Unit Price]]*(1-Table1_1[[#This Row],[Discount %]])</f>
        <v>46704</v>
      </c>
      <c r="T1513" s="7">
        <f>Table1_1[[#This Row],[Units Sold]]*Table1_1[[#This Row],[Unit Cost]]</f>
        <v>43260</v>
      </c>
      <c r="U1513" s="7">
        <f>Table1_1[[#This Row],[Calculated sales]]-Table1_1[[#This Row],[Total cost]]</f>
        <v>3444</v>
      </c>
      <c r="V1513" s="4">
        <f>IFERROR(Table1_1[[#This Row],[Profit/Loss]]/Table1_1[[#This Row],[Calculated sales]],0)</f>
        <v>7.3741007194244604E-2</v>
      </c>
    </row>
    <row r="1514" spans="1:22" x14ac:dyDescent="0.25">
      <c r="A1514" s="4" t="s">
        <v>1665</v>
      </c>
      <c r="B1514" s="5">
        <v>46021</v>
      </c>
      <c r="C1514" s="4">
        <f>YEAR(Table1_1[[#This Row],[Order Dates]])</f>
        <v>2025</v>
      </c>
      <c r="D1514" s="6">
        <f>MONTH(Table1_1[[#This Row],[Order Dates]])</f>
        <v>12</v>
      </c>
      <c r="E1514" s="4" t="s">
        <v>16</v>
      </c>
      <c r="F1514" s="4" t="s">
        <v>153</v>
      </c>
      <c r="G1514" s="4" t="s">
        <v>26</v>
      </c>
      <c r="H1514" s="4" t="str">
        <f>TRIM(CLEAN(SUBSTITUTE(Table1_1[[#This Row],[Salesperson]],"   "," ")))</f>
        <v>Prateek Shah</v>
      </c>
      <c r="I1514" s="4" t="s">
        <v>52</v>
      </c>
      <c r="J1514" s="4" t="s">
        <v>27</v>
      </c>
      <c r="K1514" s="4" t="s">
        <v>53</v>
      </c>
      <c r="L1514" s="4" t="s">
        <v>1669</v>
      </c>
      <c r="M1514" s="4" t="s">
        <v>49</v>
      </c>
      <c r="N1514" s="4" t="s">
        <v>119</v>
      </c>
      <c r="O1514" s="4">
        <v>4</v>
      </c>
      <c r="P1514" s="7">
        <v>45050</v>
      </c>
      <c r="Q1514" s="8">
        <v>0</v>
      </c>
      <c r="R1514" s="7">
        <v>33090</v>
      </c>
      <c r="S1514" s="7">
        <f>Table1_1[[#This Row],[Units Sold]]*Table1_1[[#This Row],[Unit Price]]*(1-Table1_1[[#This Row],[Discount %]])</f>
        <v>180200</v>
      </c>
      <c r="T1514" s="7">
        <f>Table1_1[[#This Row],[Units Sold]]*Table1_1[[#This Row],[Unit Cost]]</f>
        <v>132360</v>
      </c>
      <c r="U1514" s="7">
        <f>Table1_1[[#This Row],[Calculated sales]]-Table1_1[[#This Row],[Total cost]]</f>
        <v>47840</v>
      </c>
      <c r="V1514" s="4">
        <f>IFERROR(Table1_1[[#This Row],[Profit/Loss]]/Table1_1[[#This Row],[Calculated sales]],0)</f>
        <v>0.26548279689234183</v>
      </c>
    </row>
    <row r="1515" spans="1:22" x14ac:dyDescent="0.25">
      <c r="A1515" s="4" t="s">
        <v>1666</v>
      </c>
      <c r="B1515" s="5">
        <v>46021</v>
      </c>
      <c r="C1515" s="4">
        <f>YEAR(Table1_1[[#This Row],[Order Dates]])</f>
        <v>2025</v>
      </c>
      <c r="D1515" s="6">
        <f>MONTH(Table1_1[[#This Row],[Order Dates]])</f>
        <v>12</v>
      </c>
      <c r="E1515" s="4" t="s">
        <v>56</v>
      </c>
      <c r="F1515" s="4" t="s">
        <v>57</v>
      </c>
      <c r="G1515" s="4" t="s">
        <v>134</v>
      </c>
      <c r="H1515" s="4" t="str">
        <f>TRIM(CLEAN(SUBSTITUTE(Table1_1[[#This Row],[Salesperson]],"   "," ")))</f>
        <v>Divya Nair</v>
      </c>
      <c r="I1515" s="4" t="s">
        <v>92</v>
      </c>
      <c r="J1515" s="4" t="s">
        <v>83</v>
      </c>
      <c r="K1515" s="4" t="s">
        <v>84</v>
      </c>
      <c r="L1515" s="4" t="s">
        <v>292</v>
      </c>
      <c r="M1515" s="4" t="s">
        <v>40</v>
      </c>
      <c r="N1515" s="4" t="s">
        <v>24</v>
      </c>
      <c r="O1515" s="4">
        <v>2</v>
      </c>
      <c r="P1515" s="7">
        <v>41330</v>
      </c>
      <c r="Q1515" s="8">
        <v>0.05</v>
      </c>
      <c r="R1515" s="7">
        <v>24180</v>
      </c>
      <c r="S1515" s="7">
        <f>Table1_1[[#This Row],[Units Sold]]*Table1_1[[#This Row],[Unit Price]]*(1-Table1_1[[#This Row],[Discount %]])</f>
        <v>78527</v>
      </c>
      <c r="T1515" s="7">
        <f>Table1_1[[#This Row],[Units Sold]]*Table1_1[[#This Row],[Unit Cost]]</f>
        <v>48360</v>
      </c>
      <c r="U1515" s="7">
        <f>Table1_1[[#This Row],[Calculated sales]]-Table1_1[[#This Row],[Total cost]]</f>
        <v>30167</v>
      </c>
      <c r="V1515" s="4">
        <f>IFERROR(Table1_1[[#This Row],[Profit/Loss]]/Table1_1[[#This Row],[Calculated sales]],0)</f>
        <v>0.38416086186916604</v>
      </c>
    </row>
  </sheetData>
  <conditionalFormatting sqref="A1:A1515">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9A1D-CCDE-4989-9ED3-C84728F51720}">
  <dimension ref="B2:G35"/>
  <sheetViews>
    <sheetView zoomScale="116" workbookViewId="0">
      <selection activeCell="H6" sqref="H6"/>
    </sheetView>
  </sheetViews>
  <sheetFormatPr defaultRowHeight="15" x14ac:dyDescent="0.25"/>
  <cols>
    <col min="1" max="1" width="5.42578125" style="4" customWidth="1"/>
    <col min="2" max="2" width="24.42578125" style="4" bestFit="1" customWidth="1"/>
    <col min="3" max="3" width="23.140625" style="4" bestFit="1" customWidth="1"/>
    <col min="4" max="6" width="16.85546875" style="4" bestFit="1" customWidth="1"/>
    <col min="7" max="7" width="18" style="4" bestFit="1" customWidth="1"/>
    <col min="8" max="1515" width="16.85546875" style="4" bestFit="1" customWidth="1"/>
    <col min="1516" max="1516" width="11.28515625" style="4" bestFit="1" customWidth="1"/>
    <col min="1517" max="16384" width="9.140625" style="4"/>
  </cols>
  <sheetData>
    <row r="2" spans="2:7" ht="21" x14ac:dyDescent="0.35">
      <c r="B2" s="9" t="s">
        <v>1693</v>
      </c>
      <c r="C2" s="9" t="s">
        <v>1694</v>
      </c>
      <c r="D2" s="9" t="s">
        <v>1695</v>
      </c>
      <c r="F2" s="12" t="s">
        <v>1690</v>
      </c>
      <c r="G2" s="11" t="s">
        <v>1694</v>
      </c>
    </row>
    <row r="3" spans="2:7" ht="21" x14ac:dyDescent="0.35">
      <c r="B3" s="10">
        <v>136080968.79999989</v>
      </c>
      <c r="C3" s="10">
        <v>33030648.800000016</v>
      </c>
      <c r="D3" s="9">
        <v>1514</v>
      </c>
      <c r="F3" s="14" t="s">
        <v>20</v>
      </c>
      <c r="G3" s="15">
        <v>13835333.700000009</v>
      </c>
    </row>
    <row r="4" spans="2:7" x14ac:dyDescent="0.25">
      <c r="F4" s="14" t="s">
        <v>46</v>
      </c>
      <c r="G4" s="15">
        <v>3882418.9999999986</v>
      </c>
    </row>
    <row r="5" spans="2:7" x14ac:dyDescent="0.25">
      <c r="B5" s="12" t="s">
        <v>1693</v>
      </c>
      <c r="C5" s="12" t="s">
        <v>1692</v>
      </c>
      <c r="D5" s="11"/>
      <c r="E5" s="11"/>
      <c r="F5" s="14" t="s">
        <v>59</v>
      </c>
      <c r="G5" s="15">
        <v>5523706.8999999994</v>
      </c>
    </row>
    <row r="6" spans="2:7" x14ac:dyDescent="0.25">
      <c r="B6" s="12" t="s">
        <v>1690</v>
      </c>
      <c r="C6" s="11">
        <v>2024</v>
      </c>
      <c r="D6" s="11">
        <v>2025</v>
      </c>
      <c r="E6" s="11" t="s">
        <v>1691</v>
      </c>
      <c r="F6" s="14" t="s">
        <v>27</v>
      </c>
      <c r="G6" s="15">
        <v>7327902.1000000006</v>
      </c>
    </row>
    <row r="7" spans="2:7" x14ac:dyDescent="0.25">
      <c r="B7" s="14" t="s">
        <v>1696</v>
      </c>
      <c r="C7" s="15">
        <v>4280780.0999999996</v>
      </c>
      <c r="D7" s="15">
        <v>5711160.3999999985</v>
      </c>
      <c r="E7" s="15">
        <v>9991940.4999999981</v>
      </c>
      <c r="F7" s="14" t="s">
        <v>83</v>
      </c>
      <c r="G7" s="15">
        <v>2461287.1</v>
      </c>
    </row>
    <row r="8" spans="2:7" x14ac:dyDescent="0.25">
      <c r="B8" s="14" t="s">
        <v>1697</v>
      </c>
      <c r="C8" s="15">
        <v>4073272.2</v>
      </c>
      <c r="D8" s="15">
        <v>4568930.8999999994</v>
      </c>
      <c r="E8" s="15">
        <v>8642203.0999999996</v>
      </c>
      <c r="F8" s="11" t="s">
        <v>1691</v>
      </c>
      <c r="G8" s="13">
        <v>33030648.800000008</v>
      </c>
    </row>
    <row r="9" spans="2:7" x14ac:dyDescent="0.25">
      <c r="B9" s="14" t="s">
        <v>1698</v>
      </c>
      <c r="C9" s="15">
        <v>6509801.5000000009</v>
      </c>
      <c r="D9" s="15">
        <v>7279343.2000000002</v>
      </c>
      <c r="E9" s="15">
        <v>13789144.700000001</v>
      </c>
    </row>
    <row r="10" spans="2:7" x14ac:dyDescent="0.25">
      <c r="B10" s="14" t="s">
        <v>1699</v>
      </c>
      <c r="C10" s="15">
        <v>4753877.1000000006</v>
      </c>
      <c r="D10" s="15">
        <v>5110847.6999999993</v>
      </c>
      <c r="E10" s="15">
        <v>9864724.8000000007</v>
      </c>
      <c r="F10" s="12" t="s">
        <v>1690</v>
      </c>
      <c r="G10" s="11" t="s">
        <v>1693</v>
      </c>
    </row>
    <row r="11" spans="2:7" x14ac:dyDescent="0.25">
      <c r="B11" s="14" t="s">
        <v>1700</v>
      </c>
      <c r="C11" s="15">
        <v>6018723.6000000006</v>
      </c>
      <c r="D11" s="15">
        <v>5052115.0999999996</v>
      </c>
      <c r="E11" s="15">
        <v>11070838.699999999</v>
      </c>
      <c r="F11" s="14" t="s">
        <v>20</v>
      </c>
      <c r="G11" s="15">
        <v>59040393.699999966</v>
      </c>
    </row>
    <row r="12" spans="2:7" x14ac:dyDescent="0.25">
      <c r="B12" s="14" t="s">
        <v>1701</v>
      </c>
      <c r="C12" s="15">
        <v>4270871.7000000011</v>
      </c>
      <c r="D12" s="15">
        <v>5754301.0000000009</v>
      </c>
      <c r="E12" s="15">
        <v>10025172.700000003</v>
      </c>
      <c r="F12" s="14" t="s">
        <v>46</v>
      </c>
      <c r="G12" s="15">
        <v>15370579.000000007</v>
      </c>
    </row>
    <row r="13" spans="2:7" x14ac:dyDescent="0.25">
      <c r="B13" s="14" t="s">
        <v>1702</v>
      </c>
      <c r="C13" s="15">
        <v>5748147.1000000015</v>
      </c>
      <c r="D13" s="15">
        <v>4566311.6000000006</v>
      </c>
      <c r="E13" s="15">
        <v>10314458.700000003</v>
      </c>
      <c r="F13" s="14" t="s">
        <v>59</v>
      </c>
      <c r="G13" s="15">
        <v>22966486.900000002</v>
      </c>
    </row>
    <row r="14" spans="2:7" x14ac:dyDescent="0.25">
      <c r="B14" s="14" t="s">
        <v>1703</v>
      </c>
      <c r="C14" s="15">
        <v>5263534.4000000004</v>
      </c>
      <c r="D14" s="15">
        <v>7147134.0999999978</v>
      </c>
      <c r="E14" s="15">
        <v>12410668.499999998</v>
      </c>
      <c r="F14" s="14" t="s">
        <v>27</v>
      </c>
      <c r="G14" s="15">
        <v>28306132.099999998</v>
      </c>
    </row>
    <row r="15" spans="2:7" x14ac:dyDescent="0.25">
      <c r="B15" s="14" t="s">
        <v>1704</v>
      </c>
      <c r="C15" s="15">
        <v>5171033.6999999993</v>
      </c>
      <c r="D15" s="15">
        <v>5099275</v>
      </c>
      <c r="E15" s="15">
        <v>10270308.699999999</v>
      </c>
      <c r="F15" s="14" t="s">
        <v>83</v>
      </c>
      <c r="G15" s="15">
        <v>10397377.100000001</v>
      </c>
    </row>
    <row r="16" spans="2:7" x14ac:dyDescent="0.25">
      <c r="B16" s="14" t="s">
        <v>1705</v>
      </c>
      <c r="C16" s="15">
        <v>6328845.7000000002</v>
      </c>
      <c r="D16" s="15">
        <v>8732717.8999999985</v>
      </c>
      <c r="E16" s="15">
        <v>15061563.599999998</v>
      </c>
      <c r="F16" s="11" t="s">
        <v>1691</v>
      </c>
      <c r="G16" s="13">
        <v>136080968.79999998</v>
      </c>
    </row>
    <row r="17" spans="2:5" x14ac:dyDescent="0.25">
      <c r="B17" s="14" t="s">
        <v>1706</v>
      </c>
      <c r="C17" s="15">
        <v>6191929.9000000004</v>
      </c>
      <c r="D17" s="15">
        <v>5993759.3999999994</v>
      </c>
      <c r="E17" s="15">
        <v>12185689.300000001</v>
      </c>
    </row>
    <row r="18" spans="2:5" x14ac:dyDescent="0.25">
      <c r="B18" s="14" t="s">
        <v>1707</v>
      </c>
      <c r="C18" s="15">
        <v>6214156.7000000002</v>
      </c>
      <c r="D18" s="15">
        <v>6240098.7999999998</v>
      </c>
      <c r="E18" s="15">
        <v>12454255.5</v>
      </c>
    </row>
    <row r="19" spans="2:5" x14ac:dyDescent="0.25">
      <c r="B19" s="11" t="s">
        <v>1691</v>
      </c>
      <c r="C19" s="13">
        <v>64824973.70000001</v>
      </c>
      <c r="D19" s="13">
        <v>71255995.099999994</v>
      </c>
      <c r="E19" s="13">
        <v>136080968.80000001</v>
      </c>
    </row>
    <row r="21" spans="2:5" x14ac:dyDescent="0.25">
      <c r="B21" s="12" t="s">
        <v>1690</v>
      </c>
      <c r="C21" s="11" t="s">
        <v>1693</v>
      </c>
      <c r="D21"/>
      <c r="E21"/>
    </row>
    <row r="22" spans="2:5" x14ac:dyDescent="0.25">
      <c r="B22" s="14" t="s">
        <v>76</v>
      </c>
      <c r="C22" s="15">
        <v>17864050.700000003</v>
      </c>
      <c r="D22"/>
      <c r="E22"/>
    </row>
    <row r="23" spans="2:5" x14ac:dyDescent="0.25">
      <c r="B23" s="14" t="s">
        <v>37</v>
      </c>
      <c r="C23" s="15">
        <v>23329646</v>
      </c>
      <c r="D23"/>
      <c r="E23"/>
    </row>
    <row r="24" spans="2:5" x14ac:dyDescent="0.25">
      <c r="B24" s="14" t="s">
        <v>42</v>
      </c>
      <c r="C24" s="15">
        <v>29981290.599999998</v>
      </c>
      <c r="D24"/>
      <c r="E24"/>
    </row>
    <row r="25" spans="2:5" x14ac:dyDescent="0.25">
      <c r="B25" s="14" t="s">
        <v>56</v>
      </c>
      <c r="C25" s="15">
        <v>34881200.799999997</v>
      </c>
      <c r="D25"/>
      <c r="E25"/>
    </row>
    <row r="26" spans="2:5" x14ac:dyDescent="0.25">
      <c r="B26" s="14" t="s">
        <v>16</v>
      </c>
      <c r="C26" s="15">
        <v>30024780.699999999</v>
      </c>
      <c r="D26"/>
      <c r="E26"/>
    </row>
    <row r="27" spans="2:5" x14ac:dyDescent="0.25">
      <c r="B27" s="14" t="s">
        <v>1691</v>
      </c>
      <c r="C27" s="15">
        <v>136080968.79999998</v>
      </c>
      <c r="D27"/>
      <c r="E27"/>
    </row>
    <row r="28" spans="2:5" x14ac:dyDescent="0.25">
      <c r="B28"/>
      <c r="C28"/>
      <c r="D28"/>
      <c r="E28"/>
    </row>
    <row r="29" spans="2:5" x14ac:dyDescent="0.25">
      <c r="D29"/>
      <c r="E29"/>
    </row>
    <row r="30" spans="2:5" x14ac:dyDescent="0.25">
      <c r="D30"/>
      <c r="E30"/>
    </row>
    <row r="31" spans="2:5" x14ac:dyDescent="0.25">
      <c r="D31"/>
      <c r="E31"/>
    </row>
    <row r="32" spans="2:5" x14ac:dyDescent="0.25">
      <c r="D32"/>
      <c r="E32"/>
    </row>
    <row r="33" spans="4:5" x14ac:dyDescent="0.25">
      <c r="D33"/>
      <c r="E33"/>
    </row>
    <row r="34" spans="4:5" x14ac:dyDescent="0.25">
      <c r="D34"/>
      <c r="E34"/>
    </row>
    <row r="35" spans="4:5" x14ac:dyDescent="0.25">
      <c r="D35"/>
      <c r="E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2E11-BF04-4B89-B394-67983DD333EE}">
  <sheetPr>
    <pageSetUpPr fitToPage="1"/>
  </sheetPr>
  <dimension ref="A1:AD4"/>
  <sheetViews>
    <sheetView showGridLines="0" topLeftCell="A21" zoomScale="94" zoomScaleNormal="100" workbookViewId="0">
      <selection activeCell="G7" sqref="G7"/>
    </sheetView>
  </sheetViews>
  <sheetFormatPr defaultRowHeight="15" x14ac:dyDescent="0.25"/>
  <sheetData>
    <row r="1" spans="1:30" ht="15" customHeight="1" x14ac:dyDescent="0.45">
      <c r="A1" s="17"/>
      <c r="B1" s="18"/>
      <c r="C1" s="18"/>
      <c r="D1" s="16"/>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28.5" x14ac:dyDescent="0.45">
      <c r="A2" s="18"/>
      <c r="B2" s="18"/>
      <c r="C2" s="18"/>
      <c r="D2" s="18"/>
      <c r="E2" s="18"/>
      <c r="F2" s="18"/>
      <c r="G2" s="18"/>
      <c r="H2" s="17" t="s">
        <v>1708</v>
      </c>
      <c r="I2" s="18"/>
      <c r="J2" s="18"/>
      <c r="K2" s="18"/>
      <c r="L2" s="18"/>
      <c r="M2" s="18"/>
      <c r="N2" s="18"/>
      <c r="O2" s="18"/>
      <c r="P2" s="18"/>
      <c r="Q2" s="18"/>
      <c r="R2" s="18"/>
      <c r="S2" s="18"/>
      <c r="T2" s="18"/>
      <c r="U2" s="18"/>
      <c r="V2" s="18"/>
      <c r="W2" s="18"/>
      <c r="X2" s="18"/>
      <c r="Y2" s="18"/>
      <c r="Z2" s="18"/>
      <c r="AA2" s="18"/>
      <c r="AB2" s="18"/>
      <c r="AC2" s="18"/>
      <c r="AD2" s="18"/>
    </row>
    <row r="3" spans="1:30" x14ac:dyDescent="0.25">
      <c r="A3" s="18"/>
      <c r="B3" s="18"/>
      <c r="C3" s="18"/>
      <c r="D3" s="18"/>
      <c r="E3" s="18"/>
      <c r="F3" s="18"/>
      <c r="G3" s="18"/>
      <c r="H3" s="18"/>
      <c r="I3" s="19"/>
      <c r="J3" s="19"/>
      <c r="K3" s="18"/>
      <c r="L3" s="18"/>
      <c r="M3" s="18"/>
      <c r="N3" s="18"/>
      <c r="O3" s="18"/>
      <c r="P3" s="18"/>
      <c r="Q3" s="18"/>
      <c r="R3" s="18"/>
      <c r="S3" s="18"/>
      <c r="T3" s="18"/>
      <c r="U3" s="18"/>
      <c r="V3" s="18"/>
      <c r="W3" s="18"/>
      <c r="X3" s="18"/>
      <c r="Y3" s="18"/>
      <c r="Z3" s="18"/>
      <c r="AA3" s="18"/>
      <c r="AB3" s="18"/>
      <c r="AC3" s="18"/>
      <c r="AD3" s="18"/>
    </row>
    <row r="4" spans="1:30" x14ac:dyDescent="0.25">
      <c r="E4" s="4"/>
    </row>
  </sheetData>
  <phoneticPr fontId="21" type="noConversion"/>
  <pageMargins left="0.25" right="0.25" top="0.75" bottom="0.75" header="0.3" footer="0.3"/>
  <pageSetup paperSize="9" scale="5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AA3C1F-EE30-4DD2-9014-7E4DF6895D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Sales_Data_Raw</vt:lpstr>
      <vt:lpstr>Table1</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dc:creator>
  <cp:lastModifiedBy>piyush sooryavanshi</cp:lastModifiedBy>
  <dcterms:created xsi:type="dcterms:W3CDTF">2026-08-23T10:09:35Z</dcterms:created>
  <dcterms:modified xsi:type="dcterms:W3CDTF">2026-08-30T09:00:50Z</dcterms:modified>
</cp:coreProperties>
</file>